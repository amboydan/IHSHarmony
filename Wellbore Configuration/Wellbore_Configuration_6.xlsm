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2691DF6A-C9CD-4D9D-BB7A-4C4EE619914D}" xr6:coauthVersionLast="47" xr6:coauthVersionMax="47" xr10:uidLastSave="{00000000-0000-0000-0000-000000000000}"/>
  <bookViews>
    <workbookView xWindow="2655" yWindow="2220" windowWidth="17265" windowHeight="11160" activeTab="2" xr2:uid="{D9037CFD-D55B-44F5-8B88-A2DAB255FBD6}"/>
  </bookViews>
  <sheets>
    <sheet name="Well Selection" sheetId="3" r:id="rId1"/>
    <sheet name="Deviation Survey" sheetId="8" r:id="rId2"/>
    <sheet name="Configuration Details" sheetId="7" r:id="rId3"/>
    <sheet name="lists" sheetId="5" state="hidden" r:id="rId4"/>
  </sheets>
  <functionGroups builtInGroupCount="19"/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l">'Well Selection'!$A$8</definedName>
    <definedName name="wellApi">'Well Selection'!$B$11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6" i="8"/>
  <c r="A6" i="8"/>
  <c r="A3" i="8"/>
</calcChain>
</file>

<file path=xl/sharedStrings.xml><?xml version="1.0" encoding="utf-8"?>
<sst xmlns="http://schemas.openxmlformats.org/spreadsheetml/2006/main" count="168" uniqueCount="160">
  <si>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</si>
  <si>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</si>
  <si>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</si>
  <si>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</si>
  <si>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</si>
  <si>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</si>
  <si>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</si>
  <si>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</si>
  <si>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</si>
  <si>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</si>
  <si>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</si>
  <si>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</si>
  <si>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</si>
  <si>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</si>
  <si>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</si>
  <si>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</si>
  <si>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</si>
  <si>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</si>
  <si>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</si>
  <si>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</si>
  <si>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</si>
  <si>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</si>
  <si>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</si>
  <si>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</si>
  <si>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</si>
  <si>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</si>
  <si>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</si>
  <si>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</si>
  <si>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</si>
  <si>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</si>
  <si>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</si>
  <si>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</si>
  <si>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</si>
  <si>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</si>
  <si>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</si>
  <si>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</si>
  <si>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</si>
  <si>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</si>
  <si>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</si>
  <si>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</si>
  <si>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</si>
  <si>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</si>
  <si>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</si>
  <si>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</si>
  <si>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</si>
  <si>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</si>
  <si>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</si>
  <si>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</si>
  <si>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</si>
  <si>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</si>
  <si>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Deviation Survey</t>
  </si>
  <si>
    <t>MD</t>
  </si>
  <si>
    <t>TVD</t>
  </si>
  <si>
    <t>Leanne Graham</t>
  </si>
  <si>
    <t>Bret</t>
  </si>
  <si>
    <t>Sincere@april.biz</t>
  </si>
  <si>
    <t>Gwenborough</t>
  </si>
  <si>
    <t>1-770-736-8031 x56442</t>
  </si>
  <si>
    <t>hildegard.org</t>
  </si>
  <si>
    <t>Romaguera-Crona</t>
  </si>
  <si>
    <t>Ervin Howell</t>
  </si>
  <si>
    <t>Antonette</t>
  </si>
  <si>
    <t>Shanna@melissa.tv</t>
  </si>
  <si>
    <t>Wisokyburgh</t>
  </si>
  <si>
    <t>010-692-6593 x09125</t>
  </si>
  <si>
    <t>anastasia.net</t>
  </si>
  <si>
    <t>Deckow-Crist</t>
  </si>
  <si>
    <t>Clementine Bauch</t>
  </si>
  <si>
    <t>Samantha</t>
  </si>
  <si>
    <t>Nathan@yesenia.net</t>
  </si>
  <si>
    <t>McKenziehaven</t>
  </si>
  <si>
    <t>1-463-123-4447</t>
  </si>
  <si>
    <t>ramiro.info</t>
  </si>
  <si>
    <t>Romaguera-Jacobson</t>
  </si>
  <si>
    <t>Patricia Lebsack</t>
  </si>
  <si>
    <t>Karianne</t>
  </si>
  <si>
    <t>Julianne.OConner@kory.org</t>
  </si>
  <si>
    <t>South Elvis</t>
  </si>
  <si>
    <t>493-170-9623 x156</t>
  </si>
  <si>
    <t>kale.biz</t>
  </si>
  <si>
    <t>Robel-Corkery</t>
  </si>
  <si>
    <t>Chelsey Dietrich</t>
  </si>
  <si>
    <t>Kamren</t>
  </si>
  <si>
    <t>Lucio_Hettinger@annie.ca</t>
  </si>
  <si>
    <t>Roscoeview</t>
  </si>
  <si>
    <t>(254)954-1289</t>
  </si>
  <si>
    <t>demarco.info</t>
  </si>
  <si>
    <t>Keebler LLC</t>
  </si>
  <si>
    <t>Mrs. Dennis Schulist</t>
  </si>
  <si>
    <t>Leopoldo_Corkery</t>
  </si>
  <si>
    <t>Karley_Dach@jasper.info</t>
  </si>
  <si>
    <t>South Christy</t>
  </si>
  <si>
    <t>1-477-935-8478 x6430</t>
  </si>
  <si>
    <t>ola.org</t>
  </si>
  <si>
    <t>Considine-Lockman</t>
  </si>
  <si>
    <t>Kurtis Weissnat</t>
  </si>
  <si>
    <t>Elwyn.Skiles</t>
  </si>
  <si>
    <t>Telly.Hoeger@billy.biz</t>
  </si>
  <si>
    <t>Howemouth</t>
  </si>
  <si>
    <t>210.067.6132</t>
  </si>
  <si>
    <t>elvis.io</t>
  </si>
  <si>
    <t>Johns Group</t>
  </si>
  <si>
    <t>Nicholas Runolfsdottir V</t>
  </si>
  <si>
    <t>Maxime_Nienow</t>
  </si>
  <si>
    <t>Sherwood@rosamond.me</t>
  </si>
  <si>
    <t>Aliyaview</t>
  </si>
  <si>
    <t>586.493.6943 x140</t>
  </si>
  <si>
    <t>jacynthe.com</t>
  </si>
  <si>
    <t>Abernathy Group</t>
  </si>
  <si>
    <t>Glenna Reichert</t>
  </si>
  <si>
    <t>Delphine</t>
  </si>
  <si>
    <t>Chaim_McDermott@dana.io</t>
  </si>
  <si>
    <t>Bartholomebury</t>
  </si>
  <si>
    <t>(775)976-6794 x41206</t>
  </si>
  <si>
    <t>conrad.com</t>
  </si>
  <si>
    <t>Yost and Sons</t>
  </si>
  <si>
    <t>Clementina DuBuque</t>
  </si>
  <si>
    <t>Moriah.Stanton</t>
  </si>
  <si>
    <t>Rey.Padberg@karina.biz</t>
  </si>
  <si>
    <t>Lebsackbury</t>
  </si>
  <si>
    <t>024-648-3804</t>
  </si>
  <si>
    <t>ambrose.net</t>
  </si>
  <si>
    <t>Hoeger LLC</t>
  </si>
  <si>
    <t>BRU 211-26 (Beluga Sterling PA)</t>
  </si>
  <si>
    <t>BRU 212-18 (Beluga Sterling PA)</t>
  </si>
  <si>
    <t>BRU 212-24S (Beluga Sterling PA)</t>
  </si>
  <si>
    <t>BRU 212-25 (Beluga Sterling PA)</t>
  </si>
  <si>
    <t>BRU 212-26 (Beluga Sterling PA)</t>
  </si>
  <si>
    <t>BRU 212-35 (Beluga Sterling PA)</t>
  </si>
  <si>
    <t>BRU 212-35T (Beluga Sterling PA)</t>
  </si>
  <si>
    <t>BRU 214-13 (Beluga Sterling PA)</t>
  </si>
  <si>
    <t>BRU 214-26S (Beluga Sterling PA)</t>
  </si>
  <si>
    <t>BRU 214-35 (Beluga Sterling PA)</t>
  </si>
  <si>
    <t>BRU 221-23 (Beluga Sterling PA)</t>
  </si>
  <si>
    <t>BRU 222-24 (Beluga Sterling PA)</t>
  </si>
  <si>
    <t>BRU 222-34 (Beluga Sterling PA)</t>
  </si>
  <si>
    <t>BRU 223-24 (Tyonek Undefined)</t>
  </si>
  <si>
    <t>BRU 224-13S (Beluga Sterling PA)</t>
  </si>
  <si>
    <t>BRU 224-23S (Beluga Sterling PA)</t>
  </si>
  <si>
    <t>BRU 224-23T (Beluga Sterling PA)</t>
  </si>
  <si>
    <t>BRU 224-34 (Beluga Sterling PA)</t>
  </si>
  <si>
    <t>BRU 232-04 (Beluga Sterling PA)</t>
  </si>
  <si>
    <t>BRU 232-09 (Beluga Sterling PA)</t>
  </si>
  <si>
    <t>BRU 232-23 (Beluga Sterling PA)</t>
  </si>
  <si>
    <t>BRU 232-26S (Beluga Sterling PA)</t>
  </si>
  <si>
    <t>BRU 233-23 (Beluga Sterling PA)</t>
  </si>
  <si>
    <t>BRU 233-27 (Beluga Sterling PA)</t>
  </si>
  <si>
    <t>BRU 241-04 (Beluga Sterling PA)</t>
  </si>
  <si>
    <t>BRU 241-34S (Beluga Sterling PA)</t>
  </si>
  <si>
    <t>BRU 241-34T (Beluga Sterling PA)</t>
  </si>
  <si>
    <t>BRU 242-04 (Beluga Sterling PA)</t>
  </si>
  <si>
    <t>BRU 243-34S (Beluga Sterling PA)</t>
  </si>
  <si>
    <t>BRU 244-04S (Beluga Sterling PA)</t>
  </si>
  <si>
    <t>BRU 244-23 (Beluga Sterling PA)</t>
  </si>
  <si>
    <t>BRU 244-27 (Beluga Sterling PA)</t>
  </si>
  <si>
    <t>BRU BRWD 001 WDW Beluga Sterling PA</t>
  </si>
  <si>
    <t>BRU H 001-L1</t>
  </si>
  <si>
    <t>50.0583.0020</t>
  </si>
  <si>
    <t>502832012400</t>
  </si>
  <si>
    <t>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</si>
</sst>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34925</xdr:rowOff>
    </xdr:from>
    <xdr:to>
      <xdr:col>4</xdr:col>
      <xdr:colOff>15875</xdr:colOff>
      <xdr:row>7</xdr:row>
      <xdr:rowOff>225425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243416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55032</xdr:rowOff>
    </xdr:from>
    <xdr:to>
      <xdr:col>4</xdr:col>
      <xdr:colOff>32809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55032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245533</xdr:rowOff>
    </xdr:to>
    <xdr:sp macro="[0]!cbw_dele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34926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1752600</xdr:colOff>
      <xdr:row>0</xdr:row>
      <xdr:rowOff>133350</xdr:rowOff>
    </xdr:from>
    <xdr:to>
      <xdr:col>7</xdr:col>
      <xdr:colOff>1038831</xdr:colOff>
      <xdr:row>18</xdr:row>
      <xdr:rowOff>124302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682AA6-6927-3C44-36EB-C58D3038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8675" y="133350"/>
          <a:ext cx="4344006" cy="3419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wellSelection">
    <tabColor rgb="FF00B050"/>
  </sheetPr>
  <dimension ref="A2:H39"/>
  <sheetViews>
    <sheetView zoomScale="70" zoomScaleNormal="70" workbookViewId="0">
      <selection activeCell="E18" sqref="E18"/>
    </sheetView>
  </sheetViews>
  <sheetFormatPr defaultRowHeight="21" x14ac:dyDescent="0.35"/>
  <cols>
    <col min="1" max="1" width="18.140625" style="1" customWidth="1"/>
    <col min="2" max="2" width="22.85546875" style="1" customWidth="1"/>
    <col min="3" max="3" width="19.85546875" style="1" customWidth="1"/>
    <col min="4" max="4" width="20.42578125" style="1" bestFit="1" customWidth="1"/>
    <col min="5" max="5" width="13.85546875" style="1" bestFit="1" customWidth="1"/>
    <col min="6" max="6" width="19.85546875" style="1" bestFit="1" customWidth="1"/>
    <col min="7" max="7" width="19.42578125" style="1" bestFit="1" customWidth="1"/>
    <col min="8" max="8" width="18.85546875" style="1" bestFit="1" customWidth="1"/>
    <col min="9" max="16384" width="9.140625" style="1"/>
  </cols>
  <sheetData>
    <row r="2" spans="1:8" x14ac:dyDescent="0.35">
      <c r="A2" s="11" t="s">
        <v>31</v>
      </c>
      <c r="B2" s="11"/>
      <c r="C2" s="11"/>
    </row>
    <row r="3" spans="1:8" ht="8.25" customHeight="1" x14ac:dyDescent="0.35"/>
    <row r="4" spans="1:8" x14ac:dyDescent="0.35">
      <c r="A4" s="12" t="s">
        <v>1</v>
      </c>
      <c r="B4" s="12"/>
      <c r="C4" s="12"/>
    </row>
    <row r="5" spans="1:8" x14ac:dyDescent="0.35">
      <c r="A5" s="13" t="s">
        <v>3</v>
      </c>
      <c r="B5" s="13"/>
      <c r="C5" s="13"/>
    </row>
    <row r="6" spans="1:8" ht="6.75" customHeight="1" x14ac:dyDescent="0.35"/>
    <row r="7" spans="1:8" x14ac:dyDescent="0.35">
      <c r="A7" s="12" t="s">
        <v>29</v>
      </c>
      <c r="B7" s="12"/>
      <c r="C7" s="12"/>
    </row>
    <row r="8" spans="1:8" x14ac:dyDescent="0.35">
      <c r="A8" s="13" t="s">
        <v>151</v>
      </c>
      <c r="B8" s="13"/>
      <c r="C8" s="13"/>
    </row>
    <row r="9" spans="1:8" ht="6.75" customHeight="1" x14ac:dyDescent="0.35"/>
    <row r="10" spans="1:8" x14ac:dyDescent="0.35">
      <c r="A10" s="2" t="s">
        <v>0</v>
      </c>
      <c r="B10" s="2" t="s">
        <v>41</v>
      </c>
      <c r="C10" s="2" t="s">
        <v>40</v>
      </c>
    </row>
    <row r="11" spans="1:8" ht="20.25" customHeight="1" x14ac:dyDescent="0.35">
      <c r="A11" s="8" t="s">
        <v>157</v>
      </c>
      <c r="B11" s="8" t="s">
        <v>158</v>
      </c>
      <c r="C11" s="8">
        <v>1</v>
      </c>
    </row>
    <row r="12" spans="1:8" ht="7.5" customHeight="1" x14ac:dyDescent="0.35"/>
    <row r="13" spans="1:8" s="4" customFormat="1" ht="24.75" customHeight="1" x14ac:dyDescent="0.25">
      <c r="A13" s="3" t="s">
        <v>42</v>
      </c>
      <c r="B13" s="3" t="s">
        <v>43</v>
      </c>
      <c r="C13" s="3" t="s">
        <v>44</v>
      </c>
      <c r="D13" s="3" t="s">
        <v>45</v>
      </c>
      <c r="E13" s="3" t="s">
        <v>46</v>
      </c>
      <c r="F13" s="3" t="s">
        <v>47</v>
      </c>
      <c r="G13" s="3" t="s">
        <v>48</v>
      </c>
      <c r="H13" s="3" t="s">
        <v>49</v>
      </c>
    </row>
    <row r="14" spans="1:8" s="5" customFormat="1" ht="72.75" customHeight="1" x14ac:dyDescent="0.25">
      <c r="A14" s="6" t="s">
        <v>32</v>
      </c>
      <c r="B14" s="6" t="s">
        <v>33</v>
      </c>
      <c r="C14" s="6" t="s">
        <v>34</v>
      </c>
      <c r="D14" s="6" t="s">
        <v>35</v>
      </c>
      <c r="E14" s="7" t="s">
        <v>36</v>
      </c>
      <c r="F14" s="7" t="s">
        <v>37</v>
      </c>
      <c r="G14" s="7" t="s">
        <v>38</v>
      </c>
      <c r="H14" s="7" t="s">
        <v>39</v>
      </c>
    </row>
    <row r="15" spans="1:8" x14ac:dyDescent="0.35">
      <c r="A15" t="s">
        <v>157</v>
      </c>
      <c r="B15">
        <v>1</v>
      </c>
      <c r="C15" s="9">
        <v>44971</v>
      </c>
      <c r="D15" t="s">
        <v>159</v>
      </c>
      <c r="E15">
        <v>0</v>
      </c>
      <c r="F15">
        <v>1</v>
      </c>
      <c r="G15">
        <v>1</v>
      </c>
      <c r="H15">
        <v>1</v>
      </c>
    </row>
    <row r="16" spans="1:8" x14ac:dyDescent="0.35">
      <c r="A16"/>
      <c r="B16"/>
      <c r="C16"/>
      <c r="D16"/>
      <c r="E16"/>
      <c r="F16"/>
      <c r="G16"/>
      <c r="H16"/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9B2A-43BA-4AD2-A2AC-CA09935FFE4E}">
  <sheetPr codeName="Sheet1">
    <tabColor rgb="FF002060"/>
  </sheetPr>
  <dimension ref="A2:C9"/>
  <sheetViews>
    <sheetView workbookViewId="0">
      <selection activeCell="E15" sqref="E15"/>
    </sheetView>
  </sheetViews>
  <sheetFormatPr defaultRowHeight="15" x14ac:dyDescent="0.25"/>
  <cols>
    <col min="1" max="1" width="18.28515625" customWidth="1"/>
    <col min="2" max="2" width="18.140625" customWidth="1"/>
    <col min="3" max="3" width="17.5703125" customWidth="1"/>
  </cols>
  <sheetData>
    <row r="2" spans="1:3" ht="21" x14ac:dyDescent="0.35">
      <c r="A2" s="12" t="s">
        <v>29</v>
      </c>
      <c r="B2" s="12"/>
      <c r="C2" s="12"/>
    </row>
    <row r="3" spans="1:3" ht="21" x14ac:dyDescent="0.35">
      <c r="A3" s="13" t="str">
        <f>well</f>
        <v>BRU 243-34S (Beluga Sterling PA)</v>
      </c>
      <c r="B3" s="13"/>
      <c r="C3" s="13"/>
    </row>
    <row r="4" spans="1:3" ht="9" customHeight="1" x14ac:dyDescent="0.25"/>
    <row r="5" spans="1:3" ht="21" x14ac:dyDescent="0.35">
      <c r="A5" s="2" t="s">
        <v>0</v>
      </c>
      <c r="B5" s="2" t="s">
        <v>41</v>
      </c>
      <c r="C5" s="2" t="s">
        <v>40</v>
      </c>
    </row>
    <row r="6" spans="1:3" ht="15.75" x14ac:dyDescent="0.25">
      <c r="A6" s="8" t="str">
        <f>wellKey</f>
        <v>50.0583.0020</v>
      </c>
      <c r="B6" s="8" t="str">
        <f>wellApi</f>
        <v>502832012400</v>
      </c>
      <c r="C6" s="8">
        <f>wellConfigCount</f>
        <v>1</v>
      </c>
    </row>
    <row r="7" spans="1:3" ht="9.75" customHeight="1" x14ac:dyDescent="0.25"/>
    <row r="8" spans="1:3" ht="21" x14ac:dyDescent="0.35">
      <c r="A8" s="14" t="s">
        <v>50</v>
      </c>
      <c r="B8" s="15"/>
    </row>
    <row r="9" spans="1:3" ht="15.75" x14ac:dyDescent="0.25">
      <c r="A9" s="10" t="s">
        <v>51</v>
      </c>
      <c r="B9" s="10" t="s">
        <v>52</v>
      </c>
    </row>
  </sheetData>
  <mergeCells count="3">
    <mergeCell ref="A2:C2"/>
    <mergeCell ref="A3:C3"/>
    <mergeCell ref="A8:B8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BDBC-1A97-4E30-BC11-D26F96F887E1}">
  <sheetPr codeName="Sheet2">
    <tabColor rgb="FFFFC000"/>
  </sheetPr>
  <dimension ref="A2:H11"/>
  <sheetViews>
    <sheetView tabSelected="1" workbookViewId="0">
      <selection activeCell="B14" sqref="B14"/>
    </sheetView>
  </sheetViews>
  <sheetFormatPr defaultRowHeight="15" x14ac:dyDescent="0.25"/>
  <cols>
    <col min="1" max="1" width="3" bestFit="1" customWidth="1"/>
    <col min="2" max="2" width="22.85546875" bestFit="1" customWidth="1"/>
    <col min="3" max="3" width="17.42578125" bestFit="1" customWidth="1"/>
    <col min="4" max="4" width="26.5703125" bestFit="1" customWidth="1"/>
    <col min="5" max="5" width="15.5703125" bestFit="1" customWidth="1"/>
    <col min="6" max="6" width="20.85546875" bestFit="1" customWidth="1"/>
    <col min="7" max="7" width="12.85546875" bestFit="1" customWidth="1"/>
    <col min="8" max="8" width="20" bestFit="1" customWidth="1"/>
  </cols>
  <sheetData>
    <row r="2" spans="1:8" x14ac:dyDescent="0.25">
      <c r="A2">
        <v>1</v>
      </c>
      <c r="B2" t="s">
        <v>53</v>
      </c>
      <c r="C2" t="s">
        <v>54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</row>
    <row r="3" spans="1:8" x14ac:dyDescent="0.25">
      <c r="A3">
        <v>2</v>
      </c>
      <c r="B3" t="s">
        <v>60</v>
      </c>
      <c r="C3" t="s">
        <v>61</v>
      </c>
      <c r="D3" t="s">
        <v>62</v>
      </c>
      <c r="E3" t="s">
        <v>63</v>
      </c>
      <c r="F3" t="s">
        <v>64</v>
      </c>
      <c r="G3" t="s">
        <v>65</v>
      </c>
      <c r="H3" t="s">
        <v>66</v>
      </c>
    </row>
    <row r="4" spans="1:8" x14ac:dyDescent="0.25">
      <c r="A4">
        <v>3</v>
      </c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</row>
    <row r="5" spans="1:8" x14ac:dyDescent="0.25">
      <c r="A5">
        <v>4</v>
      </c>
      <c r="B5" t="s">
        <v>74</v>
      </c>
      <c r="C5" t="s">
        <v>75</v>
      </c>
      <c r="D5" t="s">
        <v>76</v>
      </c>
      <c r="E5" t="s">
        <v>77</v>
      </c>
      <c r="F5" t="s">
        <v>78</v>
      </c>
      <c r="G5" t="s">
        <v>79</v>
      </c>
      <c r="H5" t="s">
        <v>80</v>
      </c>
    </row>
    <row r="6" spans="1:8" x14ac:dyDescent="0.25">
      <c r="A6">
        <v>5</v>
      </c>
      <c r="B6" t="s">
        <v>81</v>
      </c>
      <c r="C6" t="s">
        <v>82</v>
      </c>
      <c r="D6" t="s">
        <v>83</v>
      </c>
      <c r="E6" t="s">
        <v>84</v>
      </c>
      <c r="F6" t="s">
        <v>85</v>
      </c>
      <c r="G6" t="s">
        <v>86</v>
      </c>
      <c r="H6" t="s">
        <v>87</v>
      </c>
    </row>
    <row r="7" spans="1:8" x14ac:dyDescent="0.25">
      <c r="A7">
        <v>6</v>
      </c>
      <c r="B7" t="s">
        <v>88</v>
      </c>
      <c r="C7" t="s">
        <v>89</v>
      </c>
      <c r="D7" t="s">
        <v>90</v>
      </c>
      <c r="E7" t="s">
        <v>91</v>
      </c>
      <c r="F7" t="s">
        <v>92</v>
      </c>
      <c r="G7" t="s">
        <v>93</v>
      </c>
      <c r="H7" t="s">
        <v>94</v>
      </c>
    </row>
    <row r="8" spans="1:8" x14ac:dyDescent="0.25">
      <c r="A8">
        <v>7</v>
      </c>
      <c r="B8" t="s">
        <v>95</v>
      </c>
      <c r="C8" t="s">
        <v>96</v>
      </c>
      <c r="D8" t="s">
        <v>97</v>
      </c>
      <c r="E8" t="s">
        <v>98</v>
      </c>
      <c r="F8" t="s">
        <v>99</v>
      </c>
      <c r="G8" t="s">
        <v>100</v>
      </c>
      <c r="H8" t="s">
        <v>101</v>
      </c>
    </row>
    <row r="9" spans="1:8" x14ac:dyDescent="0.25">
      <c r="A9">
        <v>8</v>
      </c>
      <c r="B9" t="s">
        <v>102</v>
      </c>
      <c r="C9" t="s">
        <v>103</v>
      </c>
      <c r="D9" t="s">
        <v>104</v>
      </c>
      <c r="E9" t="s">
        <v>105</v>
      </c>
      <c r="F9" t="s">
        <v>106</v>
      </c>
      <c r="G9" t="s">
        <v>107</v>
      </c>
      <c r="H9" t="s">
        <v>108</v>
      </c>
    </row>
    <row r="10" spans="1:8" x14ac:dyDescent="0.25">
      <c r="A10">
        <v>9</v>
      </c>
      <c r="B10" t="s">
        <v>109</v>
      </c>
      <c r="C10" t="s">
        <v>110</v>
      </c>
      <c r="D10" t="s">
        <v>111</v>
      </c>
      <c r="E10" t="s">
        <v>112</v>
      </c>
      <c r="F10" t="s">
        <v>113</v>
      </c>
      <c r="G10" t="s">
        <v>114</v>
      </c>
      <c r="H10" t="s">
        <v>115</v>
      </c>
    </row>
    <row r="11" spans="1:8" x14ac:dyDescent="0.25">
      <c r="A11">
        <v>10</v>
      </c>
      <c r="B11" t="s">
        <v>116</v>
      </c>
      <c r="C11" t="s">
        <v>117</v>
      </c>
      <c r="D11" t="s">
        <v>118</v>
      </c>
      <c r="E11" t="s">
        <v>119</v>
      </c>
      <c r="F11" t="s">
        <v>120</v>
      </c>
      <c r="G11" t="s">
        <v>121</v>
      </c>
      <c r="H11" t="s">
        <v>122</v>
      </c>
    </row>
  </sheetData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allLists"/>
  <dimension ref="A5:C197"/>
  <sheetViews>
    <sheetView workbookViewId="0">
      <selection activeCell="E4" sqref="E4"/>
    </sheetView>
  </sheetViews>
  <sheetFormatPr defaultRowHeight="21" x14ac:dyDescent="0.35"/>
  <cols>
    <col min="1" max="1" width="47.7109375" style="1" bestFit="1" customWidth="1"/>
    <col min="2" max="2" width="3.85546875" style="1" customWidth="1"/>
    <col min="3" max="3" width="45.85546875" style="1" customWidth="1"/>
    <col min="4" max="16384" width="9.140625" style="1"/>
  </cols>
  <sheetData>
    <row r="5" spans="1:3" x14ac:dyDescent="0.35">
      <c r="A5" s="3" t="s">
        <v>1</v>
      </c>
      <c r="C5" s="3" t="s">
        <v>30</v>
      </c>
    </row>
    <row r="6" spans="1:3" x14ac:dyDescent="0.35">
      <c r="A6" t="s">
        <v>2</v>
      </c>
      <c r="C6" t="s">
        <v>123</v>
      </c>
    </row>
    <row r="7" spans="1:3" x14ac:dyDescent="0.35">
      <c r="A7" t="s">
        <v>3</v>
      </c>
      <c r="C7" t="s">
        <v>124</v>
      </c>
    </row>
    <row r="8" spans="1:3" x14ac:dyDescent="0.35">
      <c r="A8" t="s">
        <v>4</v>
      </c>
      <c r="C8" t="s">
        <v>125</v>
      </c>
    </row>
    <row r="9" spans="1:3" x14ac:dyDescent="0.35">
      <c r="A9" t="s">
        <v>5</v>
      </c>
      <c r="C9" t="s">
        <v>126</v>
      </c>
    </row>
    <row r="10" spans="1:3" x14ac:dyDescent="0.35">
      <c r="A10" t="s">
        <v>6</v>
      </c>
      <c r="C10" t="s">
        <v>127</v>
      </c>
    </row>
    <row r="11" spans="1:3" x14ac:dyDescent="0.35">
      <c r="A11" t="s">
        <v>7</v>
      </c>
      <c r="C11" t="s">
        <v>128</v>
      </c>
    </row>
    <row r="12" spans="1:3" x14ac:dyDescent="0.35">
      <c r="A12" t="s">
        <v>8</v>
      </c>
      <c r="C12" t="s">
        <v>129</v>
      </c>
    </row>
    <row r="13" spans="1:3" x14ac:dyDescent="0.35">
      <c r="A13" t="s">
        <v>9</v>
      </c>
      <c r="C13" t="s">
        <v>130</v>
      </c>
    </row>
    <row r="14" spans="1:3" x14ac:dyDescent="0.35">
      <c r="A14" t="s">
        <v>10</v>
      </c>
      <c r="C14" t="s">
        <v>131</v>
      </c>
    </row>
    <row r="15" spans="1:3" x14ac:dyDescent="0.35">
      <c r="A15" t="s">
        <v>11</v>
      </c>
      <c r="C15" t="s">
        <v>132</v>
      </c>
    </row>
    <row r="16" spans="1:3" x14ac:dyDescent="0.35">
      <c r="A16" t="s">
        <v>12</v>
      </c>
      <c r="C16" t="s">
        <v>133</v>
      </c>
    </row>
    <row r="17" spans="1:3" x14ac:dyDescent="0.35">
      <c r="A17" t="s">
        <v>13</v>
      </c>
      <c r="C17" t="s">
        <v>134</v>
      </c>
    </row>
    <row r="18" spans="1:3" x14ac:dyDescent="0.35">
      <c r="A18" t="s">
        <v>14</v>
      </c>
      <c r="C18" t="s">
        <v>135</v>
      </c>
    </row>
    <row r="19" spans="1:3" x14ac:dyDescent="0.35">
      <c r="A19" t="s">
        <v>15</v>
      </c>
      <c r="C19" t="s">
        <v>136</v>
      </c>
    </row>
    <row r="20" spans="1:3" x14ac:dyDescent="0.35">
      <c r="A20" t="s">
        <v>16</v>
      </c>
      <c r="C20" t="s">
        <v>137</v>
      </c>
    </row>
    <row r="21" spans="1:3" x14ac:dyDescent="0.35">
      <c r="A21" t="s">
        <v>17</v>
      </c>
      <c r="C21" t="s">
        <v>138</v>
      </c>
    </row>
    <row r="22" spans="1:3" x14ac:dyDescent="0.35">
      <c r="A22" t="s">
        <v>18</v>
      </c>
      <c r="C22" t="s">
        <v>139</v>
      </c>
    </row>
    <row r="23" spans="1:3" x14ac:dyDescent="0.35">
      <c r="A23" t="s">
        <v>19</v>
      </c>
      <c r="C23" t="s">
        <v>140</v>
      </c>
    </row>
    <row r="24" spans="1:3" x14ac:dyDescent="0.35">
      <c r="A24" t="s">
        <v>20</v>
      </c>
      <c r="C24" t="s">
        <v>141</v>
      </c>
    </row>
    <row r="25" spans="1:3" x14ac:dyDescent="0.35">
      <c r="A25" t="s">
        <v>21</v>
      </c>
      <c r="C25" t="s">
        <v>142</v>
      </c>
    </row>
    <row r="26" spans="1:3" x14ac:dyDescent="0.35">
      <c r="A26" t="s">
        <v>22</v>
      </c>
      <c r="C26" t="s">
        <v>143</v>
      </c>
    </row>
    <row r="27" spans="1:3" x14ac:dyDescent="0.35">
      <c r="A27" t="s">
        <v>23</v>
      </c>
      <c r="C27" t="s">
        <v>144</v>
      </c>
    </row>
    <row r="28" spans="1:3" x14ac:dyDescent="0.35">
      <c r="A28" t="s">
        <v>24</v>
      </c>
      <c r="C28" t="s">
        <v>145</v>
      </c>
    </row>
    <row r="29" spans="1:3" x14ac:dyDescent="0.35">
      <c r="A29" t="s">
        <v>25</v>
      </c>
      <c r="C29" t="s">
        <v>146</v>
      </c>
    </row>
    <row r="30" spans="1:3" x14ac:dyDescent="0.35">
      <c r="A30" t="s">
        <v>26</v>
      </c>
      <c r="C30" t="s">
        <v>147</v>
      </c>
    </row>
    <row r="31" spans="1:3" x14ac:dyDescent="0.35">
      <c r="A31" t="s">
        <v>27</v>
      </c>
      <c r="C31" t="s">
        <v>148</v>
      </c>
    </row>
    <row r="32" spans="1:3" x14ac:dyDescent="0.35">
      <c r="A32" t="s">
        <v>28</v>
      </c>
      <c r="C32" t="s">
        <v>149</v>
      </c>
    </row>
    <row r="33" spans="1:3" x14ac:dyDescent="0.35">
      <c r="A33"/>
      <c r="C33" t="s">
        <v>150</v>
      </c>
    </row>
    <row r="34" spans="1:3" x14ac:dyDescent="0.35">
      <c r="A34"/>
      <c r="C34" t="s">
        <v>151</v>
      </c>
    </row>
    <row r="35" spans="1:3" x14ac:dyDescent="0.35">
      <c r="A35"/>
      <c r="C35" t="s">
        <v>152</v>
      </c>
    </row>
    <row r="36" spans="1:3" x14ac:dyDescent="0.35">
      <c r="A36"/>
      <c r="C36" t="s">
        <v>153</v>
      </c>
    </row>
    <row r="37" spans="1:3" x14ac:dyDescent="0.35">
      <c r="A37"/>
      <c r="C37" t="s">
        <v>154</v>
      </c>
    </row>
    <row r="38" spans="1:3" x14ac:dyDescent="0.35">
      <c r="A38"/>
      <c r="C38" t="s">
        <v>155</v>
      </c>
    </row>
    <row r="39" spans="1:3" x14ac:dyDescent="0.35">
      <c r="A39"/>
      <c r="C39" t="s">
        <v>156</v>
      </c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A183"/>
      <c r="C183"/>
    </row>
    <row r="184" spans="1:3" x14ac:dyDescent="0.35">
      <c r="A184"/>
      <c r="C184"/>
    </row>
    <row r="185" spans="1:3" x14ac:dyDescent="0.35">
      <c r="A185"/>
      <c r="C185"/>
    </row>
    <row r="186" spans="1:3" x14ac:dyDescent="0.35">
      <c r="A186"/>
      <c r="C186"/>
    </row>
    <row r="187" spans="1:3" x14ac:dyDescent="0.35">
      <c r="A187"/>
      <c r="C187"/>
    </row>
    <row r="188" spans="1:3" x14ac:dyDescent="0.35">
      <c r="A188"/>
      <c r="C188"/>
    </row>
    <row r="189" spans="1:3" x14ac:dyDescent="0.35">
      <c r="A189"/>
      <c r="C189"/>
    </row>
    <row r="190" spans="1:3" x14ac:dyDescent="0.35">
      <c r="A190"/>
      <c r="C190"/>
    </row>
    <row r="191" spans="1:3" x14ac:dyDescent="0.35">
      <c r="A191"/>
      <c r="C191"/>
    </row>
    <row r="192" spans="1:3" x14ac:dyDescent="0.35">
      <c r="A192"/>
      <c r="C192"/>
    </row>
    <row r="193" spans="1:3" x14ac:dyDescent="0.35">
      <c r="A193"/>
      <c r="C193"/>
    </row>
    <row r="194" spans="1:3" x14ac:dyDescent="0.35">
      <c r="C194"/>
    </row>
    <row r="195" spans="1:3" x14ac:dyDescent="0.35">
      <c r="C195"/>
    </row>
    <row r="196" spans="1:3" x14ac:dyDescent="0.35">
      <c r="C196"/>
    </row>
    <row r="197" spans="1:3" x14ac:dyDescent="0.35">
      <c r="C197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Well Selection</vt:lpstr>
      <vt:lpstr>Deviation Survey</vt:lpstr>
      <vt:lpstr>Configuration Details</vt:lpstr>
      <vt:lpstr>lists</vt:lpstr>
      <vt:lpstr>field</vt:lpstr>
      <vt:lpstr>well</vt:lpstr>
      <vt:lpstr>wellApi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cp:lastPrinted>2023-02-15T18:16:49Z</cp:lastPrinted>
  <dcterms:created xsi:type="dcterms:W3CDTF">2023-02-09T18:25:25Z</dcterms:created>
  <dcterms:modified xsi:type="dcterms:W3CDTF">2023-02-15T18:59:05Z</dcterms:modified>
</cp:coreProperties>
</file>