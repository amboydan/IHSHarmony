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5127327D-7A8D-4809-B27E-79B2B5C90E6A}" xr6:coauthVersionLast="47" xr6:coauthVersionMax="47" xr10:uidLastSave="{00000000-0000-0000-0000-000000000000}"/>
  <bookViews>
    <workbookView xWindow="-17550" yWindow="570" windowWidth="17265" windowHeight="11160" activeTab="1" xr2:uid="{D9037CFD-D55B-44F5-8B88-A2DAB255FBD6}"/>
  </bookViews>
  <sheets>
    <sheet name="Well Selection" sheetId="3" r:id="rId1"/>
    <sheet name="Deviation Survey" sheetId="8" r:id="rId2"/>
    <sheet name="Configuration Details" sheetId="7" r:id="rId3"/>
    <sheet name="lists" sheetId="5" state="hidden" r:id="rId4"/>
  </sheets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l">'Well Selection'!$A$8</definedName>
    <definedName name="wellApi">'Well Selection'!$B$11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6" i="8"/>
  <c r="A6" i="8"/>
  <c r="A3" i="8"/>
</calcChain>
</file>

<file path=xl/sharedStrings.xml><?xml version="1.0" encoding="utf-8"?>
<sst xmlns="http://schemas.openxmlformats.org/spreadsheetml/2006/main" count="87" uniqueCount="77">
  <si>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</si>
  <si>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</si>
  <si>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</si>
  <si>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</si>
  <si>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</si>
  <si>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</si>
  <si>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</si>
  <si>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</si>
  <si>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</si>
  <si>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</si>
  <si>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</si>
  <si>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</si>
  <si>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</si>
  <si>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</si>
  <si>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</si>
  <si>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</si>
  <si>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</si>
  <si>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</si>
  <si>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</si>
  <si>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</si>
  <si>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</si>
  <si>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</si>
  <si>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</si>
  <si>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</si>
  <si>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</si>
  <si>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</si>
  <si>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</si>
  <si>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</si>
  <si>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</si>
  <si>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</si>
  <si>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</si>
  <si>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</si>
  <si>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</si>
  <si>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</si>
  <si>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</si>
  <si>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</si>
  <si>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</si>
  <si>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</si>
  <si>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</si>
  <si>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</si>
  <si>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</si>
  <si>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API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</si>
  <si>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</si>
  <si>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</si>
  <si>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</si>
  <si>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</si>
  <si>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</si>
  <si>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</si>
  <si>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</si>
  <si>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</si>
  <si>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DCU HVA 001 Happy Valley PA</t>
  </si>
  <si>
    <t>DCU HVA 002 Happy Valley PA</t>
  </si>
  <si>
    <t>DCU HVA 003 Happy Valley PA</t>
  </si>
  <si>
    <t>DCU HVA 004 Happy Valley PA</t>
  </si>
  <si>
    <t>DCU HVA 005 Happy Valley PA</t>
  </si>
  <si>
    <t>DCU HVA 006 Happy Valley PA</t>
  </si>
  <si>
    <t>DCU HVA 007 Happy Valley PA</t>
  </si>
  <si>
    <t>DCU HVA 008 Happy Valley PA</t>
  </si>
  <si>
    <t>DCU HVA 009 Happy Valley PA</t>
  </si>
  <si>
    <t>DCU HVA 010 Happy Valley PA</t>
  </si>
  <si>
    <t>DCU HVA 011 Happy Valley PA</t>
  </si>
  <si>
    <t>DCU HVB 012 Happy Valley PA</t>
  </si>
  <si>
    <t>DCU HVB 013 Happy Valley PA</t>
  </si>
  <si>
    <t>DCU HVB 014 C-061589</t>
  </si>
  <si>
    <t>DCU HVB 015 Happy Valley PA</t>
  </si>
  <si>
    <t>DCU HVB 016A Happy Valley PA</t>
  </si>
  <si>
    <t>DCU HVB 017 Happy Valley PA</t>
  </si>
  <si>
    <t>DCU NNA 001 WDW Happy Valley PA</t>
  </si>
  <si>
    <t>DCU Star 001</t>
  </si>
  <si>
    <t>50.0586.0019</t>
  </si>
  <si>
    <t>502312004900</t>
  </si>
  <si>
    <t>Initial</t>
  </si>
  <si>
    <t>Current Config</t>
  </si>
  <si>
    <t>Deviation Survey</t>
  </si>
  <si>
    <t>MD</t>
  </si>
  <si>
    <t>TVD</t>
  </si>
  <si>
    <t>adjf;ladik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</si>
</sst>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14" fontId="0" fillId="0" borderId="0" xfId="0" applyNumberFormat="1"/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28575</xdr:rowOff>
    </xdr:from>
    <xdr:to>
      <xdr:col>4</xdr:col>
      <xdr:colOff>15875</xdr:colOff>
      <xdr:row>7</xdr:row>
      <xdr:rowOff>219075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237066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48682</xdr:rowOff>
    </xdr:from>
    <xdr:to>
      <xdr:col>4</xdr:col>
      <xdr:colOff>26459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48682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242358</xdr:rowOff>
    </xdr:to>
    <xdr:sp macro="[0]!cbw_dele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31751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wellSelection">
    <tabColor rgb="FF00B050"/>
  </sheetPr>
  <dimension ref="A2:H39"/>
  <sheetViews>
    <sheetView zoomScale="90" zoomScaleNormal="90" workbookViewId="0">
      <selection activeCell="J22" sqref="J22"/>
    </sheetView>
  </sheetViews>
  <sheetFormatPr defaultRowHeight="21" x14ac:dyDescent="0.35"/>
  <cols>
    <col min="1" max="1" width="18.140625" style="1" customWidth="1"/>
    <col min="2" max="2" width="22.85546875" style="1" customWidth="1"/>
    <col min="3" max="3" width="19.85546875" style="1" customWidth="1"/>
    <col min="4" max="4" width="20.42578125" style="1" bestFit="1" customWidth="1"/>
    <col min="5" max="5" width="13.85546875" style="1" bestFit="1" customWidth="1"/>
    <col min="6" max="6" width="19.85546875" style="1" bestFit="1" customWidth="1"/>
    <col min="7" max="7" width="19.42578125" style="1" bestFit="1" customWidth="1"/>
    <col min="8" max="8" width="18.85546875" style="1" bestFit="1" customWidth="1"/>
    <col min="9" max="16384" width="9.140625" style="1"/>
  </cols>
  <sheetData>
    <row r="2" spans="1:8" x14ac:dyDescent="0.35">
      <c r="A2" s="10" t="s">
        <v>31</v>
      </c>
      <c r="B2" s="10"/>
      <c r="C2" s="10"/>
    </row>
    <row r="3" spans="1:8" ht="8.25" customHeight="1" x14ac:dyDescent="0.35"/>
    <row r="4" spans="1:8" x14ac:dyDescent="0.35">
      <c r="A4" s="11" t="s">
        <v>1</v>
      </c>
      <c r="B4" s="11"/>
      <c r="C4" s="11"/>
    </row>
    <row r="5" spans="1:8" x14ac:dyDescent="0.35">
      <c r="A5" s="12" t="s">
        <v>5</v>
      </c>
      <c r="B5" s="12"/>
      <c r="C5" s="12"/>
    </row>
    <row r="6" spans="1:8" ht="6.75" customHeight="1" x14ac:dyDescent="0.35"/>
    <row r="7" spans="1:8" x14ac:dyDescent="0.35">
      <c r="A7" s="11" t="s">
        <v>29</v>
      </c>
      <c r="B7" s="11"/>
      <c r="C7" s="11"/>
    </row>
    <row r="8" spans="1:8" x14ac:dyDescent="0.35">
      <c r="A8" s="12" t="s">
        <v>66</v>
      </c>
      <c r="B8" s="12"/>
      <c r="C8" s="12"/>
    </row>
    <row r="9" spans="1:8" ht="6.75" customHeight="1" x14ac:dyDescent="0.35"/>
    <row r="10" spans="1:8" x14ac:dyDescent="0.35">
      <c r="A10" s="2" t="s">
        <v>0</v>
      </c>
      <c r="B10" s="2" t="s">
        <v>41</v>
      </c>
      <c r="C10" s="2" t="s">
        <v>40</v>
      </c>
    </row>
    <row r="11" spans="1:8" ht="20.25" customHeight="1" x14ac:dyDescent="0.35">
      <c r="A11" s="8" t="s">
        <v>69</v>
      </c>
      <c r="B11" s="8" t="s">
        <v>70</v>
      </c>
      <c r="C11" s="8">
        <v>3</v>
      </c>
    </row>
    <row r="12" spans="1:8" ht="7.5" customHeight="1" x14ac:dyDescent="0.35"/>
    <row r="13" spans="1:8" s="4" customFormat="1" ht="24.75" customHeight="1" x14ac:dyDescent="0.25">
      <c r="A13" s="3" t="s">
        <v>42</v>
      </c>
      <c r="B13" s="3" t="s">
        <v>43</v>
      </c>
      <c r="C13" s="3" t="s">
        <v>44</v>
      </c>
      <c r="D13" s="3" t="s">
        <v>45</v>
      </c>
      <c r="E13" s="3" t="s">
        <v>46</v>
      </c>
      <c r="F13" s="3" t="s">
        <v>47</v>
      </c>
      <c r="G13" s="3" t="s">
        <v>48</v>
      </c>
      <c r="H13" s="3" t="s">
        <v>49</v>
      </c>
    </row>
    <row r="14" spans="1:8" s="5" customFormat="1" ht="72.75" customHeight="1" x14ac:dyDescent="0.25">
      <c r="A14" s="6" t="s">
        <v>32</v>
      </c>
      <c r="B14" s="6" t="s">
        <v>33</v>
      </c>
      <c r="C14" s="6" t="s">
        <v>34</v>
      </c>
      <c r="D14" s="6" t="s">
        <v>35</v>
      </c>
      <c r="E14" s="7" t="s">
        <v>36</v>
      </c>
      <c r="F14" s="7" t="s">
        <v>37</v>
      </c>
      <c r="G14" s="7" t="s">
        <v>38</v>
      </c>
      <c r="H14" s="7" t="s">
        <v>39</v>
      </c>
    </row>
    <row r="15" spans="1:8" x14ac:dyDescent="0.35">
      <c r="A15" t="s">
        <v>69</v>
      </c>
      <c r="B15">
        <v>1</v>
      </c>
      <c r="C15" s="9">
        <v>44971</v>
      </c>
      <c r="D15" t="s">
        <v>71</v>
      </c>
      <c r="E15">
        <v>0</v>
      </c>
      <c r="F15">
        <v>5000</v>
      </c>
      <c r="G15">
        <v>50</v>
      </c>
      <c r="H15">
        <v>100</v>
      </c>
    </row>
    <row r="16" spans="1:8" x14ac:dyDescent="0.35">
      <c r="A16" t="s">
        <v>69</v>
      </c>
      <c r="B16">
        <v>2</v>
      </c>
      <c r="C16" s="9">
        <v>44971</v>
      </c>
      <c r="D16" t="s">
        <v>72</v>
      </c>
      <c r="E16">
        <v>3</v>
      </c>
      <c r="F16">
        <v>5025</v>
      </c>
      <c r="G16">
        <v>50</v>
      </c>
      <c r="H16">
        <v>100</v>
      </c>
    </row>
    <row r="17" spans="1:8" x14ac:dyDescent="0.35">
      <c r="A17" t="s">
        <v>69</v>
      </c>
      <c r="B17">
        <v>3</v>
      </c>
      <c r="C17" s="9">
        <v>44971</v>
      </c>
      <c r="D17" t="s">
        <v>76</v>
      </c>
      <c r="E17">
        <v>0</v>
      </c>
      <c r="F17">
        <v>1</v>
      </c>
      <c r="G17">
        <v>1</v>
      </c>
      <c r="H17">
        <v>1</v>
      </c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/>
      <c r="B19"/>
      <c r="C19"/>
      <c r="D19"/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9B2A-43BA-4AD2-A2AC-CA09935FFE4E}">
  <sheetPr codeName="Sheet1">
    <tabColor rgb="FF002060"/>
  </sheetPr>
  <dimension ref="A2:C9"/>
  <sheetViews>
    <sheetView tabSelected="1" workbookViewId="0">
      <selection activeCell="D11" sqref="D11"/>
    </sheetView>
  </sheetViews>
  <sheetFormatPr defaultRowHeight="15" x14ac:dyDescent="0.25"/>
  <cols>
    <col min="1" max="1" width="18.28515625" customWidth="1"/>
    <col min="2" max="2" width="18.140625" customWidth="1"/>
    <col min="3" max="3" width="17.5703125" customWidth="1"/>
  </cols>
  <sheetData>
    <row r="2" spans="1:3" ht="21" x14ac:dyDescent="0.35">
      <c r="A2" s="11" t="s">
        <v>29</v>
      </c>
      <c r="B2" s="11"/>
      <c r="C2" s="11"/>
    </row>
    <row r="3" spans="1:3" ht="21" x14ac:dyDescent="0.35">
      <c r="A3" s="12" t="str">
        <f>well</f>
        <v>DCU HVB 017 Happy Valley PA</v>
      </c>
      <c r="B3" s="12"/>
      <c r="C3" s="12"/>
    </row>
    <row r="4" spans="1:3" ht="9" customHeight="1" x14ac:dyDescent="0.25"/>
    <row r="5" spans="1:3" ht="21" x14ac:dyDescent="0.35">
      <c r="A5" s="2" t="s">
        <v>0</v>
      </c>
      <c r="B5" s="2" t="s">
        <v>41</v>
      </c>
      <c r="C5" s="2" t="s">
        <v>40</v>
      </c>
    </row>
    <row r="6" spans="1:3" ht="15.75" x14ac:dyDescent="0.25">
      <c r="A6" s="8" t="str">
        <f>wellKey</f>
        <v>50.0586.0019</v>
      </c>
      <c r="B6" s="8" t="str">
        <f>wellApi</f>
        <v>502312004900</v>
      </c>
      <c r="C6" s="8">
        <f>wellConfigCount</f>
        <v>3</v>
      </c>
    </row>
    <row r="7" spans="1:3" ht="9.75" customHeight="1" x14ac:dyDescent="0.25"/>
    <row r="8" spans="1:3" ht="21" x14ac:dyDescent="0.35">
      <c r="A8" s="13" t="s">
        <v>73</v>
      </c>
      <c r="B8" s="14"/>
    </row>
    <row r="9" spans="1:3" ht="15.75" x14ac:dyDescent="0.25">
      <c r="A9" s="15" t="s">
        <v>74</v>
      </c>
      <c r="B9" s="15" t="s">
        <v>75</v>
      </c>
    </row>
  </sheetData>
  <mergeCells count="3">
    <mergeCell ref="A2:C2"/>
    <mergeCell ref="A3:C3"/>
    <mergeCell ref="A8:B8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BDBC-1A97-4E30-BC11-D26F96F887E1}">
  <sheetPr codeName="Sheet2">
    <tabColor rgb="FFFFC000"/>
  </sheetPr>
  <dimension ref="A1"/>
  <sheetViews>
    <sheetView workbookViewId="0">
      <selection activeCell="B20" sqref="B2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allLists"/>
  <dimension ref="A5:C192"/>
  <sheetViews>
    <sheetView workbookViewId="0">
      <selection activeCell="E4" sqref="E4"/>
    </sheetView>
  </sheetViews>
  <sheetFormatPr defaultRowHeight="21" x14ac:dyDescent="0.35"/>
  <cols>
    <col min="1" max="1" width="47.7109375" style="1" bestFit="1" customWidth="1"/>
    <col min="2" max="2" width="3.85546875" style="1" customWidth="1"/>
    <col min="3" max="3" width="45.85546875" style="1" customWidth="1"/>
    <col min="4" max="16384" width="9.140625" style="1"/>
  </cols>
  <sheetData>
    <row r="5" spans="1:3" x14ac:dyDescent="0.35">
      <c r="A5" s="3" t="s">
        <v>1</v>
      </c>
      <c r="C5" s="3" t="s">
        <v>30</v>
      </c>
    </row>
    <row r="6" spans="1:3" x14ac:dyDescent="0.35">
      <c r="A6" t="s">
        <v>2</v>
      </c>
      <c r="C6" t="s">
        <v>50</v>
      </c>
    </row>
    <row r="7" spans="1:3" x14ac:dyDescent="0.35">
      <c r="A7" t="s">
        <v>3</v>
      </c>
      <c r="C7" t="s">
        <v>51</v>
      </c>
    </row>
    <row r="8" spans="1:3" x14ac:dyDescent="0.35">
      <c r="A8" t="s">
        <v>4</v>
      </c>
      <c r="C8" t="s">
        <v>52</v>
      </c>
    </row>
    <row r="9" spans="1:3" x14ac:dyDescent="0.35">
      <c r="A9" t="s">
        <v>5</v>
      </c>
      <c r="C9" t="s">
        <v>53</v>
      </c>
    </row>
    <row r="10" spans="1:3" x14ac:dyDescent="0.35">
      <c r="A10" t="s">
        <v>6</v>
      </c>
      <c r="C10" t="s">
        <v>54</v>
      </c>
    </row>
    <row r="11" spans="1:3" x14ac:dyDescent="0.35">
      <c r="A11" t="s">
        <v>7</v>
      </c>
      <c r="C11" t="s">
        <v>55</v>
      </c>
    </row>
    <row r="12" spans="1:3" x14ac:dyDescent="0.35">
      <c r="A12" t="s">
        <v>8</v>
      </c>
      <c r="C12" t="s">
        <v>56</v>
      </c>
    </row>
    <row r="13" spans="1:3" x14ac:dyDescent="0.35">
      <c r="A13" t="s">
        <v>9</v>
      </c>
      <c r="C13" t="s">
        <v>57</v>
      </c>
    </row>
    <row r="14" spans="1:3" x14ac:dyDescent="0.35">
      <c r="A14" t="s">
        <v>10</v>
      </c>
      <c r="C14" t="s">
        <v>58</v>
      </c>
    </row>
    <row r="15" spans="1:3" x14ac:dyDescent="0.35">
      <c r="A15" t="s">
        <v>11</v>
      </c>
      <c r="C15" t="s">
        <v>59</v>
      </c>
    </row>
    <row r="16" spans="1:3" x14ac:dyDescent="0.35">
      <c r="A16" t="s">
        <v>12</v>
      </c>
      <c r="C16" t="s">
        <v>60</v>
      </c>
    </row>
    <row r="17" spans="1:3" x14ac:dyDescent="0.35">
      <c r="A17" t="s">
        <v>13</v>
      </c>
      <c r="C17" t="s">
        <v>61</v>
      </c>
    </row>
    <row r="18" spans="1:3" x14ac:dyDescent="0.35">
      <c r="A18" t="s">
        <v>14</v>
      </c>
      <c r="C18" t="s">
        <v>62</v>
      </c>
    </row>
    <row r="19" spans="1:3" x14ac:dyDescent="0.35">
      <c r="A19" t="s">
        <v>15</v>
      </c>
      <c r="C19" t="s">
        <v>63</v>
      </c>
    </row>
    <row r="20" spans="1:3" x14ac:dyDescent="0.35">
      <c r="A20" t="s">
        <v>16</v>
      </c>
      <c r="C20" t="s">
        <v>64</v>
      </c>
    </row>
    <row r="21" spans="1:3" x14ac:dyDescent="0.35">
      <c r="A21" t="s">
        <v>17</v>
      </c>
      <c r="C21" t="s">
        <v>65</v>
      </c>
    </row>
    <row r="22" spans="1:3" x14ac:dyDescent="0.35">
      <c r="A22" t="s">
        <v>18</v>
      </c>
      <c r="C22" t="s">
        <v>66</v>
      </c>
    </row>
    <row r="23" spans="1:3" x14ac:dyDescent="0.35">
      <c r="A23" t="s">
        <v>19</v>
      </c>
      <c r="C23" t="s">
        <v>67</v>
      </c>
    </row>
    <row r="24" spans="1:3" x14ac:dyDescent="0.35">
      <c r="A24" t="s">
        <v>20</v>
      </c>
      <c r="C24" t="s">
        <v>68</v>
      </c>
    </row>
    <row r="25" spans="1:3" x14ac:dyDescent="0.35">
      <c r="A25" t="s">
        <v>21</v>
      </c>
      <c r="C25"/>
    </row>
    <row r="26" spans="1:3" x14ac:dyDescent="0.35">
      <c r="A26" t="s">
        <v>22</v>
      </c>
      <c r="C26"/>
    </row>
    <row r="27" spans="1:3" x14ac:dyDescent="0.35">
      <c r="A27" t="s">
        <v>23</v>
      </c>
      <c r="C27"/>
    </row>
    <row r="28" spans="1:3" x14ac:dyDescent="0.35">
      <c r="A28" t="s">
        <v>24</v>
      </c>
      <c r="C28"/>
    </row>
    <row r="29" spans="1:3" x14ac:dyDescent="0.35">
      <c r="A29" t="s">
        <v>25</v>
      </c>
      <c r="C29"/>
    </row>
    <row r="30" spans="1:3" x14ac:dyDescent="0.35">
      <c r="A30" t="s">
        <v>26</v>
      </c>
      <c r="C30"/>
    </row>
    <row r="31" spans="1:3" x14ac:dyDescent="0.35">
      <c r="A31" t="s">
        <v>27</v>
      </c>
      <c r="C31"/>
    </row>
    <row r="32" spans="1:3" x14ac:dyDescent="0.35">
      <c r="A32" t="s">
        <v>28</v>
      </c>
      <c r="C32"/>
    </row>
    <row r="33" spans="1:3" x14ac:dyDescent="0.35">
      <c r="A33"/>
      <c r="C33"/>
    </row>
    <row r="34" spans="1:3" x14ac:dyDescent="0.35">
      <c r="A34"/>
      <c r="C34"/>
    </row>
    <row r="35" spans="1:3" x14ac:dyDescent="0.35">
      <c r="A35"/>
      <c r="C35"/>
    </row>
    <row r="36" spans="1:3" x14ac:dyDescent="0.35">
      <c r="A36"/>
      <c r="C36"/>
    </row>
    <row r="37" spans="1:3" x14ac:dyDescent="0.35">
      <c r="A37"/>
      <c r="C37"/>
    </row>
    <row r="38" spans="1:3" x14ac:dyDescent="0.35">
      <c r="A38"/>
      <c r="C38"/>
    </row>
    <row r="39" spans="1:3" x14ac:dyDescent="0.35">
      <c r="A39"/>
      <c r="C39"/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A183"/>
      <c r="C183"/>
    </row>
    <row r="184" spans="1:3" x14ac:dyDescent="0.35">
      <c r="A184"/>
      <c r="C184"/>
    </row>
    <row r="185" spans="1:3" x14ac:dyDescent="0.35">
      <c r="A185"/>
      <c r="C185"/>
    </row>
    <row r="186" spans="1:3" x14ac:dyDescent="0.35">
      <c r="A186"/>
      <c r="C186"/>
    </row>
    <row r="187" spans="1:3" x14ac:dyDescent="0.35">
      <c r="A187"/>
      <c r="C187"/>
    </row>
    <row r="188" spans="1:3" x14ac:dyDescent="0.35">
      <c r="A188"/>
      <c r="C188"/>
    </row>
    <row r="189" spans="1:3" x14ac:dyDescent="0.35">
      <c r="A189"/>
      <c r="C189"/>
    </row>
    <row r="190" spans="1:3" x14ac:dyDescent="0.35">
      <c r="A190"/>
      <c r="C190"/>
    </row>
    <row r="191" spans="1:3" x14ac:dyDescent="0.35">
      <c r="C191"/>
    </row>
    <row r="192" spans="1:3" x14ac:dyDescent="0.35">
      <c r="C192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Well Selection</vt:lpstr>
      <vt:lpstr>Deviation Survey</vt:lpstr>
      <vt:lpstr>Configuration Details</vt:lpstr>
      <vt:lpstr>lists</vt:lpstr>
      <vt:lpstr>field</vt:lpstr>
      <vt:lpstr>well</vt:lpstr>
      <vt:lpstr>wellApi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2023-02-09T18:25:25Z</dcterms:created>
  <dcterms:modified xsi:type="dcterms:W3CDTF">2023-02-14T19:44:08Z</dcterms:modified>
</cp:coreProperties>
</file>