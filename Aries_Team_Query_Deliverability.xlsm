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hilcorp.com\share\Alaska\Depts\Kenai\OptEng\drt\projects\IHSHarmony\"/>
    </mc:Choice>
  </mc:AlternateContent>
  <xr:revisionPtr revIDLastSave="0" documentId="13_ncr:1_{82C0A400-32E4-4DA0-B8D9-5B8275377514}" xr6:coauthVersionLast="47" xr6:coauthVersionMax="47" xr10:uidLastSave="{00000000-0000-0000-0000-000000000000}"/>
  <bookViews>
    <workbookView xWindow="-120" yWindow="-120" windowWidth="29040" windowHeight="17640" activeTab="2" xr2:uid="{AE30B4C8-AFFF-464C-95D8-7F17F361D53F}"/>
  </bookViews>
  <sheets>
    <sheet name="Pivot" sheetId="3" r:id="rId1"/>
    <sheet name="Aries_Query" sheetId="1" r:id="rId2"/>
    <sheet name="Sheet1" sheetId="4" r:id="rId3"/>
  </sheets>
  <definedNames>
    <definedName name="_xlnm._FilterDatabase" localSheetId="1" hidden="1">Aries_Query!#REF!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4" i="4" l="1"/>
  <c r="L3" i="4"/>
  <c r="L5" i="4"/>
  <c r="L6" i="4"/>
  <c r="D3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D158" i="4"/>
  <c r="D159" i="4"/>
  <c r="D160" i="4"/>
  <c r="D161" i="4"/>
  <c r="D162" i="4"/>
  <c r="D163" i="4"/>
  <c r="D164" i="4"/>
  <c r="D165" i="4"/>
  <c r="D166" i="4"/>
  <c r="D167" i="4"/>
  <c r="D168" i="4"/>
  <c r="D169" i="4"/>
  <c r="D170" i="4"/>
  <c r="D171" i="4"/>
  <c r="D172" i="4"/>
  <c r="D173" i="4"/>
  <c r="D174" i="4"/>
  <c r="D175" i="4"/>
  <c r="D176" i="4"/>
  <c r="D177" i="4"/>
  <c r="D178" i="4"/>
  <c r="D179" i="4"/>
  <c r="D180" i="4"/>
  <c r="D181" i="4"/>
  <c r="D182" i="4"/>
  <c r="D183" i="4"/>
  <c r="D184" i="4"/>
  <c r="D185" i="4"/>
  <c r="D186" i="4"/>
  <c r="D187" i="4"/>
  <c r="D188" i="4"/>
  <c r="D189" i="4"/>
  <c r="D190" i="4"/>
  <c r="D191" i="4"/>
  <c r="D192" i="4"/>
  <c r="D193" i="4"/>
  <c r="D194" i="4"/>
  <c r="D195" i="4"/>
  <c r="D196" i="4"/>
  <c r="D197" i="4"/>
  <c r="D198" i="4"/>
  <c r="D199" i="4"/>
  <c r="D200" i="4"/>
  <c r="D201" i="4"/>
  <c r="D202" i="4"/>
  <c r="D203" i="4"/>
  <c r="D204" i="4"/>
  <c r="D205" i="4"/>
  <c r="D206" i="4"/>
  <c r="D207" i="4"/>
  <c r="D208" i="4"/>
  <c r="D209" i="4"/>
  <c r="D210" i="4"/>
  <c r="D211" i="4"/>
  <c r="D212" i="4"/>
  <c r="D213" i="4"/>
  <c r="D214" i="4"/>
  <c r="D215" i="4"/>
  <c r="D216" i="4"/>
  <c r="D217" i="4"/>
  <c r="D218" i="4"/>
  <c r="D219" i="4"/>
  <c r="D220" i="4"/>
  <c r="D221" i="4"/>
  <c r="D222" i="4"/>
  <c r="D223" i="4"/>
  <c r="D224" i="4"/>
  <c r="D225" i="4"/>
  <c r="D226" i="4"/>
  <c r="D227" i="4"/>
  <c r="D228" i="4"/>
  <c r="D229" i="4"/>
  <c r="D230" i="4"/>
  <c r="D231" i="4"/>
  <c r="D232" i="4"/>
  <c r="D233" i="4"/>
  <c r="D234" i="4"/>
  <c r="D235" i="4"/>
  <c r="D236" i="4"/>
  <c r="D237" i="4"/>
  <c r="D238" i="4"/>
  <c r="D239" i="4"/>
  <c r="D240" i="4"/>
  <c r="D241" i="4"/>
  <c r="D242" i="4"/>
  <c r="D243" i="4"/>
  <c r="D244" i="4"/>
  <c r="D245" i="4"/>
  <c r="D246" i="4"/>
  <c r="D247" i="4"/>
  <c r="D248" i="4"/>
  <c r="D249" i="4"/>
  <c r="D250" i="4"/>
  <c r="D251" i="4"/>
  <c r="D252" i="4"/>
  <c r="D253" i="4"/>
  <c r="D254" i="4"/>
  <c r="D255" i="4"/>
  <c r="D256" i="4"/>
  <c r="D257" i="4"/>
  <c r="D258" i="4"/>
  <c r="D259" i="4"/>
  <c r="D260" i="4"/>
  <c r="D261" i="4"/>
  <c r="D262" i="4"/>
  <c r="D263" i="4"/>
  <c r="D264" i="4"/>
  <c r="D265" i="4"/>
  <c r="D266" i="4"/>
  <c r="D267" i="4"/>
  <c r="D268" i="4"/>
  <c r="D269" i="4"/>
  <c r="D270" i="4"/>
  <c r="D271" i="4"/>
  <c r="D272" i="4"/>
  <c r="D273" i="4"/>
  <c r="D274" i="4"/>
  <c r="D275" i="4"/>
  <c r="D276" i="4"/>
  <c r="D277" i="4"/>
  <c r="D278" i="4"/>
  <c r="D279" i="4"/>
  <c r="D280" i="4"/>
  <c r="D281" i="4"/>
  <c r="D282" i="4"/>
  <c r="D283" i="4"/>
  <c r="D284" i="4"/>
  <c r="D285" i="4"/>
  <c r="D286" i="4"/>
  <c r="D287" i="4"/>
  <c r="D288" i="4"/>
  <c r="D289" i="4"/>
  <c r="D290" i="4"/>
  <c r="D291" i="4"/>
  <c r="D292" i="4"/>
  <c r="D293" i="4"/>
  <c r="D294" i="4"/>
  <c r="D295" i="4"/>
  <c r="D296" i="4"/>
  <c r="D297" i="4"/>
  <c r="D298" i="4"/>
  <c r="D299" i="4"/>
  <c r="D300" i="4"/>
  <c r="D301" i="4"/>
  <c r="D302" i="4"/>
  <c r="D303" i="4"/>
  <c r="D304" i="4"/>
  <c r="D305" i="4"/>
  <c r="D306" i="4"/>
  <c r="D307" i="4"/>
  <c r="D308" i="4"/>
  <c r="D309" i="4"/>
  <c r="D310" i="4"/>
  <c r="D311" i="4"/>
  <c r="D312" i="4"/>
  <c r="D313" i="4"/>
  <c r="D314" i="4"/>
  <c r="D315" i="4"/>
  <c r="D316" i="4"/>
  <c r="D317" i="4"/>
  <c r="D318" i="4"/>
  <c r="D319" i="4"/>
  <c r="D320" i="4"/>
  <c r="D321" i="4"/>
  <c r="D322" i="4"/>
  <c r="D323" i="4"/>
  <c r="D324" i="4"/>
  <c r="D325" i="4"/>
  <c r="D326" i="4"/>
  <c r="D327" i="4"/>
  <c r="D328" i="4"/>
  <c r="D329" i="4"/>
  <c r="D330" i="4"/>
  <c r="D331" i="4"/>
  <c r="D332" i="4"/>
  <c r="D333" i="4"/>
  <c r="D334" i="4"/>
  <c r="D335" i="4"/>
  <c r="D336" i="4"/>
  <c r="D337" i="4"/>
  <c r="D338" i="4"/>
  <c r="D339" i="4"/>
  <c r="D340" i="4"/>
  <c r="D341" i="4"/>
  <c r="D342" i="4"/>
  <c r="D343" i="4"/>
  <c r="D344" i="4"/>
  <c r="D345" i="4"/>
  <c r="D346" i="4"/>
  <c r="D347" i="4"/>
  <c r="D348" i="4"/>
  <c r="D349" i="4"/>
  <c r="D350" i="4"/>
  <c r="D351" i="4"/>
  <c r="D352" i="4"/>
  <c r="D353" i="4"/>
  <c r="D354" i="4"/>
  <c r="D355" i="4"/>
  <c r="D356" i="4"/>
  <c r="D357" i="4"/>
  <c r="D358" i="4"/>
  <c r="D359" i="4"/>
  <c r="D360" i="4"/>
  <c r="D361" i="4"/>
  <c r="D362" i="4"/>
  <c r="D363" i="4"/>
  <c r="D364" i="4"/>
  <c r="D365" i="4"/>
  <c r="D366" i="4"/>
  <c r="D367" i="4"/>
  <c r="D368" i="4"/>
  <c r="D369" i="4"/>
  <c r="D370" i="4"/>
  <c r="D371" i="4"/>
  <c r="D372" i="4"/>
  <c r="D373" i="4"/>
  <c r="D374" i="4"/>
  <c r="D375" i="4"/>
  <c r="D376" i="4"/>
  <c r="D377" i="4"/>
  <c r="D378" i="4"/>
  <c r="D379" i="4"/>
  <c r="D380" i="4"/>
  <c r="D381" i="4"/>
  <c r="D382" i="4"/>
  <c r="D383" i="4"/>
  <c r="D384" i="4"/>
  <c r="D385" i="4"/>
  <c r="D386" i="4"/>
  <c r="D387" i="4"/>
  <c r="D388" i="4"/>
  <c r="D389" i="4"/>
  <c r="D390" i="4"/>
  <c r="D391" i="4"/>
  <c r="D392" i="4"/>
  <c r="D393" i="4"/>
  <c r="D394" i="4"/>
  <c r="D395" i="4"/>
  <c r="D396" i="4"/>
  <c r="D397" i="4"/>
  <c r="D398" i="4"/>
  <c r="D399" i="4"/>
  <c r="D400" i="4"/>
  <c r="D401" i="4"/>
  <c r="D402" i="4"/>
  <c r="D403" i="4"/>
  <c r="D404" i="4"/>
  <c r="D405" i="4"/>
  <c r="D406" i="4"/>
  <c r="D407" i="4"/>
  <c r="D408" i="4"/>
  <c r="D409" i="4"/>
  <c r="D410" i="4"/>
  <c r="D411" i="4"/>
  <c r="D412" i="4"/>
  <c r="D413" i="4"/>
  <c r="D414" i="4"/>
  <c r="D415" i="4"/>
  <c r="D416" i="4"/>
  <c r="D417" i="4"/>
  <c r="D418" i="4"/>
  <c r="D419" i="4"/>
  <c r="D420" i="4"/>
  <c r="D421" i="4"/>
  <c r="D422" i="4"/>
  <c r="D423" i="4"/>
  <c r="D424" i="4"/>
  <c r="D425" i="4"/>
  <c r="D426" i="4"/>
  <c r="D427" i="4"/>
  <c r="D428" i="4"/>
  <c r="D429" i="4"/>
  <c r="D430" i="4"/>
  <c r="D431" i="4"/>
  <c r="D432" i="4"/>
  <c r="D433" i="4"/>
  <c r="D434" i="4"/>
  <c r="D435" i="4"/>
  <c r="D436" i="4"/>
  <c r="D437" i="4"/>
  <c r="D438" i="4"/>
  <c r="D439" i="4"/>
  <c r="D440" i="4"/>
  <c r="D441" i="4"/>
  <c r="D442" i="4"/>
  <c r="D443" i="4"/>
  <c r="D444" i="4"/>
  <c r="D445" i="4"/>
  <c r="D446" i="4"/>
  <c r="D447" i="4"/>
  <c r="D448" i="4"/>
  <c r="D449" i="4"/>
  <c r="D450" i="4"/>
  <c r="D451" i="4"/>
  <c r="D452" i="4"/>
  <c r="D453" i="4"/>
  <c r="D454" i="4"/>
  <c r="D455" i="4"/>
  <c r="D456" i="4"/>
  <c r="D457" i="4"/>
  <c r="D458" i="4"/>
  <c r="D459" i="4"/>
  <c r="D460" i="4"/>
  <c r="D461" i="4"/>
  <c r="D462" i="4"/>
  <c r="D463" i="4"/>
  <c r="D464" i="4"/>
  <c r="D465" i="4"/>
  <c r="D466" i="4"/>
  <c r="D467" i="4"/>
  <c r="D468" i="4"/>
  <c r="D469" i="4"/>
  <c r="D470" i="4"/>
  <c r="D471" i="4"/>
  <c r="D472" i="4"/>
  <c r="D473" i="4"/>
  <c r="D474" i="4"/>
  <c r="D475" i="4"/>
  <c r="D476" i="4"/>
  <c r="D477" i="4"/>
  <c r="D478" i="4"/>
  <c r="D479" i="4"/>
  <c r="D480" i="4"/>
  <c r="D481" i="4"/>
  <c r="D482" i="4"/>
  <c r="D483" i="4"/>
  <c r="D484" i="4"/>
  <c r="D485" i="4"/>
  <c r="D486" i="4"/>
  <c r="D487" i="4"/>
  <c r="D488" i="4"/>
  <c r="D489" i="4"/>
  <c r="D490" i="4"/>
  <c r="D491" i="4"/>
  <c r="D492" i="4"/>
  <c r="D493" i="4"/>
  <c r="D494" i="4"/>
  <c r="D495" i="4"/>
  <c r="D496" i="4"/>
  <c r="D497" i="4"/>
  <c r="D498" i="4"/>
  <c r="D499" i="4"/>
  <c r="D500" i="4"/>
  <c r="D501" i="4"/>
  <c r="D502" i="4"/>
  <c r="D503" i="4"/>
  <c r="D504" i="4"/>
  <c r="D505" i="4"/>
  <c r="D506" i="4"/>
  <c r="D507" i="4"/>
  <c r="D508" i="4"/>
  <c r="D509" i="4"/>
  <c r="D510" i="4"/>
  <c r="D511" i="4"/>
  <c r="D512" i="4"/>
  <c r="D513" i="4"/>
  <c r="D514" i="4"/>
  <c r="D515" i="4"/>
  <c r="D516" i="4"/>
  <c r="D517" i="4"/>
  <c r="D518" i="4"/>
  <c r="D519" i="4"/>
  <c r="D520" i="4"/>
  <c r="D521" i="4"/>
  <c r="D522" i="4"/>
  <c r="D523" i="4"/>
  <c r="D524" i="4"/>
  <c r="D525" i="4"/>
  <c r="D526" i="4"/>
  <c r="D527" i="4"/>
  <c r="D528" i="4"/>
  <c r="D529" i="4"/>
  <c r="D530" i="4"/>
  <c r="D531" i="4"/>
  <c r="D532" i="4"/>
  <c r="D533" i="4"/>
  <c r="D534" i="4"/>
  <c r="D535" i="4"/>
  <c r="D536" i="4"/>
  <c r="D537" i="4"/>
  <c r="D538" i="4"/>
  <c r="D539" i="4"/>
  <c r="D540" i="4"/>
  <c r="D541" i="4"/>
  <c r="D542" i="4"/>
  <c r="D543" i="4"/>
  <c r="D544" i="4"/>
  <c r="D545" i="4"/>
  <c r="D546" i="4"/>
  <c r="D547" i="4"/>
  <c r="D548" i="4"/>
  <c r="D549" i="4"/>
  <c r="D550" i="4"/>
  <c r="D551" i="4"/>
  <c r="D552" i="4"/>
  <c r="D553" i="4"/>
  <c r="D554" i="4"/>
  <c r="D555" i="4"/>
  <c r="D556" i="4"/>
  <c r="D557" i="4"/>
  <c r="D558" i="4"/>
  <c r="D559" i="4"/>
  <c r="D560" i="4"/>
  <c r="D561" i="4"/>
  <c r="D562" i="4"/>
  <c r="D563" i="4"/>
  <c r="D564" i="4"/>
  <c r="D565" i="4"/>
  <c r="D566" i="4"/>
  <c r="D567" i="4"/>
  <c r="D568" i="4"/>
  <c r="D569" i="4"/>
  <c r="D570" i="4"/>
  <c r="D571" i="4"/>
  <c r="D572" i="4"/>
  <c r="D573" i="4"/>
  <c r="D574" i="4"/>
  <c r="D575" i="4"/>
  <c r="D576" i="4"/>
  <c r="D577" i="4"/>
  <c r="D578" i="4"/>
  <c r="D579" i="4"/>
  <c r="D580" i="4"/>
  <c r="D581" i="4"/>
  <c r="D582" i="4"/>
  <c r="D583" i="4"/>
  <c r="D584" i="4"/>
  <c r="D585" i="4"/>
  <c r="D586" i="4"/>
  <c r="D587" i="4"/>
  <c r="D588" i="4"/>
  <c r="D589" i="4"/>
  <c r="D590" i="4"/>
  <c r="D591" i="4"/>
  <c r="D592" i="4"/>
  <c r="D593" i="4"/>
  <c r="D594" i="4"/>
  <c r="D595" i="4"/>
  <c r="D596" i="4"/>
  <c r="D597" i="4"/>
  <c r="D598" i="4"/>
  <c r="D599" i="4"/>
  <c r="D600" i="4"/>
  <c r="D601" i="4"/>
  <c r="D602" i="4"/>
  <c r="D603" i="4"/>
  <c r="D604" i="4"/>
  <c r="D605" i="4"/>
  <c r="D606" i="4"/>
  <c r="D607" i="4"/>
  <c r="D608" i="4"/>
  <c r="D609" i="4"/>
  <c r="D610" i="4"/>
  <c r="D611" i="4"/>
  <c r="D612" i="4"/>
  <c r="D613" i="4"/>
  <c r="D614" i="4"/>
  <c r="D615" i="4"/>
  <c r="D616" i="4"/>
  <c r="D617" i="4"/>
  <c r="D618" i="4"/>
  <c r="D619" i="4"/>
  <c r="D620" i="4"/>
  <c r="D621" i="4"/>
  <c r="D622" i="4"/>
  <c r="D623" i="4"/>
  <c r="D624" i="4"/>
  <c r="D625" i="4"/>
  <c r="D626" i="4"/>
  <c r="D627" i="4"/>
  <c r="D628" i="4"/>
  <c r="D629" i="4"/>
  <c r="D630" i="4"/>
  <c r="D631" i="4"/>
  <c r="D632" i="4"/>
  <c r="D633" i="4"/>
  <c r="D634" i="4"/>
  <c r="D635" i="4"/>
  <c r="D636" i="4"/>
  <c r="D637" i="4"/>
  <c r="D638" i="4"/>
  <c r="D639" i="4"/>
  <c r="D640" i="4"/>
  <c r="D641" i="4"/>
  <c r="D642" i="4"/>
  <c r="D643" i="4"/>
  <c r="D644" i="4"/>
  <c r="D645" i="4"/>
  <c r="D646" i="4"/>
  <c r="D647" i="4"/>
  <c r="D648" i="4"/>
  <c r="D649" i="4"/>
  <c r="D650" i="4"/>
  <c r="D651" i="4"/>
  <c r="D652" i="4"/>
  <c r="D653" i="4"/>
  <c r="D654" i="4"/>
  <c r="D655" i="4"/>
  <c r="D656" i="4"/>
  <c r="D657" i="4"/>
  <c r="D658" i="4"/>
  <c r="D659" i="4"/>
  <c r="D660" i="4"/>
  <c r="D661" i="4"/>
  <c r="D662" i="4"/>
  <c r="D663" i="4"/>
  <c r="D664" i="4"/>
  <c r="D665" i="4"/>
  <c r="D666" i="4"/>
  <c r="D667" i="4"/>
  <c r="D668" i="4"/>
  <c r="D669" i="4"/>
  <c r="D670" i="4"/>
  <c r="D671" i="4"/>
  <c r="D672" i="4"/>
  <c r="D673" i="4"/>
  <c r="D674" i="4"/>
  <c r="D675" i="4"/>
  <c r="D676" i="4"/>
  <c r="D677" i="4"/>
  <c r="D678" i="4"/>
  <c r="D679" i="4"/>
  <c r="D680" i="4"/>
  <c r="D681" i="4"/>
  <c r="D682" i="4"/>
  <c r="D683" i="4"/>
  <c r="D684" i="4"/>
  <c r="D685" i="4"/>
  <c r="D686" i="4"/>
  <c r="D687" i="4"/>
  <c r="D688" i="4"/>
  <c r="D689" i="4"/>
  <c r="D690" i="4"/>
  <c r="D691" i="4"/>
  <c r="D692" i="4"/>
  <c r="D693" i="4"/>
  <c r="D694" i="4"/>
  <c r="D695" i="4"/>
  <c r="D696" i="4"/>
  <c r="D697" i="4"/>
  <c r="D698" i="4"/>
  <c r="D699" i="4"/>
  <c r="D700" i="4"/>
  <c r="D701" i="4"/>
  <c r="D702" i="4"/>
  <c r="D703" i="4"/>
  <c r="D704" i="4"/>
  <c r="D705" i="4"/>
  <c r="D706" i="4"/>
  <c r="D707" i="4"/>
  <c r="D708" i="4"/>
  <c r="D709" i="4"/>
  <c r="D710" i="4"/>
  <c r="D711" i="4"/>
  <c r="D712" i="4"/>
  <c r="D713" i="4"/>
  <c r="D714" i="4"/>
  <c r="D715" i="4"/>
  <c r="D716" i="4"/>
  <c r="D717" i="4"/>
  <c r="D718" i="4"/>
  <c r="D719" i="4"/>
  <c r="D720" i="4"/>
  <c r="D721" i="4"/>
  <c r="D722" i="4"/>
  <c r="D723" i="4"/>
  <c r="D724" i="4"/>
  <c r="D725" i="4"/>
  <c r="D726" i="4"/>
  <c r="D727" i="4"/>
  <c r="D728" i="4"/>
  <c r="D729" i="4"/>
  <c r="D730" i="4"/>
  <c r="D731" i="4"/>
  <c r="D732" i="4"/>
  <c r="D733" i="4"/>
  <c r="D734" i="4"/>
  <c r="D735" i="4"/>
  <c r="D736" i="4"/>
  <c r="D737" i="4"/>
  <c r="D738" i="4"/>
  <c r="D739" i="4"/>
  <c r="D740" i="4"/>
  <c r="D741" i="4"/>
  <c r="D742" i="4"/>
  <c r="D743" i="4"/>
  <c r="D744" i="4"/>
  <c r="D745" i="4"/>
  <c r="D746" i="4"/>
  <c r="D747" i="4"/>
  <c r="D748" i="4"/>
  <c r="D749" i="4"/>
  <c r="D750" i="4"/>
  <c r="D751" i="4"/>
  <c r="D752" i="4"/>
  <c r="D753" i="4"/>
  <c r="D754" i="4"/>
  <c r="D755" i="4"/>
  <c r="D756" i="4"/>
  <c r="D757" i="4"/>
  <c r="D758" i="4"/>
  <c r="D759" i="4"/>
  <c r="D760" i="4"/>
  <c r="D761" i="4"/>
  <c r="D762" i="4"/>
  <c r="D763" i="4"/>
  <c r="D764" i="4"/>
  <c r="D765" i="4"/>
  <c r="D766" i="4"/>
  <c r="D767" i="4"/>
  <c r="D768" i="4"/>
  <c r="D769" i="4"/>
  <c r="D770" i="4"/>
  <c r="D771" i="4"/>
  <c r="D772" i="4"/>
  <c r="D773" i="4"/>
  <c r="D774" i="4"/>
  <c r="D775" i="4"/>
  <c r="D776" i="4"/>
  <c r="D777" i="4"/>
  <c r="D778" i="4"/>
  <c r="D779" i="4"/>
  <c r="D780" i="4"/>
  <c r="D781" i="4"/>
  <c r="D782" i="4"/>
  <c r="D783" i="4"/>
  <c r="D784" i="4"/>
  <c r="D785" i="4"/>
  <c r="D786" i="4"/>
  <c r="D787" i="4"/>
  <c r="D788" i="4"/>
  <c r="D789" i="4"/>
  <c r="D790" i="4"/>
  <c r="D791" i="4"/>
  <c r="D792" i="4"/>
  <c r="D793" i="4"/>
  <c r="D794" i="4"/>
  <c r="D795" i="4"/>
  <c r="D796" i="4"/>
  <c r="D797" i="4"/>
  <c r="D798" i="4"/>
  <c r="D799" i="4"/>
  <c r="D800" i="4"/>
  <c r="D801" i="4"/>
  <c r="D802" i="4"/>
  <c r="D803" i="4"/>
  <c r="D804" i="4"/>
  <c r="D805" i="4"/>
  <c r="D806" i="4"/>
  <c r="D807" i="4"/>
  <c r="D808" i="4"/>
  <c r="D809" i="4"/>
  <c r="D810" i="4"/>
  <c r="D811" i="4"/>
  <c r="D812" i="4"/>
  <c r="D813" i="4"/>
  <c r="D814" i="4"/>
  <c r="D815" i="4"/>
  <c r="D816" i="4"/>
  <c r="D817" i="4"/>
  <c r="D818" i="4"/>
  <c r="D819" i="4"/>
  <c r="D820" i="4"/>
  <c r="D821" i="4"/>
  <c r="D822" i="4"/>
  <c r="D823" i="4"/>
  <c r="D824" i="4"/>
  <c r="D825" i="4"/>
  <c r="D826" i="4"/>
  <c r="D827" i="4"/>
  <c r="D828" i="4"/>
  <c r="D829" i="4"/>
  <c r="D830" i="4"/>
  <c r="D831" i="4"/>
  <c r="D832" i="4"/>
  <c r="D833" i="4"/>
  <c r="D834" i="4"/>
  <c r="D835" i="4"/>
  <c r="D836" i="4"/>
  <c r="D837" i="4"/>
  <c r="D838" i="4"/>
  <c r="D839" i="4"/>
  <c r="D840" i="4"/>
  <c r="D841" i="4"/>
  <c r="D842" i="4"/>
  <c r="D843" i="4"/>
  <c r="D844" i="4"/>
  <c r="D845" i="4"/>
  <c r="D846" i="4"/>
  <c r="D847" i="4"/>
  <c r="D848" i="4"/>
  <c r="D849" i="4"/>
  <c r="D850" i="4"/>
  <c r="D851" i="4"/>
  <c r="D852" i="4"/>
  <c r="D853" i="4"/>
  <c r="D854" i="4"/>
  <c r="D855" i="4"/>
  <c r="D856" i="4"/>
  <c r="D857" i="4"/>
  <c r="D858" i="4"/>
  <c r="D859" i="4"/>
  <c r="D860" i="4"/>
  <c r="D861" i="4"/>
  <c r="D862" i="4"/>
  <c r="D863" i="4"/>
  <c r="D864" i="4"/>
  <c r="D865" i="4"/>
  <c r="D866" i="4"/>
  <c r="D867" i="4"/>
  <c r="D868" i="4"/>
  <c r="D869" i="4"/>
  <c r="D870" i="4"/>
  <c r="D871" i="4"/>
  <c r="D872" i="4"/>
  <c r="D873" i="4"/>
  <c r="D874" i="4"/>
  <c r="D875" i="4"/>
  <c r="D876" i="4"/>
  <c r="D877" i="4"/>
  <c r="D878" i="4"/>
  <c r="D879" i="4"/>
  <c r="D880" i="4"/>
  <c r="D881" i="4"/>
  <c r="D882" i="4"/>
  <c r="D883" i="4"/>
  <c r="D884" i="4"/>
  <c r="D885" i="4"/>
  <c r="D886" i="4"/>
  <c r="D887" i="4"/>
  <c r="D888" i="4"/>
  <c r="D889" i="4"/>
  <c r="D890" i="4"/>
  <c r="D891" i="4"/>
  <c r="D892" i="4"/>
  <c r="D893" i="4"/>
  <c r="D894" i="4"/>
  <c r="D895" i="4"/>
  <c r="D896" i="4"/>
  <c r="D897" i="4"/>
  <c r="D898" i="4"/>
  <c r="D899" i="4"/>
  <c r="D900" i="4"/>
  <c r="D901" i="4"/>
  <c r="D902" i="4"/>
  <c r="D903" i="4"/>
  <c r="D904" i="4"/>
  <c r="D905" i="4"/>
  <c r="D906" i="4"/>
  <c r="D907" i="4"/>
  <c r="D908" i="4"/>
  <c r="D909" i="4"/>
  <c r="D910" i="4"/>
  <c r="D911" i="4"/>
  <c r="D912" i="4"/>
  <c r="D913" i="4"/>
  <c r="D914" i="4"/>
  <c r="D915" i="4"/>
  <c r="D916" i="4"/>
  <c r="D917" i="4"/>
  <c r="D918" i="4"/>
  <c r="D919" i="4"/>
  <c r="D920" i="4"/>
  <c r="D921" i="4"/>
  <c r="D922" i="4"/>
  <c r="D923" i="4"/>
  <c r="D924" i="4"/>
  <c r="D925" i="4"/>
  <c r="D926" i="4"/>
  <c r="D927" i="4"/>
  <c r="D928" i="4"/>
  <c r="D929" i="4"/>
  <c r="D930" i="4"/>
  <c r="D931" i="4"/>
  <c r="D932" i="4"/>
  <c r="D933" i="4"/>
  <c r="D934" i="4"/>
  <c r="D935" i="4"/>
  <c r="D936" i="4"/>
  <c r="D937" i="4"/>
  <c r="D938" i="4"/>
  <c r="D939" i="4"/>
  <c r="D940" i="4"/>
  <c r="D941" i="4"/>
  <c r="D942" i="4"/>
  <c r="D943" i="4"/>
  <c r="D944" i="4"/>
  <c r="D945" i="4"/>
  <c r="D946" i="4"/>
  <c r="D947" i="4"/>
  <c r="D948" i="4"/>
  <c r="D949" i="4"/>
  <c r="D950" i="4"/>
  <c r="D951" i="4"/>
  <c r="D952" i="4"/>
  <c r="D953" i="4"/>
  <c r="D954" i="4"/>
  <c r="D955" i="4"/>
  <c r="D956" i="4"/>
  <c r="D957" i="4"/>
  <c r="D958" i="4"/>
  <c r="D959" i="4"/>
  <c r="D960" i="4"/>
  <c r="D961" i="4"/>
  <c r="D962" i="4"/>
  <c r="D963" i="4"/>
  <c r="D964" i="4"/>
  <c r="D965" i="4"/>
  <c r="D966" i="4"/>
  <c r="D967" i="4"/>
  <c r="D968" i="4"/>
  <c r="D969" i="4"/>
  <c r="D970" i="4"/>
  <c r="D971" i="4"/>
  <c r="D972" i="4"/>
  <c r="D973" i="4"/>
  <c r="D974" i="4"/>
  <c r="D975" i="4"/>
  <c r="D976" i="4"/>
  <c r="D977" i="4"/>
  <c r="D978" i="4"/>
  <c r="D979" i="4"/>
  <c r="D980" i="4"/>
  <c r="D981" i="4"/>
  <c r="D982" i="4"/>
  <c r="D983" i="4"/>
  <c r="D984" i="4"/>
  <c r="D985" i="4"/>
  <c r="D986" i="4"/>
  <c r="D987" i="4"/>
  <c r="D988" i="4"/>
  <c r="D989" i="4"/>
  <c r="D990" i="4"/>
  <c r="D991" i="4"/>
  <c r="D992" i="4"/>
  <c r="D993" i="4"/>
  <c r="D994" i="4"/>
  <c r="D995" i="4"/>
  <c r="D996" i="4"/>
  <c r="D997" i="4"/>
  <c r="D998" i="4"/>
  <c r="D999" i="4"/>
  <c r="D1000" i="4"/>
  <c r="D1001" i="4"/>
  <c r="D1002" i="4"/>
  <c r="D1003" i="4"/>
  <c r="D1004" i="4"/>
  <c r="D1005" i="4"/>
  <c r="D1006" i="4"/>
  <c r="D1007" i="4"/>
  <c r="D1008" i="4"/>
  <c r="D1009" i="4"/>
  <c r="D1010" i="4"/>
  <c r="D1011" i="4"/>
  <c r="D1012" i="4"/>
  <c r="D1013" i="4"/>
  <c r="D1014" i="4"/>
  <c r="D1015" i="4"/>
  <c r="D1016" i="4"/>
  <c r="D1017" i="4"/>
  <c r="D1018" i="4"/>
  <c r="D1019" i="4"/>
  <c r="D1020" i="4"/>
  <c r="D1021" i="4"/>
  <c r="D1022" i="4"/>
  <c r="D1023" i="4"/>
  <c r="D1024" i="4"/>
  <c r="D1025" i="4"/>
  <c r="D1026" i="4"/>
  <c r="D1027" i="4"/>
  <c r="D1028" i="4"/>
  <c r="D1029" i="4"/>
  <c r="D1030" i="4"/>
  <c r="D1031" i="4"/>
  <c r="D1032" i="4"/>
  <c r="D1033" i="4"/>
  <c r="D1034" i="4"/>
  <c r="D1035" i="4"/>
  <c r="D1036" i="4"/>
  <c r="D1037" i="4"/>
  <c r="D1038" i="4"/>
  <c r="D1039" i="4"/>
  <c r="D1040" i="4"/>
  <c r="D1041" i="4"/>
  <c r="D1042" i="4"/>
  <c r="D1043" i="4"/>
  <c r="D1044" i="4"/>
  <c r="D1045" i="4"/>
  <c r="D1046" i="4"/>
  <c r="D1047" i="4"/>
  <c r="D1048" i="4"/>
  <c r="D1049" i="4"/>
  <c r="D1050" i="4"/>
  <c r="D1051" i="4"/>
  <c r="D1052" i="4"/>
  <c r="D1053" i="4"/>
  <c r="D1054" i="4"/>
  <c r="D1055" i="4"/>
  <c r="D1056" i="4"/>
  <c r="D1057" i="4"/>
  <c r="D1058" i="4"/>
  <c r="D1059" i="4"/>
  <c r="D1060" i="4"/>
  <c r="D1061" i="4"/>
  <c r="D1062" i="4"/>
  <c r="D1063" i="4"/>
  <c r="D1064" i="4"/>
  <c r="D1065" i="4"/>
  <c r="D1066" i="4"/>
  <c r="D1067" i="4"/>
  <c r="D1068" i="4"/>
  <c r="D1069" i="4"/>
  <c r="D1070" i="4"/>
  <c r="D1071" i="4"/>
  <c r="D1072" i="4"/>
  <c r="D1073" i="4"/>
  <c r="D1074" i="4"/>
  <c r="D1075" i="4"/>
  <c r="D1076" i="4"/>
  <c r="D1077" i="4"/>
  <c r="D1078" i="4"/>
  <c r="D1079" i="4"/>
  <c r="D1080" i="4"/>
  <c r="D1081" i="4"/>
  <c r="D1082" i="4"/>
  <c r="D1083" i="4"/>
  <c r="D1084" i="4"/>
  <c r="D1085" i="4"/>
  <c r="D1086" i="4"/>
  <c r="D1087" i="4"/>
  <c r="D1088" i="4"/>
  <c r="D1089" i="4"/>
  <c r="D1090" i="4"/>
  <c r="D1091" i="4"/>
  <c r="D1092" i="4"/>
  <c r="D1093" i="4"/>
  <c r="D1094" i="4"/>
  <c r="D1095" i="4"/>
  <c r="D1096" i="4"/>
  <c r="D1097" i="4"/>
  <c r="D1098" i="4"/>
  <c r="D1099" i="4"/>
  <c r="D1100" i="4"/>
  <c r="D1101" i="4"/>
  <c r="D1102" i="4"/>
  <c r="D1103" i="4"/>
  <c r="D1104" i="4"/>
  <c r="D1105" i="4"/>
  <c r="D1106" i="4"/>
  <c r="D1107" i="4"/>
  <c r="D1108" i="4"/>
  <c r="D1109" i="4"/>
  <c r="D1110" i="4"/>
  <c r="D1111" i="4"/>
  <c r="D1112" i="4"/>
  <c r="D1113" i="4"/>
  <c r="D1114" i="4"/>
  <c r="D1115" i="4"/>
  <c r="D1116" i="4"/>
  <c r="D1117" i="4"/>
  <c r="D1118" i="4"/>
  <c r="D1119" i="4"/>
  <c r="D1120" i="4"/>
  <c r="D1121" i="4"/>
  <c r="D1122" i="4"/>
  <c r="D1123" i="4"/>
  <c r="D1124" i="4"/>
  <c r="D1125" i="4"/>
  <c r="D1126" i="4"/>
  <c r="D1127" i="4"/>
  <c r="D1128" i="4"/>
  <c r="D1129" i="4"/>
  <c r="D1130" i="4"/>
  <c r="D1131" i="4"/>
  <c r="D1132" i="4"/>
  <c r="D1133" i="4"/>
  <c r="D1134" i="4"/>
  <c r="D1135" i="4"/>
  <c r="D1136" i="4"/>
  <c r="D1137" i="4"/>
  <c r="D1138" i="4"/>
  <c r="D1139" i="4"/>
  <c r="D1140" i="4"/>
  <c r="D1141" i="4"/>
  <c r="D1142" i="4"/>
  <c r="D1143" i="4"/>
  <c r="D1144" i="4"/>
  <c r="D1145" i="4"/>
  <c r="D1146" i="4"/>
  <c r="D1147" i="4"/>
  <c r="D1148" i="4"/>
  <c r="D1149" i="4"/>
  <c r="D1150" i="4"/>
  <c r="D1151" i="4"/>
  <c r="D1152" i="4"/>
  <c r="D1153" i="4"/>
  <c r="D1154" i="4"/>
  <c r="D1155" i="4"/>
  <c r="D1156" i="4"/>
  <c r="D1157" i="4"/>
  <c r="D1158" i="4"/>
  <c r="D1159" i="4"/>
  <c r="D1160" i="4"/>
  <c r="D1161" i="4"/>
  <c r="D1162" i="4"/>
  <c r="D1163" i="4"/>
  <c r="D1164" i="4"/>
  <c r="D1165" i="4"/>
  <c r="D1166" i="4"/>
  <c r="D1167" i="4"/>
  <c r="D1168" i="4"/>
  <c r="D1169" i="4"/>
  <c r="D1170" i="4"/>
  <c r="D1171" i="4"/>
  <c r="D1172" i="4"/>
  <c r="D1173" i="4"/>
  <c r="D1174" i="4"/>
  <c r="D1175" i="4"/>
  <c r="D1176" i="4"/>
  <c r="D1177" i="4"/>
  <c r="D1178" i="4"/>
  <c r="D1179" i="4"/>
  <c r="D1180" i="4"/>
  <c r="D1181" i="4"/>
  <c r="D1182" i="4"/>
  <c r="D1183" i="4"/>
  <c r="D1184" i="4"/>
  <c r="D1185" i="4"/>
  <c r="D1186" i="4"/>
  <c r="D1187" i="4"/>
  <c r="D1188" i="4"/>
  <c r="D1189" i="4"/>
  <c r="D1190" i="4"/>
  <c r="D1191" i="4"/>
  <c r="D1192" i="4"/>
  <c r="D1193" i="4"/>
  <c r="D1194" i="4"/>
  <c r="D1195" i="4"/>
  <c r="D1196" i="4"/>
  <c r="D1197" i="4"/>
  <c r="D1198" i="4"/>
  <c r="D1199" i="4"/>
  <c r="D1200" i="4"/>
  <c r="D1201" i="4"/>
  <c r="D1202" i="4"/>
  <c r="D1203" i="4"/>
  <c r="D1204" i="4"/>
  <c r="D1205" i="4"/>
  <c r="D1206" i="4"/>
  <c r="D1207" i="4"/>
  <c r="D1208" i="4"/>
  <c r="D1209" i="4"/>
  <c r="D1210" i="4"/>
  <c r="D1211" i="4"/>
  <c r="D1212" i="4"/>
  <c r="D1213" i="4"/>
  <c r="D1214" i="4"/>
  <c r="D1215" i="4"/>
  <c r="D1216" i="4"/>
  <c r="D1217" i="4"/>
  <c r="D1218" i="4"/>
  <c r="D1219" i="4"/>
  <c r="D1220" i="4"/>
  <c r="D1221" i="4"/>
  <c r="D1222" i="4"/>
  <c r="D1223" i="4"/>
  <c r="D1224" i="4"/>
  <c r="D1225" i="4"/>
  <c r="D1226" i="4"/>
  <c r="D1227" i="4"/>
  <c r="D1228" i="4"/>
  <c r="D1229" i="4"/>
  <c r="D1230" i="4"/>
  <c r="D1231" i="4"/>
  <c r="D1232" i="4"/>
  <c r="D1233" i="4"/>
  <c r="D1234" i="4"/>
  <c r="D1235" i="4"/>
  <c r="D1236" i="4"/>
  <c r="D1237" i="4"/>
  <c r="D1238" i="4"/>
  <c r="D1239" i="4"/>
  <c r="D1240" i="4"/>
  <c r="D1241" i="4"/>
  <c r="D1242" i="4"/>
  <c r="D1243" i="4"/>
  <c r="D1244" i="4"/>
  <c r="D1245" i="4"/>
  <c r="D1246" i="4"/>
  <c r="D1247" i="4"/>
  <c r="D1248" i="4"/>
  <c r="D1249" i="4"/>
  <c r="D1250" i="4"/>
  <c r="D1251" i="4"/>
  <c r="D1252" i="4"/>
  <c r="D1253" i="4"/>
  <c r="D1254" i="4"/>
  <c r="D1255" i="4"/>
  <c r="D1256" i="4"/>
  <c r="D1257" i="4"/>
  <c r="D1258" i="4"/>
  <c r="D1259" i="4"/>
  <c r="D1260" i="4"/>
  <c r="D1261" i="4"/>
  <c r="D1262" i="4"/>
  <c r="D1263" i="4"/>
  <c r="D1264" i="4"/>
  <c r="D1265" i="4"/>
  <c r="D1266" i="4"/>
  <c r="D1267" i="4"/>
  <c r="D1268" i="4"/>
  <c r="D1269" i="4"/>
  <c r="D1270" i="4"/>
  <c r="D1271" i="4"/>
  <c r="D1272" i="4"/>
  <c r="D1273" i="4"/>
  <c r="D1274" i="4"/>
  <c r="D1275" i="4"/>
  <c r="D1276" i="4"/>
  <c r="D1277" i="4"/>
  <c r="D1278" i="4"/>
  <c r="D1279" i="4"/>
  <c r="D1280" i="4"/>
  <c r="D1281" i="4"/>
  <c r="D1282" i="4"/>
  <c r="D1283" i="4"/>
  <c r="D1284" i="4"/>
  <c r="D1285" i="4"/>
  <c r="D1286" i="4"/>
  <c r="D1287" i="4"/>
  <c r="D1288" i="4"/>
  <c r="D1289" i="4"/>
  <c r="D1290" i="4"/>
  <c r="D1291" i="4"/>
  <c r="D1292" i="4"/>
  <c r="D1293" i="4"/>
  <c r="D1294" i="4"/>
  <c r="D1295" i="4"/>
  <c r="D1296" i="4"/>
  <c r="D1297" i="4"/>
  <c r="D1298" i="4"/>
  <c r="D1299" i="4"/>
  <c r="D1300" i="4"/>
  <c r="D1301" i="4"/>
  <c r="D1302" i="4"/>
  <c r="D1303" i="4"/>
  <c r="D1304" i="4"/>
  <c r="D1305" i="4"/>
  <c r="D1306" i="4"/>
  <c r="D1307" i="4"/>
  <c r="D1308" i="4"/>
  <c r="D1309" i="4"/>
  <c r="D1310" i="4"/>
  <c r="D1311" i="4"/>
  <c r="D1312" i="4"/>
  <c r="D1313" i="4"/>
  <c r="D1314" i="4"/>
  <c r="D1315" i="4"/>
  <c r="D1316" i="4"/>
  <c r="D1317" i="4"/>
  <c r="D1318" i="4"/>
  <c r="D1319" i="4"/>
  <c r="D1320" i="4"/>
  <c r="D1321" i="4"/>
  <c r="D1322" i="4"/>
  <c r="D1323" i="4"/>
  <c r="D1324" i="4"/>
  <c r="D1325" i="4"/>
  <c r="D1326" i="4"/>
  <c r="D1327" i="4"/>
  <c r="D1328" i="4"/>
  <c r="D1329" i="4"/>
  <c r="D1330" i="4"/>
  <c r="D1331" i="4"/>
  <c r="D1332" i="4"/>
  <c r="D1333" i="4"/>
  <c r="D1334" i="4"/>
  <c r="D1335" i="4"/>
  <c r="D1336" i="4"/>
  <c r="D1337" i="4"/>
  <c r="D1338" i="4"/>
  <c r="D1339" i="4"/>
  <c r="D1340" i="4"/>
  <c r="D1341" i="4"/>
  <c r="D1342" i="4"/>
  <c r="D1343" i="4"/>
  <c r="D1344" i="4"/>
  <c r="D1345" i="4"/>
  <c r="D1346" i="4"/>
  <c r="D1347" i="4"/>
  <c r="D1348" i="4"/>
  <c r="D1349" i="4"/>
  <c r="D1350" i="4"/>
  <c r="D1351" i="4"/>
  <c r="D1352" i="4"/>
  <c r="D1353" i="4"/>
  <c r="D1354" i="4"/>
  <c r="D1355" i="4"/>
  <c r="D1356" i="4"/>
  <c r="D1357" i="4"/>
  <c r="D1358" i="4"/>
  <c r="D1359" i="4"/>
  <c r="D1360" i="4"/>
  <c r="D1361" i="4"/>
  <c r="D1362" i="4"/>
  <c r="D1363" i="4"/>
  <c r="D1364" i="4"/>
  <c r="D1365" i="4"/>
  <c r="D1366" i="4"/>
  <c r="D1367" i="4"/>
  <c r="D1368" i="4"/>
  <c r="D1369" i="4"/>
  <c r="D1370" i="4"/>
  <c r="D1371" i="4"/>
  <c r="D1372" i="4"/>
  <c r="D1373" i="4"/>
  <c r="D1374" i="4"/>
  <c r="D1375" i="4"/>
  <c r="D1376" i="4"/>
  <c r="D1377" i="4"/>
  <c r="D1378" i="4"/>
  <c r="D1379" i="4"/>
  <c r="D1380" i="4"/>
  <c r="D1381" i="4"/>
  <c r="D1382" i="4"/>
  <c r="D1383" i="4"/>
  <c r="D1384" i="4"/>
  <c r="D1385" i="4"/>
  <c r="D1386" i="4"/>
  <c r="D1387" i="4"/>
  <c r="D1388" i="4"/>
  <c r="D1389" i="4"/>
  <c r="D1390" i="4"/>
  <c r="D1391" i="4"/>
  <c r="D1392" i="4"/>
  <c r="D1393" i="4"/>
  <c r="D1394" i="4"/>
  <c r="D1395" i="4"/>
  <c r="D1396" i="4"/>
  <c r="D1397" i="4"/>
  <c r="D1398" i="4"/>
  <c r="D1399" i="4"/>
  <c r="D1400" i="4"/>
  <c r="D1401" i="4"/>
  <c r="D1402" i="4"/>
  <c r="D1403" i="4"/>
  <c r="D1404" i="4"/>
  <c r="D1405" i="4"/>
  <c r="D1406" i="4"/>
  <c r="D1407" i="4"/>
  <c r="D1408" i="4"/>
  <c r="D1409" i="4"/>
  <c r="D1410" i="4"/>
  <c r="D1411" i="4"/>
  <c r="D1412" i="4"/>
  <c r="D1413" i="4"/>
  <c r="D1414" i="4"/>
  <c r="D1415" i="4"/>
  <c r="D1416" i="4"/>
  <c r="D1417" i="4"/>
  <c r="D1418" i="4"/>
  <c r="D1419" i="4"/>
  <c r="D1420" i="4"/>
  <c r="D1421" i="4"/>
  <c r="D1422" i="4"/>
  <c r="D1423" i="4"/>
  <c r="D1424" i="4"/>
  <c r="D1425" i="4"/>
  <c r="D1426" i="4"/>
  <c r="D1427" i="4"/>
  <c r="D1428" i="4"/>
  <c r="D1429" i="4"/>
  <c r="D1430" i="4"/>
  <c r="D1431" i="4"/>
  <c r="D1432" i="4"/>
  <c r="D1433" i="4"/>
  <c r="D1434" i="4"/>
  <c r="D1435" i="4"/>
  <c r="D1436" i="4"/>
  <c r="D1437" i="4"/>
  <c r="D1438" i="4"/>
  <c r="D1439" i="4"/>
  <c r="D1440" i="4"/>
  <c r="D1441" i="4"/>
  <c r="D1442" i="4"/>
  <c r="D1443" i="4"/>
  <c r="D1444" i="4"/>
  <c r="D1445" i="4"/>
  <c r="D1446" i="4"/>
  <c r="D1447" i="4"/>
  <c r="D1448" i="4"/>
  <c r="D1449" i="4"/>
  <c r="D1450" i="4"/>
  <c r="D1451" i="4"/>
  <c r="D1452" i="4"/>
  <c r="D1453" i="4"/>
  <c r="D1454" i="4"/>
  <c r="D1455" i="4"/>
  <c r="D1456" i="4"/>
  <c r="D1457" i="4"/>
  <c r="D1458" i="4"/>
  <c r="D1459" i="4"/>
  <c r="D1460" i="4"/>
  <c r="D1461" i="4"/>
  <c r="D1462" i="4"/>
  <c r="D1463" i="4"/>
  <c r="D1464" i="4"/>
  <c r="D1465" i="4"/>
  <c r="D1466" i="4"/>
  <c r="D1467" i="4"/>
  <c r="D1468" i="4"/>
  <c r="D1469" i="4"/>
  <c r="D1470" i="4"/>
  <c r="D1471" i="4"/>
  <c r="D1472" i="4"/>
  <c r="D1473" i="4"/>
  <c r="D1474" i="4"/>
  <c r="D1475" i="4"/>
  <c r="D1476" i="4"/>
  <c r="D1477" i="4"/>
  <c r="D1478" i="4"/>
  <c r="D1479" i="4"/>
  <c r="D1480" i="4"/>
  <c r="D1481" i="4"/>
  <c r="D1482" i="4"/>
  <c r="D1483" i="4"/>
  <c r="D1484" i="4"/>
  <c r="D1485" i="4"/>
  <c r="D1486" i="4"/>
  <c r="D1487" i="4"/>
  <c r="D1488" i="4"/>
  <c r="D1489" i="4"/>
  <c r="D1490" i="4"/>
  <c r="D1491" i="4"/>
  <c r="D1492" i="4"/>
  <c r="D1493" i="4"/>
  <c r="D1494" i="4"/>
  <c r="D1495" i="4"/>
  <c r="D1496" i="4"/>
  <c r="D1497" i="4"/>
  <c r="D1498" i="4"/>
  <c r="D1499" i="4"/>
  <c r="D1500" i="4"/>
  <c r="D1501" i="4"/>
  <c r="D1502" i="4"/>
  <c r="D1503" i="4"/>
  <c r="D1504" i="4"/>
  <c r="D1505" i="4"/>
  <c r="D1506" i="4"/>
  <c r="D1507" i="4"/>
  <c r="D1508" i="4"/>
  <c r="D1509" i="4"/>
  <c r="D1510" i="4"/>
  <c r="D1511" i="4"/>
  <c r="D1512" i="4"/>
  <c r="D1513" i="4"/>
  <c r="D1514" i="4"/>
  <c r="D1515" i="4"/>
  <c r="D1516" i="4"/>
  <c r="D1517" i="4"/>
  <c r="D1518" i="4"/>
  <c r="D1519" i="4"/>
  <c r="D1520" i="4"/>
  <c r="D1521" i="4"/>
  <c r="D1522" i="4"/>
  <c r="D1523" i="4"/>
  <c r="D1524" i="4"/>
  <c r="D1525" i="4"/>
  <c r="D1526" i="4"/>
  <c r="D1527" i="4"/>
  <c r="D1528" i="4"/>
  <c r="D1529" i="4"/>
  <c r="D1530" i="4"/>
  <c r="D1531" i="4"/>
  <c r="D1532" i="4"/>
  <c r="D1533" i="4"/>
  <c r="D1534" i="4"/>
  <c r="D1535" i="4"/>
  <c r="D1536" i="4"/>
  <c r="D1537" i="4"/>
  <c r="D1538" i="4"/>
  <c r="D1539" i="4"/>
  <c r="D1540" i="4"/>
  <c r="D1541" i="4"/>
  <c r="D1542" i="4"/>
  <c r="D1543" i="4"/>
  <c r="D1544" i="4"/>
  <c r="D1545" i="4"/>
  <c r="D1546" i="4"/>
  <c r="D1547" i="4"/>
  <c r="D1548" i="4"/>
  <c r="D1549" i="4"/>
  <c r="D1550" i="4"/>
  <c r="D1551" i="4"/>
  <c r="D1552" i="4"/>
  <c r="D1553" i="4"/>
  <c r="D1554" i="4"/>
  <c r="D1555" i="4"/>
  <c r="D1556" i="4"/>
  <c r="D1557" i="4"/>
  <c r="D1558" i="4"/>
  <c r="D1559" i="4"/>
  <c r="D1560" i="4"/>
  <c r="D1561" i="4"/>
  <c r="D1562" i="4"/>
  <c r="D1563" i="4"/>
  <c r="D1564" i="4"/>
  <c r="D1565" i="4"/>
  <c r="D1566" i="4"/>
  <c r="D1567" i="4"/>
  <c r="D1568" i="4"/>
  <c r="D1569" i="4"/>
  <c r="D1570" i="4"/>
  <c r="D1571" i="4"/>
  <c r="D1572" i="4"/>
  <c r="D1573" i="4"/>
  <c r="D1574" i="4"/>
  <c r="D1575" i="4"/>
  <c r="D1576" i="4"/>
  <c r="D1577" i="4"/>
  <c r="D1578" i="4"/>
  <c r="D1579" i="4"/>
  <c r="D1580" i="4"/>
  <c r="D1581" i="4"/>
  <c r="D1582" i="4"/>
  <c r="D1583" i="4"/>
  <c r="D1584" i="4"/>
  <c r="D1585" i="4"/>
  <c r="D1586" i="4"/>
  <c r="D1587" i="4"/>
  <c r="D1588" i="4"/>
  <c r="D1589" i="4"/>
  <c r="D1590" i="4"/>
  <c r="D1591" i="4"/>
  <c r="D1592" i="4"/>
  <c r="D1593" i="4"/>
  <c r="D1594" i="4"/>
  <c r="D1595" i="4"/>
  <c r="D1596" i="4"/>
  <c r="D1597" i="4"/>
  <c r="D1598" i="4"/>
  <c r="D1599" i="4"/>
  <c r="D1600" i="4"/>
  <c r="D1601" i="4"/>
  <c r="D1602" i="4"/>
  <c r="D1603" i="4"/>
  <c r="D1604" i="4"/>
  <c r="D1605" i="4"/>
  <c r="D1606" i="4"/>
  <c r="D1607" i="4"/>
  <c r="D1608" i="4"/>
  <c r="D1609" i="4"/>
  <c r="D1610" i="4"/>
  <c r="D1611" i="4"/>
  <c r="D1612" i="4"/>
  <c r="D1613" i="4"/>
  <c r="D1614" i="4"/>
  <c r="D1615" i="4"/>
  <c r="D1616" i="4"/>
  <c r="D1617" i="4"/>
  <c r="D1618" i="4"/>
  <c r="D1619" i="4"/>
  <c r="D1620" i="4"/>
  <c r="D1621" i="4"/>
  <c r="D1622" i="4"/>
  <c r="D1623" i="4"/>
  <c r="D1624" i="4"/>
  <c r="D1625" i="4"/>
  <c r="D1626" i="4"/>
  <c r="D1627" i="4"/>
  <c r="D1628" i="4"/>
  <c r="D1629" i="4"/>
  <c r="D1630" i="4"/>
  <c r="D1631" i="4"/>
  <c r="D1632" i="4"/>
  <c r="D1633" i="4"/>
  <c r="D1634" i="4"/>
  <c r="D1635" i="4"/>
  <c r="D1636" i="4"/>
  <c r="D1637" i="4"/>
  <c r="D1638" i="4"/>
  <c r="D1639" i="4"/>
  <c r="D1640" i="4"/>
  <c r="D1641" i="4"/>
  <c r="D1642" i="4"/>
  <c r="D1643" i="4"/>
  <c r="D1644" i="4"/>
  <c r="D1645" i="4"/>
  <c r="D1646" i="4"/>
  <c r="D1647" i="4"/>
  <c r="D1648" i="4"/>
  <c r="D1649" i="4"/>
  <c r="D1650" i="4"/>
  <c r="D1651" i="4"/>
  <c r="D1652" i="4"/>
  <c r="D1653" i="4"/>
  <c r="D1654" i="4"/>
  <c r="D1655" i="4"/>
  <c r="D1656" i="4"/>
  <c r="D1657" i="4"/>
  <c r="D1658" i="4"/>
  <c r="D1659" i="4"/>
  <c r="D1660" i="4"/>
  <c r="D1661" i="4"/>
  <c r="D1662" i="4"/>
  <c r="D1663" i="4"/>
  <c r="D1664" i="4"/>
  <c r="D1665" i="4"/>
  <c r="D1666" i="4"/>
  <c r="D1667" i="4"/>
  <c r="D1668" i="4"/>
  <c r="D1669" i="4"/>
  <c r="D1670" i="4"/>
  <c r="D1671" i="4"/>
  <c r="D1672" i="4"/>
  <c r="D1673" i="4"/>
  <c r="D1674" i="4"/>
  <c r="D1675" i="4"/>
  <c r="D1676" i="4"/>
  <c r="D1677" i="4"/>
  <c r="D1678" i="4"/>
  <c r="D1679" i="4"/>
  <c r="D1680" i="4"/>
  <c r="D1681" i="4"/>
  <c r="D1682" i="4"/>
  <c r="D1683" i="4"/>
  <c r="D1684" i="4"/>
  <c r="D1685" i="4"/>
  <c r="D1686" i="4"/>
  <c r="D1687" i="4"/>
  <c r="D1688" i="4"/>
  <c r="D1689" i="4"/>
  <c r="D1690" i="4"/>
  <c r="D1691" i="4"/>
  <c r="D1692" i="4"/>
  <c r="D1693" i="4"/>
  <c r="D1694" i="4"/>
  <c r="D1695" i="4"/>
  <c r="D1696" i="4"/>
  <c r="D1697" i="4"/>
  <c r="D1698" i="4"/>
  <c r="D1699" i="4"/>
  <c r="D1700" i="4"/>
  <c r="D1701" i="4"/>
  <c r="D1702" i="4"/>
  <c r="D1703" i="4"/>
  <c r="D1704" i="4"/>
  <c r="D1705" i="4"/>
  <c r="D1706" i="4"/>
  <c r="D1707" i="4"/>
  <c r="D1708" i="4"/>
  <c r="D1709" i="4"/>
  <c r="D1710" i="4"/>
  <c r="D1711" i="4"/>
  <c r="D1712" i="4"/>
  <c r="D1713" i="4"/>
  <c r="D1714" i="4"/>
  <c r="D1715" i="4"/>
  <c r="D1716" i="4"/>
  <c r="D1717" i="4"/>
  <c r="D1718" i="4"/>
  <c r="D1719" i="4"/>
  <c r="D1720" i="4"/>
  <c r="D1721" i="4"/>
  <c r="D1722" i="4"/>
  <c r="D1723" i="4"/>
  <c r="D1724" i="4"/>
  <c r="D1725" i="4"/>
  <c r="D1726" i="4"/>
  <c r="D1727" i="4"/>
  <c r="D1728" i="4"/>
  <c r="D1729" i="4"/>
  <c r="D1730" i="4"/>
  <c r="D1731" i="4"/>
  <c r="D1732" i="4"/>
  <c r="D1733" i="4"/>
  <c r="D1734" i="4"/>
  <c r="D1735" i="4"/>
  <c r="D1736" i="4"/>
  <c r="D1737" i="4"/>
  <c r="D1738" i="4"/>
  <c r="D1739" i="4"/>
  <c r="D1740" i="4"/>
  <c r="D1741" i="4"/>
  <c r="D1742" i="4"/>
  <c r="D1743" i="4"/>
  <c r="D1744" i="4"/>
  <c r="D1745" i="4"/>
  <c r="D1746" i="4"/>
  <c r="D1747" i="4"/>
  <c r="D1748" i="4"/>
  <c r="D1749" i="4"/>
  <c r="D1750" i="4"/>
  <c r="D1751" i="4"/>
  <c r="D1752" i="4"/>
  <c r="D1753" i="4"/>
  <c r="D1754" i="4"/>
  <c r="D1755" i="4"/>
  <c r="D1756" i="4"/>
  <c r="D1757" i="4"/>
  <c r="D1758" i="4"/>
  <c r="D1759" i="4"/>
  <c r="D1760" i="4"/>
  <c r="D1761" i="4"/>
  <c r="D1762" i="4"/>
  <c r="D1763" i="4"/>
  <c r="D1764" i="4"/>
  <c r="D1765" i="4"/>
  <c r="D1766" i="4"/>
  <c r="D1767" i="4"/>
  <c r="D1768" i="4"/>
  <c r="D1769" i="4"/>
  <c r="D1770" i="4"/>
  <c r="D1771" i="4"/>
  <c r="D1772" i="4"/>
  <c r="D1773" i="4"/>
  <c r="D1774" i="4"/>
  <c r="D1775" i="4"/>
  <c r="D1776" i="4"/>
  <c r="D1777" i="4"/>
  <c r="D1778" i="4"/>
  <c r="D1779" i="4"/>
  <c r="D1780" i="4"/>
  <c r="D1781" i="4"/>
  <c r="D1782" i="4"/>
  <c r="D1783" i="4"/>
  <c r="D1784" i="4"/>
  <c r="D1785" i="4"/>
  <c r="D1786" i="4"/>
  <c r="D1787" i="4"/>
  <c r="D1788" i="4"/>
  <c r="D1789" i="4"/>
  <c r="D1790" i="4"/>
  <c r="D1791" i="4"/>
  <c r="D1792" i="4"/>
  <c r="D1793" i="4"/>
  <c r="D1794" i="4"/>
  <c r="D1795" i="4"/>
  <c r="G12" i="4"/>
  <c r="G4" i="4"/>
  <c r="G5" i="4"/>
  <c r="G6" i="4"/>
  <c r="G7" i="4"/>
  <c r="G8" i="4"/>
  <c r="G9" i="4"/>
  <c r="G10" i="4"/>
  <c r="G11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J1765" i="4" l="1" a="1"/>
  <c r="J1765" i="4" s="1"/>
  <c r="J1766" i="4" a="1"/>
  <c r="J1766" i="4" s="1"/>
  <c r="J1767" i="4" a="1"/>
  <c r="J1767" i="4" s="1"/>
  <c r="J1768" i="4" a="1"/>
  <c r="J1768" i="4" s="1"/>
  <c r="J1769" i="4" a="1"/>
  <c r="J1769" i="4" s="1"/>
  <c r="J1770" i="4" a="1"/>
  <c r="J1770" i="4" s="1"/>
  <c r="J1771" i="4" a="1"/>
  <c r="J1771" i="4" s="1"/>
  <c r="J1772" i="4" a="1"/>
  <c r="J1772" i="4" s="1"/>
  <c r="J1773" i="4" a="1"/>
  <c r="J1773" i="4" s="1"/>
  <c r="J1774" i="4" a="1"/>
  <c r="J1774" i="4" s="1"/>
  <c r="J1775" i="4" a="1"/>
  <c r="J1775" i="4" s="1"/>
  <c r="J1776" i="4" a="1"/>
  <c r="J1776" i="4" s="1"/>
  <c r="J1777" i="4" a="1"/>
  <c r="J1777" i="4" s="1"/>
  <c r="J1778" i="4" a="1"/>
  <c r="J1778" i="4" s="1"/>
  <c r="J1779" i="4" a="1"/>
  <c r="J1779" i="4" s="1"/>
  <c r="J1780" i="4" a="1"/>
  <c r="J1780" i="4" s="1"/>
  <c r="J1781" i="4" a="1"/>
  <c r="J1781" i="4" s="1"/>
  <c r="J1782" i="4" a="1"/>
  <c r="J1782" i="4" s="1"/>
  <c r="J1783" i="4" a="1"/>
  <c r="J1783" i="4" s="1"/>
  <c r="J1784" i="4" a="1"/>
  <c r="J1784" i="4" s="1"/>
  <c r="J1785" i="4" a="1"/>
  <c r="J1785" i="4" s="1"/>
  <c r="J1786" i="4" a="1"/>
  <c r="J1786" i="4" s="1"/>
  <c r="J1787" i="4" a="1"/>
  <c r="J1787" i="4" s="1"/>
  <c r="J1788" i="4" a="1"/>
  <c r="J1788" i="4" s="1"/>
  <c r="J1789" i="4" a="1"/>
  <c r="J1789" i="4" s="1"/>
  <c r="J1790" i="4" a="1"/>
  <c r="J1790" i="4" s="1"/>
  <c r="J1791" i="4" a="1"/>
  <c r="J1791" i="4" s="1"/>
  <c r="J1792" i="4" a="1"/>
  <c r="J1792" i="4" s="1"/>
  <c r="J1793" i="4" a="1"/>
  <c r="J1793" i="4" s="1"/>
  <c r="J1794" i="4" a="1"/>
  <c r="J1794" i="4" s="1"/>
  <c r="J1795" i="4" a="1"/>
  <c r="J1795" i="4" s="1"/>
  <c r="J1735" i="4" a="1"/>
  <c r="J1735" i="4" s="1"/>
  <c r="J1736" i="4" a="1"/>
  <c r="J1736" i="4" s="1"/>
  <c r="J1737" i="4" a="1"/>
  <c r="J1737" i="4" s="1"/>
  <c r="J1738" i="4" a="1"/>
  <c r="J1738" i="4" s="1"/>
  <c r="J1739" i="4" a="1"/>
  <c r="J1739" i="4" s="1"/>
  <c r="J1740" i="4" a="1"/>
  <c r="J1740" i="4" s="1"/>
  <c r="J1741" i="4" a="1"/>
  <c r="J1741" i="4" s="1"/>
  <c r="J1742" i="4" a="1"/>
  <c r="J1742" i="4" s="1"/>
  <c r="J1743" i="4" a="1"/>
  <c r="J1743" i="4" s="1"/>
  <c r="J1744" i="4" a="1"/>
  <c r="J1744" i="4" s="1"/>
  <c r="J1745" i="4" a="1"/>
  <c r="J1745" i="4" s="1"/>
  <c r="J1746" i="4" a="1"/>
  <c r="J1746" i="4" s="1"/>
  <c r="J1747" i="4" a="1"/>
  <c r="J1747" i="4" s="1"/>
  <c r="J1748" i="4" a="1"/>
  <c r="J1748" i="4" s="1"/>
  <c r="J1749" i="4" a="1"/>
  <c r="J1749" i="4" s="1"/>
  <c r="J1750" i="4" a="1"/>
  <c r="J1750" i="4" s="1"/>
  <c r="J1751" i="4" a="1"/>
  <c r="J1751" i="4" s="1"/>
  <c r="J1752" i="4" a="1"/>
  <c r="J1752" i="4" s="1"/>
  <c r="J1753" i="4" a="1"/>
  <c r="J1753" i="4" s="1"/>
  <c r="J1754" i="4" a="1"/>
  <c r="J1754" i="4" s="1"/>
  <c r="J1755" i="4" a="1"/>
  <c r="J1755" i="4" s="1"/>
  <c r="J1756" i="4" a="1"/>
  <c r="J1756" i="4" s="1"/>
  <c r="J1757" i="4" a="1"/>
  <c r="J1757" i="4" s="1"/>
  <c r="J1758" i="4" a="1"/>
  <c r="J1758" i="4" s="1"/>
  <c r="J1759" i="4" a="1"/>
  <c r="J1759" i="4" s="1"/>
  <c r="J1760" i="4" a="1"/>
  <c r="J1760" i="4" s="1"/>
  <c r="J1761" i="4" a="1"/>
  <c r="J1761" i="4" s="1"/>
  <c r="J1762" i="4" a="1"/>
  <c r="J1762" i="4" s="1"/>
  <c r="J1763" i="4" a="1"/>
  <c r="J1763" i="4" s="1"/>
  <c r="J1764" i="4" a="1"/>
  <c r="J1764" i="4" s="1"/>
  <c r="J1704" i="4" a="1"/>
  <c r="J1704" i="4" s="1"/>
  <c r="J1705" i="4" a="1"/>
  <c r="J1705" i="4" s="1"/>
  <c r="J1706" i="4" a="1"/>
  <c r="J1706" i="4" s="1"/>
  <c r="J1707" i="4" a="1"/>
  <c r="J1707" i="4" s="1"/>
  <c r="J1708" i="4" a="1"/>
  <c r="J1708" i="4" s="1"/>
  <c r="J1709" i="4" a="1"/>
  <c r="J1709" i="4" s="1"/>
  <c r="J1710" i="4" a="1"/>
  <c r="J1710" i="4" s="1"/>
  <c r="J1711" i="4" a="1"/>
  <c r="J1711" i="4" s="1"/>
  <c r="J1712" i="4" a="1"/>
  <c r="J1712" i="4" s="1"/>
  <c r="J1713" i="4" a="1"/>
  <c r="J1713" i="4" s="1"/>
  <c r="J1714" i="4" a="1"/>
  <c r="J1714" i="4" s="1"/>
  <c r="J1715" i="4" a="1"/>
  <c r="J1715" i="4" s="1"/>
  <c r="J1716" i="4" a="1"/>
  <c r="J1716" i="4" s="1"/>
  <c r="J1717" i="4" a="1"/>
  <c r="J1717" i="4" s="1"/>
  <c r="J1718" i="4" a="1"/>
  <c r="J1718" i="4" s="1"/>
  <c r="J1719" i="4" a="1"/>
  <c r="J1719" i="4" s="1"/>
  <c r="J1720" i="4" a="1"/>
  <c r="J1720" i="4" s="1"/>
  <c r="J1721" i="4" a="1"/>
  <c r="J1721" i="4" s="1"/>
  <c r="J1722" i="4" a="1"/>
  <c r="J1722" i="4" s="1"/>
  <c r="J1723" i="4" a="1"/>
  <c r="J1723" i="4" s="1"/>
  <c r="J1724" i="4" a="1"/>
  <c r="J1724" i="4" s="1"/>
  <c r="J1725" i="4" a="1"/>
  <c r="J1725" i="4" s="1"/>
  <c r="J1726" i="4" a="1"/>
  <c r="J1726" i="4" s="1"/>
  <c r="J1727" i="4" a="1"/>
  <c r="J1727" i="4" s="1"/>
  <c r="J1728" i="4" a="1"/>
  <c r="J1728" i="4" s="1"/>
  <c r="J1729" i="4" a="1"/>
  <c r="J1729" i="4" s="1"/>
  <c r="J1730" i="4" a="1"/>
  <c r="J1730" i="4" s="1"/>
  <c r="J1731" i="4" a="1"/>
  <c r="J1731" i="4" s="1"/>
  <c r="J1732" i="4" a="1"/>
  <c r="J1732" i="4" s="1"/>
  <c r="J1733" i="4" a="1"/>
  <c r="J1733" i="4" s="1"/>
  <c r="J1734" i="4" a="1"/>
  <c r="J1734" i="4" s="1"/>
  <c r="J1674" i="4" a="1"/>
  <c r="J1674" i="4" s="1"/>
  <c r="J1675" i="4" a="1"/>
  <c r="J1675" i="4" s="1"/>
  <c r="J1676" i="4" a="1"/>
  <c r="J1676" i="4" s="1"/>
  <c r="J1677" i="4" a="1"/>
  <c r="J1677" i="4" s="1"/>
  <c r="J1678" i="4" a="1"/>
  <c r="J1678" i="4" s="1"/>
  <c r="J1679" i="4" a="1"/>
  <c r="J1679" i="4" s="1"/>
  <c r="J1680" i="4" a="1"/>
  <c r="J1680" i="4" s="1"/>
  <c r="J1681" i="4" a="1"/>
  <c r="J1681" i="4" s="1"/>
  <c r="J1682" i="4" a="1"/>
  <c r="J1682" i="4" s="1"/>
  <c r="J1683" i="4" a="1"/>
  <c r="J1683" i="4" s="1"/>
  <c r="J1684" i="4" a="1"/>
  <c r="J1684" i="4" s="1"/>
  <c r="J1685" i="4" a="1"/>
  <c r="J1685" i="4" s="1"/>
  <c r="J1686" i="4" a="1"/>
  <c r="J1686" i="4" s="1"/>
  <c r="J1687" i="4" a="1"/>
  <c r="J1687" i="4" s="1"/>
  <c r="J1688" i="4" a="1"/>
  <c r="J1688" i="4" s="1"/>
  <c r="J1689" i="4" a="1"/>
  <c r="J1689" i="4" s="1"/>
  <c r="J1690" i="4" a="1"/>
  <c r="J1690" i="4" s="1"/>
  <c r="J1691" i="4" a="1"/>
  <c r="J1691" i="4" s="1"/>
  <c r="J1692" i="4" a="1"/>
  <c r="J1692" i="4" s="1"/>
  <c r="J1693" i="4" a="1"/>
  <c r="J1693" i="4" s="1"/>
  <c r="J1694" i="4" a="1"/>
  <c r="J1694" i="4" s="1"/>
  <c r="J1695" i="4" a="1"/>
  <c r="J1695" i="4" s="1"/>
  <c r="J1696" i="4" a="1"/>
  <c r="J1696" i="4" s="1"/>
  <c r="J1697" i="4" a="1"/>
  <c r="J1697" i="4" s="1"/>
  <c r="J1698" i="4" a="1"/>
  <c r="J1698" i="4" s="1"/>
  <c r="J1699" i="4" a="1"/>
  <c r="J1699" i="4" s="1"/>
  <c r="J1700" i="4" a="1"/>
  <c r="J1700" i="4" s="1"/>
  <c r="J1701" i="4" a="1"/>
  <c r="J1701" i="4" s="1"/>
  <c r="J1702" i="4" a="1"/>
  <c r="J1702" i="4" s="1"/>
  <c r="J1703" i="4" a="1"/>
  <c r="J1703" i="4" s="1"/>
  <c r="J1643" i="4" a="1"/>
  <c r="J1643" i="4" s="1"/>
  <c r="J1644" i="4" a="1"/>
  <c r="J1644" i="4" s="1"/>
  <c r="J1645" i="4" a="1"/>
  <c r="J1645" i="4" s="1"/>
  <c r="J1646" i="4" a="1"/>
  <c r="J1646" i="4" s="1"/>
  <c r="J1647" i="4" a="1"/>
  <c r="J1647" i="4" s="1"/>
  <c r="J1648" i="4" a="1"/>
  <c r="J1648" i="4" s="1"/>
  <c r="J1649" i="4" a="1"/>
  <c r="J1649" i="4" s="1"/>
  <c r="J1650" i="4" a="1"/>
  <c r="J1650" i="4" s="1"/>
  <c r="J1651" i="4" a="1"/>
  <c r="J1651" i="4" s="1"/>
  <c r="J1652" i="4" a="1"/>
  <c r="J1652" i="4" s="1"/>
  <c r="J1653" i="4" a="1"/>
  <c r="J1653" i="4" s="1"/>
  <c r="J1654" i="4" a="1"/>
  <c r="J1654" i="4" s="1"/>
  <c r="J1655" i="4" a="1"/>
  <c r="J1655" i="4" s="1"/>
  <c r="J1656" i="4" a="1"/>
  <c r="J1656" i="4" s="1"/>
  <c r="J1657" i="4" a="1"/>
  <c r="J1657" i="4" s="1"/>
  <c r="J1658" i="4" a="1"/>
  <c r="J1658" i="4" s="1"/>
  <c r="J1659" i="4" a="1"/>
  <c r="J1659" i="4" s="1"/>
  <c r="J1660" i="4" a="1"/>
  <c r="J1660" i="4" s="1"/>
  <c r="J1661" i="4" a="1"/>
  <c r="J1661" i="4" s="1"/>
  <c r="J1662" i="4" a="1"/>
  <c r="J1662" i="4" s="1"/>
  <c r="J1663" i="4" a="1"/>
  <c r="J1663" i="4" s="1"/>
  <c r="J1664" i="4" a="1"/>
  <c r="J1664" i="4" s="1"/>
  <c r="J1665" i="4" a="1"/>
  <c r="J1665" i="4" s="1"/>
  <c r="J1666" i="4" a="1"/>
  <c r="J1666" i="4" s="1"/>
  <c r="J1667" i="4" a="1"/>
  <c r="J1667" i="4" s="1"/>
  <c r="J1668" i="4" a="1"/>
  <c r="J1668" i="4" s="1"/>
  <c r="J1669" i="4" a="1"/>
  <c r="J1669" i="4" s="1"/>
  <c r="J1670" i="4" a="1"/>
  <c r="J1670" i="4" s="1"/>
  <c r="J1671" i="4" a="1"/>
  <c r="J1671" i="4" s="1"/>
  <c r="J1672" i="4" a="1"/>
  <c r="J1672" i="4" s="1"/>
  <c r="J1673" i="4" a="1"/>
  <c r="J1673" i="4" s="1"/>
  <c r="J1612" i="4" a="1"/>
  <c r="J1612" i="4" s="1"/>
  <c r="J1613" i="4" a="1"/>
  <c r="J1613" i="4" s="1"/>
  <c r="J1614" i="4" a="1"/>
  <c r="J1614" i="4" s="1"/>
  <c r="J1615" i="4" a="1"/>
  <c r="J1615" i="4" s="1"/>
  <c r="J1616" i="4" a="1"/>
  <c r="J1616" i="4" s="1"/>
  <c r="J1617" i="4" a="1"/>
  <c r="J1617" i="4" s="1"/>
  <c r="J1618" i="4" a="1"/>
  <c r="J1618" i="4" s="1"/>
  <c r="J1619" i="4" a="1"/>
  <c r="J1619" i="4" s="1"/>
  <c r="J1620" i="4" a="1"/>
  <c r="J1620" i="4" s="1"/>
  <c r="J1621" i="4" a="1"/>
  <c r="J1621" i="4" s="1"/>
  <c r="J1622" i="4" a="1"/>
  <c r="J1622" i="4" s="1"/>
  <c r="J1623" i="4" a="1"/>
  <c r="J1623" i="4" s="1"/>
  <c r="J1624" i="4" a="1"/>
  <c r="J1624" i="4" s="1"/>
  <c r="J1625" i="4" a="1"/>
  <c r="J1625" i="4" s="1"/>
  <c r="J1626" i="4" a="1"/>
  <c r="J1626" i="4" s="1"/>
  <c r="J1627" i="4" a="1"/>
  <c r="J1627" i="4" s="1"/>
  <c r="J1628" i="4" a="1"/>
  <c r="J1628" i="4" s="1"/>
  <c r="J1629" i="4" a="1"/>
  <c r="J1629" i="4" s="1"/>
  <c r="J1630" i="4" a="1"/>
  <c r="J1630" i="4" s="1"/>
  <c r="J1631" i="4" a="1"/>
  <c r="J1631" i="4" s="1"/>
  <c r="J1632" i="4" a="1"/>
  <c r="J1632" i="4" s="1"/>
  <c r="J1633" i="4" a="1"/>
  <c r="J1633" i="4" s="1"/>
  <c r="J1634" i="4" a="1"/>
  <c r="J1634" i="4" s="1"/>
  <c r="J1635" i="4" a="1"/>
  <c r="J1635" i="4" s="1"/>
  <c r="J1636" i="4" a="1"/>
  <c r="J1636" i="4" s="1"/>
  <c r="J1637" i="4" a="1"/>
  <c r="J1637" i="4" s="1"/>
  <c r="J1638" i="4" a="1"/>
  <c r="J1638" i="4" s="1"/>
  <c r="J1639" i="4" a="1"/>
  <c r="J1639" i="4" s="1"/>
  <c r="J1640" i="4" a="1"/>
  <c r="J1640" i="4" s="1"/>
  <c r="J1641" i="4" a="1"/>
  <c r="J1641" i="4" s="1"/>
  <c r="J1642" i="4" a="1"/>
  <c r="J1642" i="4" s="1"/>
  <c r="J1582" i="4" a="1"/>
  <c r="J1582" i="4" s="1"/>
  <c r="J1583" i="4" a="1"/>
  <c r="J1583" i="4" s="1"/>
  <c r="J1584" i="4" a="1"/>
  <c r="J1584" i="4" s="1"/>
  <c r="J1585" i="4" a="1"/>
  <c r="J1585" i="4" s="1"/>
  <c r="J1586" i="4" a="1"/>
  <c r="J1586" i="4" s="1"/>
  <c r="J1587" i="4" a="1"/>
  <c r="J1587" i="4" s="1"/>
  <c r="J1588" i="4" a="1"/>
  <c r="J1588" i="4" s="1"/>
  <c r="J1589" i="4" a="1"/>
  <c r="J1589" i="4" s="1"/>
  <c r="J1590" i="4" a="1"/>
  <c r="J1590" i="4" s="1"/>
  <c r="J1591" i="4" a="1"/>
  <c r="J1591" i="4" s="1"/>
  <c r="J1592" i="4" a="1"/>
  <c r="J1592" i="4" s="1"/>
  <c r="J1593" i="4" a="1"/>
  <c r="J1593" i="4" s="1"/>
  <c r="J1594" i="4" a="1"/>
  <c r="J1594" i="4" s="1"/>
  <c r="J1595" i="4" a="1"/>
  <c r="J1595" i="4" s="1"/>
  <c r="J1596" i="4" a="1"/>
  <c r="J1596" i="4" s="1"/>
  <c r="J1597" i="4" a="1"/>
  <c r="J1597" i="4" s="1"/>
  <c r="J1598" i="4" a="1"/>
  <c r="J1598" i="4" s="1"/>
  <c r="J1599" i="4" a="1"/>
  <c r="J1599" i="4" s="1"/>
  <c r="J1600" i="4" a="1"/>
  <c r="J1600" i="4" s="1"/>
  <c r="J1601" i="4" a="1"/>
  <c r="J1601" i="4" s="1"/>
  <c r="J1602" i="4" a="1"/>
  <c r="J1602" i="4" s="1"/>
  <c r="J1603" i="4" a="1"/>
  <c r="J1603" i="4" s="1"/>
  <c r="J1604" i="4" a="1"/>
  <c r="J1604" i="4" s="1"/>
  <c r="J1605" i="4" a="1"/>
  <c r="J1605" i="4" s="1"/>
  <c r="J1606" i="4" a="1"/>
  <c r="J1606" i="4" s="1"/>
  <c r="J1607" i="4" a="1"/>
  <c r="J1607" i="4" s="1"/>
  <c r="J1608" i="4" a="1"/>
  <c r="J1608" i="4" s="1"/>
  <c r="J1609" i="4" a="1"/>
  <c r="J1609" i="4" s="1"/>
  <c r="J1610" i="4" a="1"/>
  <c r="J1610" i="4" s="1"/>
  <c r="J1611" i="4" a="1"/>
  <c r="J1611" i="4" s="1"/>
  <c r="J1551" i="4" a="1"/>
  <c r="J1551" i="4" s="1"/>
  <c r="J1552" i="4" a="1"/>
  <c r="J1552" i="4" s="1"/>
  <c r="J1553" i="4" a="1"/>
  <c r="J1553" i="4" s="1"/>
  <c r="J1554" i="4" a="1"/>
  <c r="J1554" i="4" s="1"/>
  <c r="J1555" i="4" a="1"/>
  <c r="J1555" i="4" s="1"/>
  <c r="J1556" i="4" a="1"/>
  <c r="J1556" i="4" s="1"/>
  <c r="J1557" i="4" a="1"/>
  <c r="J1557" i="4" s="1"/>
  <c r="J1558" i="4" a="1"/>
  <c r="J1558" i="4" s="1"/>
  <c r="J1559" i="4" a="1"/>
  <c r="J1559" i="4" s="1"/>
  <c r="J1560" i="4" a="1"/>
  <c r="J1560" i="4" s="1"/>
  <c r="J1561" i="4" a="1"/>
  <c r="J1561" i="4" s="1"/>
  <c r="J1562" i="4" a="1"/>
  <c r="J1562" i="4" s="1"/>
  <c r="J1563" i="4" a="1"/>
  <c r="J1563" i="4" s="1"/>
  <c r="J1564" i="4" a="1"/>
  <c r="J1564" i="4" s="1"/>
  <c r="J1565" i="4" a="1"/>
  <c r="J1565" i="4" s="1"/>
  <c r="J1566" i="4" a="1"/>
  <c r="J1566" i="4" s="1"/>
  <c r="J1567" i="4" a="1"/>
  <c r="J1567" i="4" s="1"/>
  <c r="J1568" i="4" a="1"/>
  <c r="J1568" i="4" s="1"/>
  <c r="J1569" i="4" a="1"/>
  <c r="J1569" i="4" s="1"/>
  <c r="J1570" i="4" a="1"/>
  <c r="J1570" i="4" s="1"/>
  <c r="J1571" i="4" a="1"/>
  <c r="J1571" i="4" s="1"/>
  <c r="J1572" i="4" a="1"/>
  <c r="J1572" i="4" s="1"/>
  <c r="J1573" i="4" a="1"/>
  <c r="J1573" i="4" s="1"/>
  <c r="J1574" i="4" a="1"/>
  <c r="J1574" i="4" s="1"/>
  <c r="J1575" i="4" a="1"/>
  <c r="J1575" i="4" s="1"/>
  <c r="J1576" i="4" a="1"/>
  <c r="J1576" i="4" s="1"/>
  <c r="J1577" i="4" a="1"/>
  <c r="J1577" i="4" s="1"/>
  <c r="J1578" i="4" a="1"/>
  <c r="J1578" i="4" s="1"/>
  <c r="J1579" i="4" a="1"/>
  <c r="J1579" i="4" s="1"/>
  <c r="J1580" i="4" a="1"/>
  <c r="J1580" i="4" s="1"/>
  <c r="J1581" i="4" a="1"/>
  <c r="J1581" i="4" s="1"/>
  <c r="J1521" i="4" a="1"/>
  <c r="J1521" i="4" s="1"/>
  <c r="J1522" i="4" a="1"/>
  <c r="J1522" i="4" s="1"/>
  <c r="J1523" i="4" a="1"/>
  <c r="J1523" i="4" s="1"/>
  <c r="J1524" i="4" a="1"/>
  <c r="J1524" i="4" s="1"/>
  <c r="J1525" i="4" a="1"/>
  <c r="J1525" i="4" s="1"/>
  <c r="J1526" i="4" a="1"/>
  <c r="J1526" i="4" s="1"/>
  <c r="J1527" i="4" a="1"/>
  <c r="J1527" i="4" s="1"/>
  <c r="J1528" i="4" a="1"/>
  <c r="J1528" i="4" s="1"/>
  <c r="J1529" i="4" a="1"/>
  <c r="J1529" i="4" s="1"/>
  <c r="J1530" i="4" a="1"/>
  <c r="J1530" i="4" s="1"/>
  <c r="J1531" i="4" a="1"/>
  <c r="J1531" i="4" s="1"/>
  <c r="J1532" i="4" a="1"/>
  <c r="J1532" i="4" s="1"/>
  <c r="J1533" i="4" a="1"/>
  <c r="J1533" i="4" s="1"/>
  <c r="J1534" i="4" a="1"/>
  <c r="J1534" i="4" s="1"/>
  <c r="J1535" i="4" a="1"/>
  <c r="J1535" i="4" s="1"/>
  <c r="J1536" i="4" a="1"/>
  <c r="J1536" i="4" s="1"/>
  <c r="J1537" i="4" a="1"/>
  <c r="J1537" i="4" s="1"/>
  <c r="J1538" i="4" a="1"/>
  <c r="J1538" i="4" s="1"/>
  <c r="J1539" i="4" a="1"/>
  <c r="J1539" i="4" s="1"/>
  <c r="J1540" i="4" a="1"/>
  <c r="J1540" i="4" s="1"/>
  <c r="J1541" i="4" a="1"/>
  <c r="J1541" i="4" s="1"/>
  <c r="J1542" i="4" a="1"/>
  <c r="J1542" i="4" s="1"/>
  <c r="J1543" i="4" a="1"/>
  <c r="J1543" i="4" s="1"/>
  <c r="J1544" i="4" a="1"/>
  <c r="J1544" i="4" s="1"/>
  <c r="J1545" i="4" a="1"/>
  <c r="J1545" i="4" s="1"/>
  <c r="J1546" i="4" a="1"/>
  <c r="J1546" i="4" s="1"/>
  <c r="J1547" i="4" a="1"/>
  <c r="J1547" i="4" s="1"/>
  <c r="J1548" i="4" a="1"/>
  <c r="J1548" i="4" s="1"/>
  <c r="J1549" i="4" a="1"/>
  <c r="J1549" i="4" s="1"/>
  <c r="J1550" i="4" a="1"/>
  <c r="J1550" i="4" s="1"/>
  <c r="J1490" i="4" a="1"/>
  <c r="J1490" i="4" s="1"/>
  <c r="J1491" i="4" a="1"/>
  <c r="J1491" i="4" s="1"/>
  <c r="J1492" i="4" a="1"/>
  <c r="J1492" i="4" s="1"/>
  <c r="J1493" i="4" a="1"/>
  <c r="J1493" i="4" s="1"/>
  <c r="J1494" i="4" a="1"/>
  <c r="J1494" i="4" s="1"/>
  <c r="J1495" i="4" a="1"/>
  <c r="J1495" i="4" s="1"/>
  <c r="J1496" i="4" a="1"/>
  <c r="J1496" i="4" s="1"/>
  <c r="J1497" i="4" a="1"/>
  <c r="J1497" i="4" s="1"/>
  <c r="J1498" i="4" a="1"/>
  <c r="J1498" i="4" s="1"/>
  <c r="J1499" i="4" a="1"/>
  <c r="J1499" i="4" s="1"/>
  <c r="J1500" i="4" a="1"/>
  <c r="J1500" i="4" s="1"/>
  <c r="J1501" i="4" a="1"/>
  <c r="J1501" i="4" s="1"/>
  <c r="J1502" i="4" a="1"/>
  <c r="J1502" i="4" s="1"/>
  <c r="J1503" i="4" a="1"/>
  <c r="J1503" i="4" s="1"/>
  <c r="J1504" i="4" a="1"/>
  <c r="J1504" i="4" s="1"/>
  <c r="J1505" i="4" a="1"/>
  <c r="J1505" i="4" s="1"/>
  <c r="J1506" i="4" a="1"/>
  <c r="J1506" i="4" s="1"/>
  <c r="J1507" i="4" a="1"/>
  <c r="J1507" i="4" s="1"/>
  <c r="J1508" i="4" a="1"/>
  <c r="J1508" i="4" s="1"/>
  <c r="J1509" i="4" a="1"/>
  <c r="J1509" i="4" s="1"/>
  <c r="J1510" i="4" a="1"/>
  <c r="J1510" i="4" s="1"/>
  <c r="J1511" i="4" a="1"/>
  <c r="J1511" i="4" s="1"/>
  <c r="J1512" i="4" a="1"/>
  <c r="J1512" i="4" s="1"/>
  <c r="J1513" i="4" a="1"/>
  <c r="J1513" i="4" s="1"/>
  <c r="J1514" i="4" a="1"/>
  <c r="J1514" i="4" s="1"/>
  <c r="J1515" i="4" a="1"/>
  <c r="J1515" i="4" s="1"/>
  <c r="J1516" i="4" a="1"/>
  <c r="J1516" i="4" s="1"/>
  <c r="J1517" i="4" a="1"/>
  <c r="J1517" i="4" s="1"/>
  <c r="J1518" i="4" a="1"/>
  <c r="J1518" i="4" s="1"/>
  <c r="J1519" i="4" a="1"/>
  <c r="J1519" i="4" s="1"/>
  <c r="J1520" i="4" a="1"/>
  <c r="J1520" i="4" s="1"/>
  <c r="J1462" i="4" a="1"/>
  <c r="J1462" i="4" s="1"/>
  <c r="J1463" i="4" a="1"/>
  <c r="J1463" i="4" s="1"/>
  <c r="J1464" i="4" a="1"/>
  <c r="J1464" i="4" s="1"/>
  <c r="J1465" i="4" a="1"/>
  <c r="J1465" i="4" s="1"/>
  <c r="J1466" i="4" a="1"/>
  <c r="J1466" i="4" s="1"/>
  <c r="J1467" i="4" a="1"/>
  <c r="J1467" i="4" s="1"/>
  <c r="J1468" i="4" a="1"/>
  <c r="J1468" i="4" s="1"/>
  <c r="J1469" i="4" a="1"/>
  <c r="J1469" i="4" s="1"/>
  <c r="J1470" i="4" a="1"/>
  <c r="J1470" i="4" s="1"/>
  <c r="J1471" i="4" a="1"/>
  <c r="J1471" i="4" s="1"/>
  <c r="J1472" i="4" a="1"/>
  <c r="J1472" i="4" s="1"/>
  <c r="J1473" i="4" a="1"/>
  <c r="J1473" i="4" s="1"/>
  <c r="J1474" i="4" a="1"/>
  <c r="J1474" i="4" s="1"/>
  <c r="J1475" i="4" a="1"/>
  <c r="J1475" i="4" s="1"/>
  <c r="J1476" i="4" a="1"/>
  <c r="J1476" i="4" s="1"/>
  <c r="J1477" i="4" a="1"/>
  <c r="J1477" i="4" s="1"/>
  <c r="J1478" i="4" a="1"/>
  <c r="J1478" i="4" s="1"/>
  <c r="J1479" i="4" a="1"/>
  <c r="J1479" i="4" s="1"/>
  <c r="J1480" i="4" a="1"/>
  <c r="J1480" i="4" s="1"/>
  <c r="J1481" i="4" a="1"/>
  <c r="J1481" i="4" s="1"/>
  <c r="J1482" i="4" a="1"/>
  <c r="J1482" i="4" s="1"/>
  <c r="J1483" i="4" a="1"/>
  <c r="J1483" i="4" s="1"/>
  <c r="J1484" i="4" a="1"/>
  <c r="J1484" i="4" s="1"/>
  <c r="J1485" i="4" a="1"/>
  <c r="J1485" i="4" s="1"/>
  <c r="J1486" i="4" a="1"/>
  <c r="J1486" i="4" s="1"/>
  <c r="J1487" i="4" a="1"/>
  <c r="J1487" i="4" s="1"/>
  <c r="J1488" i="4" a="1"/>
  <c r="J1488" i="4" s="1"/>
  <c r="J1489" i="4" a="1"/>
  <c r="J1489" i="4" s="1"/>
  <c r="J1431" i="4" a="1"/>
  <c r="J1431" i="4" s="1"/>
  <c r="J1432" i="4" a="1"/>
  <c r="J1432" i="4" s="1"/>
  <c r="J1433" i="4" a="1"/>
  <c r="J1433" i="4" s="1"/>
  <c r="J1434" i="4" a="1"/>
  <c r="J1434" i="4" s="1"/>
  <c r="J1435" i="4" a="1"/>
  <c r="J1435" i="4" s="1"/>
  <c r="J1436" i="4" a="1"/>
  <c r="J1436" i="4" s="1"/>
  <c r="J1437" i="4" a="1"/>
  <c r="J1437" i="4" s="1"/>
  <c r="J1438" i="4" a="1"/>
  <c r="J1438" i="4" s="1"/>
  <c r="J1439" i="4" a="1"/>
  <c r="J1439" i="4" s="1"/>
  <c r="J1440" i="4" a="1"/>
  <c r="J1440" i="4" s="1"/>
  <c r="J1441" i="4" a="1"/>
  <c r="J1441" i="4" s="1"/>
  <c r="J1442" i="4" a="1"/>
  <c r="J1442" i="4" s="1"/>
  <c r="J1443" i="4" a="1"/>
  <c r="J1443" i="4" s="1"/>
  <c r="J1444" i="4" a="1"/>
  <c r="J1444" i="4" s="1"/>
  <c r="J1445" i="4" a="1"/>
  <c r="J1445" i="4" s="1"/>
  <c r="J1446" i="4" a="1"/>
  <c r="J1446" i="4" s="1"/>
  <c r="J1447" i="4" a="1"/>
  <c r="J1447" i="4" s="1"/>
  <c r="J1448" i="4" a="1"/>
  <c r="J1448" i="4" s="1"/>
  <c r="J1449" i="4" a="1"/>
  <c r="J1449" i="4" s="1"/>
  <c r="J1450" i="4" a="1"/>
  <c r="J1450" i="4" s="1"/>
  <c r="J1451" i="4" a="1"/>
  <c r="J1451" i="4" s="1"/>
  <c r="J1452" i="4" a="1"/>
  <c r="J1452" i="4" s="1"/>
  <c r="J1453" i="4" a="1"/>
  <c r="J1453" i="4" s="1"/>
  <c r="J1454" i="4" a="1"/>
  <c r="J1454" i="4" s="1"/>
  <c r="J1455" i="4" a="1"/>
  <c r="J1455" i="4" s="1"/>
  <c r="J1456" i="4" a="1"/>
  <c r="J1456" i="4" s="1"/>
  <c r="J1457" i="4" a="1"/>
  <c r="J1457" i="4" s="1"/>
  <c r="J1458" i="4" a="1"/>
  <c r="J1458" i="4" s="1"/>
  <c r="J1459" i="4" a="1"/>
  <c r="J1459" i="4" s="1"/>
  <c r="J1460" i="4" a="1"/>
  <c r="J1460" i="4" s="1"/>
  <c r="J1461" i="4" a="1"/>
  <c r="J1461" i="4" s="1"/>
  <c r="J1400" i="4" a="1"/>
  <c r="J1400" i="4" s="1"/>
  <c r="J1401" i="4" a="1"/>
  <c r="J1401" i="4" s="1"/>
  <c r="J1402" i="4" a="1"/>
  <c r="J1402" i="4" s="1"/>
  <c r="J1403" i="4" a="1"/>
  <c r="J1403" i="4" s="1"/>
  <c r="J1404" i="4" a="1"/>
  <c r="J1404" i="4" s="1"/>
  <c r="J1405" i="4" a="1"/>
  <c r="J1405" i="4" s="1"/>
  <c r="J1406" i="4" a="1"/>
  <c r="J1406" i="4" s="1"/>
  <c r="J1407" i="4" a="1"/>
  <c r="J1407" i="4" s="1"/>
  <c r="J1408" i="4" a="1"/>
  <c r="J1408" i="4" s="1"/>
  <c r="J1409" i="4" a="1"/>
  <c r="J1409" i="4" s="1"/>
  <c r="J1410" i="4" a="1"/>
  <c r="J1410" i="4" s="1"/>
  <c r="J1411" i="4" a="1"/>
  <c r="J1411" i="4" s="1"/>
  <c r="J1412" i="4" a="1"/>
  <c r="J1412" i="4" s="1"/>
  <c r="J1413" i="4" a="1"/>
  <c r="J1413" i="4" s="1"/>
  <c r="J1414" i="4" a="1"/>
  <c r="J1414" i="4" s="1"/>
  <c r="J1415" i="4" a="1"/>
  <c r="J1415" i="4" s="1"/>
  <c r="J1416" i="4" a="1"/>
  <c r="J1416" i="4" s="1"/>
  <c r="J1417" i="4" a="1"/>
  <c r="J1417" i="4" s="1"/>
  <c r="J1418" i="4" a="1"/>
  <c r="J1418" i="4" s="1"/>
  <c r="J1419" i="4" a="1"/>
  <c r="J1419" i="4" s="1"/>
  <c r="J1420" i="4" a="1"/>
  <c r="J1420" i="4" s="1"/>
  <c r="J1421" i="4" a="1"/>
  <c r="J1421" i="4" s="1"/>
  <c r="J1422" i="4" a="1"/>
  <c r="J1422" i="4" s="1"/>
  <c r="J1423" i="4" a="1"/>
  <c r="J1423" i="4" s="1"/>
  <c r="J1424" i="4" a="1"/>
  <c r="J1424" i="4" s="1"/>
  <c r="J1425" i="4" a="1"/>
  <c r="J1425" i="4" s="1"/>
  <c r="J1426" i="4" a="1"/>
  <c r="J1426" i="4" s="1"/>
  <c r="J1427" i="4" a="1"/>
  <c r="J1427" i="4" s="1"/>
  <c r="J1428" i="4" a="1"/>
  <c r="J1428" i="4" s="1"/>
  <c r="J1429" i="4" a="1"/>
  <c r="J1429" i="4" s="1"/>
  <c r="J1430" i="4" a="1"/>
  <c r="J1430" i="4" s="1"/>
  <c r="J1370" i="4" a="1"/>
  <c r="J1370" i="4" s="1"/>
  <c r="J1371" i="4" a="1"/>
  <c r="J1371" i="4" s="1"/>
  <c r="J1372" i="4" a="1"/>
  <c r="J1372" i="4" s="1"/>
  <c r="J1373" i="4" a="1"/>
  <c r="J1373" i="4" s="1"/>
  <c r="J1374" i="4" a="1"/>
  <c r="J1374" i="4" s="1"/>
  <c r="J1375" i="4" a="1"/>
  <c r="J1375" i="4" s="1"/>
  <c r="J1376" i="4" a="1"/>
  <c r="J1376" i="4" s="1"/>
  <c r="J1377" i="4" a="1"/>
  <c r="J1377" i="4" s="1"/>
  <c r="J1378" i="4" a="1"/>
  <c r="J1378" i="4" s="1"/>
  <c r="J1379" i="4" a="1"/>
  <c r="J1379" i="4" s="1"/>
  <c r="J1380" i="4" a="1"/>
  <c r="J1380" i="4" s="1"/>
  <c r="J1381" i="4" a="1"/>
  <c r="J1381" i="4" s="1"/>
  <c r="J1382" i="4" a="1"/>
  <c r="J1382" i="4" s="1"/>
  <c r="J1383" i="4" a="1"/>
  <c r="J1383" i="4" s="1"/>
  <c r="J1384" i="4" a="1"/>
  <c r="J1384" i="4" s="1"/>
  <c r="J1385" i="4" a="1"/>
  <c r="J1385" i="4" s="1"/>
  <c r="J1386" i="4" a="1"/>
  <c r="J1386" i="4" s="1"/>
  <c r="J1387" i="4" a="1"/>
  <c r="J1387" i="4" s="1"/>
  <c r="J1388" i="4" a="1"/>
  <c r="J1388" i="4" s="1"/>
  <c r="J1389" i="4" a="1"/>
  <c r="J1389" i="4" s="1"/>
  <c r="J1390" i="4" a="1"/>
  <c r="J1390" i="4" s="1"/>
  <c r="J1391" i="4" a="1"/>
  <c r="J1391" i="4" s="1"/>
  <c r="J1392" i="4" a="1"/>
  <c r="J1392" i="4" s="1"/>
  <c r="J1393" i="4" a="1"/>
  <c r="J1393" i="4" s="1"/>
  <c r="J1394" i="4" a="1"/>
  <c r="J1394" i="4" s="1"/>
  <c r="J1395" i="4" a="1"/>
  <c r="J1395" i="4" s="1"/>
  <c r="J1396" i="4" a="1"/>
  <c r="J1396" i="4" s="1"/>
  <c r="J1397" i="4" a="1"/>
  <c r="J1397" i="4" s="1"/>
  <c r="J1398" i="4" a="1"/>
  <c r="J1398" i="4" s="1"/>
  <c r="J1399" i="4" a="1"/>
  <c r="J1399" i="4" s="1"/>
  <c r="J1339" i="4" a="1"/>
  <c r="J1339" i="4" s="1"/>
  <c r="J1340" i="4" a="1"/>
  <c r="J1340" i="4" s="1"/>
  <c r="J1341" i="4" a="1"/>
  <c r="J1341" i="4" s="1"/>
  <c r="J1342" i="4" a="1"/>
  <c r="J1342" i="4" s="1"/>
  <c r="J1343" i="4" a="1"/>
  <c r="J1343" i="4" s="1"/>
  <c r="J1344" i="4" a="1"/>
  <c r="J1344" i="4" s="1"/>
  <c r="J1345" i="4" a="1"/>
  <c r="J1345" i="4" s="1"/>
  <c r="J1346" i="4" a="1"/>
  <c r="J1346" i="4" s="1"/>
  <c r="J1347" i="4" a="1"/>
  <c r="J1347" i="4" s="1"/>
  <c r="J1348" i="4" a="1"/>
  <c r="J1348" i="4" s="1"/>
  <c r="J1349" i="4" a="1"/>
  <c r="J1349" i="4" s="1"/>
  <c r="J1350" i="4" a="1"/>
  <c r="J1350" i="4" s="1"/>
  <c r="J1351" i="4" a="1"/>
  <c r="J1351" i="4" s="1"/>
  <c r="J1352" i="4" a="1"/>
  <c r="J1352" i="4" s="1"/>
  <c r="J1353" i="4" a="1"/>
  <c r="J1353" i="4" s="1"/>
  <c r="J1354" i="4" a="1"/>
  <c r="J1354" i="4" s="1"/>
  <c r="J1355" i="4" a="1"/>
  <c r="J1355" i="4" s="1"/>
  <c r="J1356" i="4" a="1"/>
  <c r="J1356" i="4" s="1"/>
  <c r="J1357" i="4" a="1"/>
  <c r="J1357" i="4" s="1"/>
  <c r="J1358" i="4" a="1"/>
  <c r="J1358" i="4" s="1"/>
  <c r="J1359" i="4" a="1"/>
  <c r="J1359" i="4" s="1"/>
  <c r="J1360" i="4" a="1"/>
  <c r="J1360" i="4" s="1"/>
  <c r="J1361" i="4" a="1"/>
  <c r="J1361" i="4" s="1"/>
  <c r="J1362" i="4" a="1"/>
  <c r="J1362" i="4" s="1"/>
  <c r="J1363" i="4" a="1"/>
  <c r="J1363" i="4" s="1"/>
  <c r="J1364" i="4" a="1"/>
  <c r="J1364" i="4" s="1"/>
  <c r="J1365" i="4" a="1"/>
  <c r="J1365" i="4" s="1"/>
  <c r="J1366" i="4" a="1"/>
  <c r="J1366" i="4" s="1"/>
  <c r="J1367" i="4" a="1"/>
  <c r="J1367" i="4" s="1"/>
  <c r="J1368" i="4" a="1"/>
  <c r="J1368" i="4" s="1"/>
  <c r="J1369" i="4" a="1"/>
  <c r="J1369" i="4" s="1"/>
  <c r="J1309" i="4" a="1"/>
  <c r="J1309" i="4" s="1"/>
  <c r="J1310" i="4" a="1"/>
  <c r="J1310" i="4" s="1"/>
  <c r="J1311" i="4" a="1"/>
  <c r="J1311" i="4" s="1"/>
  <c r="J1312" i="4" a="1"/>
  <c r="J1312" i="4" s="1"/>
  <c r="J1313" i="4" a="1"/>
  <c r="J1313" i="4" s="1"/>
  <c r="J1314" i="4" a="1"/>
  <c r="J1314" i="4" s="1"/>
  <c r="J1315" i="4" a="1"/>
  <c r="J1315" i="4" s="1"/>
  <c r="J1316" i="4" a="1"/>
  <c r="J1316" i="4" s="1"/>
  <c r="J1317" i="4" a="1"/>
  <c r="J1317" i="4" s="1"/>
  <c r="J1318" i="4" a="1"/>
  <c r="J1318" i="4" s="1"/>
  <c r="J1319" i="4" a="1"/>
  <c r="J1319" i="4" s="1"/>
  <c r="J1320" i="4" a="1"/>
  <c r="J1320" i="4" s="1"/>
  <c r="J1321" i="4" a="1"/>
  <c r="J1321" i="4" s="1"/>
  <c r="J1322" i="4" a="1"/>
  <c r="J1322" i="4" s="1"/>
  <c r="J1323" i="4" a="1"/>
  <c r="J1323" i="4" s="1"/>
  <c r="J1324" i="4" a="1"/>
  <c r="J1324" i="4" s="1"/>
  <c r="J1325" i="4" a="1"/>
  <c r="J1325" i="4" s="1"/>
  <c r="J1326" i="4" a="1"/>
  <c r="J1326" i="4" s="1"/>
  <c r="J1327" i="4" a="1"/>
  <c r="J1327" i="4" s="1"/>
  <c r="J1328" i="4" a="1"/>
  <c r="J1328" i="4" s="1"/>
  <c r="J1329" i="4" a="1"/>
  <c r="J1329" i="4" s="1"/>
  <c r="J1330" i="4" a="1"/>
  <c r="J1330" i="4" s="1"/>
  <c r="J1331" i="4" a="1"/>
  <c r="J1331" i="4" s="1"/>
  <c r="J1332" i="4" a="1"/>
  <c r="J1332" i="4" s="1"/>
  <c r="J1333" i="4" a="1"/>
  <c r="J1333" i="4" s="1"/>
  <c r="J1334" i="4" a="1"/>
  <c r="J1334" i="4" s="1"/>
  <c r="J1335" i="4" a="1"/>
  <c r="J1335" i="4" s="1"/>
  <c r="J1336" i="4" a="1"/>
  <c r="J1336" i="4" s="1"/>
  <c r="J1337" i="4" a="1"/>
  <c r="J1337" i="4" s="1"/>
  <c r="J1338" i="4" a="1"/>
  <c r="J1338" i="4" s="1"/>
  <c r="J1278" i="4" a="1"/>
  <c r="J1278" i="4" s="1"/>
  <c r="J1279" i="4" a="1"/>
  <c r="J1279" i="4" s="1"/>
  <c r="J1280" i="4" a="1"/>
  <c r="J1280" i="4" s="1"/>
  <c r="J1281" i="4" a="1"/>
  <c r="J1281" i="4" s="1"/>
  <c r="J1282" i="4" a="1"/>
  <c r="J1282" i="4" s="1"/>
  <c r="J1283" i="4" a="1"/>
  <c r="J1283" i="4" s="1"/>
  <c r="J1284" i="4" a="1"/>
  <c r="J1284" i="4" s="1"/>
  <c r="J1285" i="4" a="1"/>
  <c r="J1285" i="4" s="1"/>
  <c r="J1286" i="4" a="1"/>
  <c r="J1286" i="4" s="1"/>
  <c r="J1287" i="4" a="1"/>
  <c r="J1287" i="4" s="1"/>
  <c r="J1288" i="4" a="1"/>
  <c r="J1288" i="4" s="1"/>
  <c r="J1289" i="4" a="1"/>
  <c r="J1289" i="4" s="1"/>
  <c r="J1290" i="4" a="1"/>
  <c r="J1290" i="4" s="1"/>
  <c r="J1291" i="4" a="1"/>
  <c r="J1291" i="4" s="1"/>
  <c r="J1292" i="4" a="1"/>
  <c r="J1292" i="4" s="1"/>
  <c r="J1293" i="4" a="1"/>
  <c r="J1293" i="4" s="1"/>
  <c r="J1294" i="4" a="1"/>
  <c r="J1294" i="4" s="1"/>
  <c r="J1295" i="4" a="1"/>
  <c r="J1295" i="4" s="1"/>
  <c r="J1296" i="4" a="1"/>
  <c r="J1296" i="4" s="1"/>
  <c r="J1297" i="4" a="1"/>
  <c r="J1297" i="4" s="1"/>
  <c r="J1298" i="4" a="1"/>
  <c r="J1298" i="4" s="1"/>
  <c r="J1299" i="4" a="1"/>
  <c r="J1299" i="4" s="1"/>
  <c r="J1300" i="4" a="1"/>
  <c r="J1300" i="4" s="1"/>
  <c r="J1301" i="4" a="1"/>
  <c r="J1301" i="4" s="1"/>
  <c r="J1302" i="4" a="1"/>
  <c r="J1302" i="4" s="1"/>
  <c r="J1303" i="4" a="1"/>
  <c r="J1303" i="4" s="1"/>
  <c r="J1304" i="4" a="1"/>
  <c r="J1304" i="4" s="1"/>
  <c r="J1305" i="4" a="1"/>
  <c r="J1305" i="4" s="1"/>
  <c r="J1306" i="4" a="1"/>
  <c r="J1306" i="4" s="1"/>
  <c r="J1307" i="4" a="1"/>
  <c r="J1307" i="4" s="1"/>
  <c r="J1308" i="4" a="1"/>
  <c r="J1308" i="4" s="1"/>
  <c r="J1247" i="4" a="1"/>
  <c r="J1247" i="4" s="1"/>
  <c r="J1248" i="4" a="1"/>
  <c r="J1248" i="4" s="1"/>
  <c r="J1249" i="4" a="1"/>
  <c r="J1249" i="4" s="1"/>
  <c r="J1250" i="4" a="1"/>
  <c r="J1250" i="4" s="1"/>
  <c r="J1251" i="4" a="1"/>
  <c r="J1251" i="4" s="1"/>
  <c r="J1252" i="4" a="1"/>
  <c r="J1252" i="4" s="1"/>
  <c r="J1253" i="4" a="1"/>
  <c r="J1253" i="4" s="1"/>
  <c r="J1254" i="4" a="1"/>
  <c r="J1254" i="4" s="1"/>
  <c r="J1255" i="4" a="1"/>
  <c r="J1255" i="4" s="1"/>
  <c r="J1256" i="4" a="1"/>
  <c r="J1256" i="4" s="1"/>
  <c r="J1257" i="4" a="1"/>
  <c r="J1257" i="4" s="1"/>
  <c r="J1258" i="4" a="1"/>
  <c r="J1258" i="4" s="1"/>
  <c r="J1259" i="4" a="1"/>
  <c r="J1259" i="4" s="1"/>
  <c r="J1260" i="4" a="1"/>
  <c r="J1260" i="4" s="1"/>
  <c r="J1261" i="4" a="1"/>
  <c r="J1261" i="4" s="1"/>
  <c r="J1262" i="4" a="1"/>
  <c r="J1262" i="4" s="1"/>
  <c r="J1263" i="4" a="1"/>
  <c r="J1263" i="4" s="1"/>
  <c r="J1264" i="4" a="1"/>
  <c r="J1264" i="4" s="1"/>
  <c r="J1265" i="4" a="1"/>
  <c r="J1265" i="4" s="1"/>
  <c r="J1266" i="4" a="1"/>
  <c r="J1266" i="4" s="1"/>
  <c r="J1267" i="4" a="1"/>
  <c r="J1267" i="4" s="1"/>
  <c r="J1268" i="4" a="1"/>
  <c r="J1268" i="4" s="1"/>
  <c r="J1269" i="4" a="1"/>
  <c r="J1269" i="4" s="1"/>
  <c r="J1270" i="4" a="1"/>
  <c r="J1270" i="4" s="1"/>
  <c r="J1271" i="4" a="1"/>
  <c r="J1271" i="4" s="1"/>
  <c r="J1272" i="4" a="1"/>
  <c r="J1272" i="4" s="1"/>
  <c r="J1273" i="4" a="1"/>
  <c r="J1273" i="4" s="1"/>
  <c r="J1274" i="4" a="1"/>
  <c r="J1274" i="4" s="1"/>
  <c r="J1275" i="4" a="1"/>
  <c r="J1275" i="4" s="1"/>
  <c r="J1276" i="4" a="1"/>
  <c r="J1276" i="4" s="1"/>
  <c r="J1277" i="4" a="1"/>
  <c r="J1277" i="4" s="1"/>
  <c r="J1217" i="4" a="1"/>
  <c r="J1217" i="4" s="1"/>
  <c r="J1218" i="4" a="1"/>
  <c r="J1218" i="4" s="1"/>
  <c r="J1219" i="4" a="1"/>
  <c r="J1219" i="4" s="1"/>
  <c r="J1220" i="4" a="1"/>
  <c r="J1220" i="4" s="1"/>
  <c r="J1221" i="4" a="1"/>
  <c r="J1221" i="4" s="1"/>
  <c r="J1222" i="4" a="1"/>
  <c r="J1222" i="4" s="1"/>
  <c r="J1223" i="4" a="1"/>
  <c r="J1223" i="4" s="1"/>
  <c r="J1224" i="4" a="1"/>
  <c r="J1224" i="4" s="1"/>
  <c r="J1225" i="4" a="1"/>
  <c r="J1225" i="4" s="1"/>
  <c r="J1226" i="4" a="1"/>
  <c r="J1226" i="4" s="1"/>
  <c r="J1227" i="4" a="1"/>
  <c r="J1227" i="4" s="1"/>
  <c r="J1228" i="4" a="1"/>
  <c r="J1228" i="4" s="1"/>
  <c r="J1229" i="4" a="1"/>
  <c r="J1229" i="4" s="1"/>
  <c r="J1230" i="4" a="1"/>
  <c r="J1230" i="4" s="1"/>
  <c r="J1231" i="4" a="1"/>
  <c r="J1231" i="4" s="1"/>
  <c r="J1232" i="4" a="1"/>
  <c r="J1232" i="4" s="1"/>
  <c r="J1233" i="4" a="1"/>
  <c r="J1233" i="4" s="1"/>
  <c r="J1234" i="4" a="1"/>
  <c r="J1234" i="4" s="1"/>
  <c r="J1235" i="4" a="1"/>
  <c r="J1235" i="4" s="1"/>
  <c r="J1236" i="4" a="1"/>
  <c r="J1236" i="4" s="1"/>
  <c r="J1237" i="4" a="1"/>
  <c r="J1237" i="4" s="1"/>
  <c r="J1238" i="4" a="1"/>
  <c r="J1238" i="4" s="1"/>
  <c r="J1239" i="4" a="1"/>
  <c r="J1239" i="4" s="1"/>
  <c r="J1240" i="4" a="1"/>
  <c r="J1240" i="4" s="1"/>
  <c r="J1241" i="4" a="1"/>
  <c r="J1241" i="4" s="1"/>
  <c r="J1242" i="4" a="1"/>
  <c r="J1242" i="4" s="1"/>
  <c r="J1243" i="4" a="1"/>
  <c r="J1243" i="4" s="1"/>
  <c r="J1244" i="4" a="1"/>
  <c r="J1244" i="4" s="1"/>
  <c r="J1245" i="4" a="1"/>
  <c r="J1245" i="4" s="1"/>
  <c r="J1246" i="4" a="1"/>
  <c r="J1246" i="4" s="1"/>
  <c r="J1186" i="4" a="1"/>
  <c r="J1186" i="4" s="1"/>
  <c r="J1187" i="4" a="1"/>
  <c r="J1187" i="4" s="1"/>
  <c r="J1188" i="4" a="1"/>
  <c r="J1188" i="4" s="1"/>
  <c r="J1189" i="4" a="1"/>
  <c r="J1189" i="4" s="1"/>
  <c r="J1190" i="4" a="1"/>
  <c r="J1190" i="4" s="1"/>
  <c r="J1191" i="4" a="1"/>
  <c r="J1191" i="4" s="1"/>
  <c r="J1192" i="4" a="1"/>
  <c r="J1192" i="4" s="1"/>
  <c r="J1193" i="4" a="1"/>
  <c r="J1193" i="4" s="1"/>
  <c r="J1194" i="4" a="1"/>
  <c r="J1194" i="4" s="1"/>
  <c r="J1195" i="4" a="1"/>
  <c r="J1195" i="4" s="1"/>
  <c r="J1196" i="4" a="1"/>
  <c r="J1196" i="4" s="1"/>
  <c r="J1197" i="4" a="1"/>
  <c r="J1197" i="4" s="1"/>
  <c r="J1198" i="4" a="1"/>
  <c r="J1198" i="4" s="1"/>
  <c r="J1199" i="4" a="1"/>
  <c r="J1199" i="4" s="1"/>
  <c r="J1200" i="4" a="1"/>
  <c r="J1200" i="4" s="1"/>
  <c r="J1201" i="4" a="1"/>
  <c r="J1201" i="4" s="1"/>
  <c r="J1202" i="4" a="1"/>
  <c r="J1202" i="4" s="1"/>
  <c r="J1203" i="4" a="1"/>
  <c r="J1203" i="4" s="1"/>
  <c r="J1204" i="4" a="1"/>
  <c r="J1204" i="4" s="1"/>
  <c r="J1205" i="4" a="1"/>
  <c r="J1205" i="4" s="1"/>
  <c r="J1206" i="4" a="1"/>
  <c r="J1206" i="4" s="1"/>
  <c r="J1207" i="4" a="1"/>
  <c r="J1207" i="4" s="1"/>
  <c r="J1208" i="4" a="1"/>
  <c r="J1208" i="4" s="1"/>
  <c r="J1209" i="4" a="1"/>
  <c r="J1209" i="4" s="1"/>
  <c r="J1210" i="4" a="1"/>
  <c r="J1210" i="4" s="1"/>
  <c r="J1211" i="4" a="1"/>
  <c r="J1211" i="4" s="1"/>
  <c r="J1212" i="4" a="1"/>
  <c r="J1212" i="4" s="1"/>
  <c r="J1213" i="4" a="1"/>
  <c r="J1213" i="4" s="1"/>
  <c r="J1214" i="4" a="1"/>
  <c r="J1214" i="4" s="1"/>
  <c r="J1215" i="4" a="1"/>
  <c r="J1215" i="4" s="1"/>
  <c r="J1216" i="4" a="1"/>
  <c r="J1216" i="4" s="1"/>
  <c r="J1156" i="4" a="1"/>
  <c r="J1156" i="4" s="1"/>
  <c r="J1157" i="4" a="1"/>
  <c r="J1157" i="4" s="1"/>
  <c r="J1158" i="4" a="1"/>
  <c r="J1158" i="4" s="1"/>
  <c r="J1159" i="4" a="1"/>
  <c r="J1159" i="4" s="1"/>
  <c r="J1160" i="4" a="1"/>
  <c r="J1160" i="4" s="1"/>
  <c r="J1161" i="4" a="1"/>
  <c r="J1161" i="4" s="1"/>
  <c r="J1162" i="4" a="1"/>
  <c r="J1162" i="4" s="1"/>
  <c r="J1163" i="4" a="1"/>
  <c r="J1163" i="4" s="1"/>
  <c r="J1164" i="4" a="1"/>
  <c r="J1164" i="4" s="1"/>
  <c r="J1165" i="4" a="1"/>
  <c r="J1165" i="4" s="1"/>
  <c r="J1166" i="4" a="1"/>
  <c r="J1166" i="4" s="1"/>
  <c r="J1167" i="4" a="1"/>
  <c r="J1167" i="4" s="1"/>
  <c r="J1168" i="4" a="1"/>
  <c r="J1168" i="4" s="1"/>
  <c r="J1169" i="4" a="1"/>
  <c r="J1169" i="4" s="1"/>
  <c r="J1170" i="4" a="1"/>
  <c r="J1170" i="4" s="1"/>
  <c r="J1171" i="4" a="1"/>
  <c r="J1171" i="4" s="1"/>
  <c r="J1172" i="4" a="1"/>
  <c r="J1172" i="4" s="1"/>
  <c r="J1173" i="4" a="1"/>
  <c r="J1173" i="4" s="1"/>
  <c r="J1174" i="4" a="1"/>
  <c r="J1174" i="4" s="1"/>
  <c r="J1175" i="4" a="1"/>
  <c r="J1175" i="4" s="1"/>
  <c r="J1176" i="4" a="1"/>
  <c r="J1176" i="4" s="1"/>
  <c r="J1177" i="4" a="1"/>
  <c r="J1177" i="4" s="1"/>
  <c r="J1178" i="4" a="1"/>
  <c r="J1178" i="4" s="1"/>
  <c r="J1179" i="4" a="1"/>
  <c r="J1179" i="4" s="1"/>
  <c r="J1180" i="4" a="1"/>
  <c r="J1180" i="4" s="1"/>
  <c r="J1181" i="4" a="1"/>
  <c r="J1181" i="4" s="1"/>
  <c r="J1182" i="4" a="1"/>
  <c r="J1182" i="4" s="1"/>
  <c r="J1183" i="4" a="1"/>
  <c r="J1183" i="4" s="1"/>
  <c r="J1184" i="4" a="1"/>
  <c r="J1184" i="4" s="1"/>
  <c r="J1185" i="4" a="1"/>
  <c r="J1185" i="4" s="1"/>
  <c r="J1125" i="4" a="1"/>
  <c r="J1125" i="4" s="1"/>
  <c r="J1126" i="4" a="1"/>
  <c r="J1126" i="4" s="1"/>
  <c r="J1127" i="4" a="1"/>
  <c r="J1127" i="4" s="1"/>
  <c r="J1128" i="4" a="1"/>
  <c r="J1128" i="4" s="1"/>
  <c r="J1129" i="4" a="1"/>
  <c r="J1129" i="4" s="1"/>
  <c r="J1130" i="4" a="1"/>
  <c r="J1130" i="4" s="1"/>
  <c r="J1131" i="4" a="1"/>
  <c r="J1131" i="4" s="1"/>
  <c r="J1132" i="4" a="1"/>
  <c r="J1132" i="4" s="1"/>
  <c r="J1133" i="4" a="1"/>
  <c r="J1133" i="4" s="1"/>
  <c r="J1134" i="4" a="1"/>
  <c r="J1134" i="4" s="1"/>
  <c r="J1135" i="4" a="1"/>
  <c r="J1135" i="4" s="1"/>
  <c r="J1136" i="4" a="1"/>
  <c r="J1136" i="4" s="1"/>
  <c r="J1137" i="4" a="1"/>
  <c r="J1137" i="4" s="1"/>
  <c r="J1138" i="4" a="1"/>
  <c r="J1138" i="4" s="1"/>
  <c r="J1139" i="4" a="1"/>
  <c r="J1139" i="4" s="1"/>
  <c r="J1140" i="4" a="1"/>
  <c r="J1140" i="4" s="1"/>
  <c r="J1141" i="4" a="1"/>
  <c r="J1141" i="4" s="1"/>
  <c r="J1142" i="4" a="1"/>
  <c r="J1142" i="4" s="1"/>
  <c r="J1143" i="4" a="1"/>
  <c r="J1143" i="4" s="1"/>
  <c r="J1144" i="4" a="1"/>
  <c r="J1144" i="4" s="1"/>
  <c r="J1145" i="4" a="1"/>
  <c r="J1145" i="4" s="1"/>
  <c r="J1146" i="4" a="1"/>
  <c r="J1146" i="4" s="1"/>
  <c r="J1147" i="4" a="1"/>
  <c r="J1147" i="4" s="1"/>
  <c r="J1148" i="4" a="1"/>
  <c r="J1148" i="4" s="1"/>
  <c r="J1149" i="4" a="1"/>
  <c r="J1149" i="4" s="1"/>
  <c r="J1150" i="4" a="1"/>
  <c r="J1150" i="4" s="1"/>
  <c r="J1151" i="4" a="1"/>
  <c r="J1151" i="4" s="1"/>
  <c r="J1152" i="4" a="1"/>
  <c r="J1152" i="4" s="1"/>
  <c r="J1153" i="4" a="1"/>
  <c r="J1153" i="4" s="1"/>
  <c r="J1154" i="4" a="1"/>
  <c r="J1154" i="4" s="1"/>
  <c r="J1155" i="4" a="1"/>
  <c r="J1155" i="4" s="1"/>
  <c r="J1097" i="4" a="1"/>
  <c r="J1097" i="4" s="1"/>
  <c r="J1098" i="4" a="1"/>
  <c r="J1098" i="4" s="1"/>
  <c r="J1099" i="4" a="1"/>
  <c r="J1099" i="4" s="1"/>
  <c r="J1100" i="4" a="1"/>
  <c r="J1100" i="4" s="1"/>
  <c r="J1101" i="4" a="1"/>
  <c r="J1101" i="4" s="1"/>
  <c r="J1102" i="4" a="1"/>
  <c r="J1102" i="4" s="1"/>
  <c r="J1103" i="4" a="1"/>
  <c r="J1103" i="4" s="1"/>
  <c r="J1104" i="4" a="1"/>
  <c r="J1104" i="4" s="1"/>
  <c r="J1105" i="4" a="1"/>
  <c r="J1105" i="4" s="1"/>
  <c r="J1106" i="4" a="1"/>
  <c r="J1106" i="4" s="1"/>
  <c r="J1107" i="4" a="1"/>
  <c r="J1107" i="4" s="1"/>
  <c r="J1108" i="4" a="1"/>
  <c r="J1108" i="4" s="1"/>
  <c r="J1109" i="4" a="1"/>
  <c r="J1109" i="4" s="1"/>
  <c r="J1110" i="4" a="1"/>
  <c r="J1110" i="4" s="1"/>
  <c r="J1111" i="4" a="1"/>
  <c r="J1111" i="4" s="1"/>
  <c r="J1112" i="4" a="1"/>
  <c r="J1112" i="4" s="1"/>
  <c r="J1113" i="4" a="1"/>
  <c r="J1113" i="4" s="1"/>
  <c r="J1114" i="4" a="1"/>
  <c r="J1114" i="4" s="1"/>
  <c r="J1115" i="4" a="1"/>
  <c r="J1115" i="4" s="1"/>
  <c r="J1116" i="4" a="1"/>
  <c r="J1116" i="4" s="1"/>
  <c r="J1117" i="4" a="1"/>
  <c r="J1117" i="4" s="1"/>
  <c r="J1118" i="4" a="1"/>
  <c r="J1118" i="4" s="1"/>
  <c r="J1119" i="4" a="1"/>
  <c r="J1119" i="4" s="1"/>
  <c r="J1120" i="4" a="1"/>
  <c r="J1120" i="4" s="1"/>
  <c r="J1121" i="4" a="1"/>
  <c r="J1121" i="4" s="1"/>
  <c r="J1122" i="4" a="1"/>
  <c r="J1122" i="4" s="1"/>
  <c r="J1123" i="4" a="1"/>
  <c r="J1123" i="4" s="1"/>
  <c r="J1124" i="4" a="1"/>
  <c r="J1124" i="4" s="1"/>
  <c r="J1066" i="4" a="1"/>
  <c r="J1066" i="4" s="1"/>
  <c r="J1067" i="4" a="1"/>
  <c r="J1067" i="4" s="1"/>
  <c r="J1068" i="4" a="1"/>
  <c r="J1068" i="4" s="1"/>
  <c r="J1069" i="4" a="1"/>
  <c r="J1069" i="4" s="1"/>
  <c r="J1070" i="4" a="1"/>
  <c r="J1070" i="4" s="1"/>
  <c r="J1071" i="4" a="1"/>
  <c r="J1071" i="4" s="1"/>
  <c r="J1072" i="4" a="1"/>
  <c r="J1072" i="4" s="1"/>
  <c r="J1073" i="4" a="1"/>
  <c r="J1073" i="4" s="1"/>
  <c r="J1074" i="4" a="1"/>
  <c r="J1074" i="4" s="1"/>
  <c r="J1075" i="4" a="1"/>
  <c r="J1075" i="4" s="1"/>
  <c r="J1076" i="4" a="1"/>
  <c r="J1076" i="4" s="1"/>
  <c r="J1077" i="4" a="1"/>
  <c r="J1077" i="4" s="1"/>
  <c r="J1078" i="4" a="1"/>
  <c r="J1078" i="4" s="1"/>
  <c r="J1079" i="4" a="1"/>
  <c r="J1079" i="4" s="1"/>
  <c r="J1080" i="4" a="1"/>
  <c r="J1080" i="4" s="1"/>
  <c r="J1081" i="4" a="1"/>
  <c r="J1081" i="4" s="1"/>
  <c r="J1082" i="4" a="1"/>
  <c r="J1082" i="4" s="1"/>
  <c r="J1083" i="4" a="1"/>
  <c r="J1083" i="4" s="1"/>
  <c r="J1084" i="4" a="1"/>
  <c r="J1084" i="4" s="1"/>
  <c r="J1085" i="4" a="1"/>
  <c r="J1085" i="4" s="1"/>
  <c r="J1086" i="4" a="1"/>
  <c r="J1086" i="4" s="1"/>
  <c r="J1087" i="4" a="1"/>
  <c r="J1087" i="4" s="1"/>
  <c r="J1088" i="4" a="1"/>
  <c r="J1088" i="4" s="1"/>
  <c r="J1089" i="4" a="1"/>
  <c r="J1089" i="4" s="1"/>
  <c r="J1090" i="4" a="1"/>
  <c r="J1090" i="4" s="1"/>
  <c r="J1091" i="4" a="1"/>
  <c r="J1091" i="4" s="1"/>
  <c r="J1092" i="4" a="1"/>
  <c r="J1092" i="4" s="1"/>
  <c r="J1093" i="4" a="1"/>
  <c r="J1093" i="4" s="1"/>
  <c r="J1094" i="4" a="1"/>
  <c r="J1094" i="4" s="1"/>
  <c r="J1095" i="4" a="1"/>
  <c r="J1095" i="4" s="1"/>
  <c r="J1096" i="4" a="1"/>
  <c r="J1096" i="4" s="1"/>
  <c r="J1035" i="4" a="1"/>
  <c r="J1035" i="4" s="1"/>
  <c r="J1036" i="4" a="1"/>
  <c r="J1036" i="4" s="1"/>
  <c r="J1037" i="4" a="1"/>
  <c r="J1037" i="4" s="1"/>
  <c r="J1038" i="4" a="1"/>
  <c r="J1038" i="4" s="1"/>
  <c r="J1039" i="4" a="1"/>
  <c r="J1039" i="4" s="1"/>
  <c r="J1040" i="4" a="1"/>
  <c r="J1040" i="4" s="1"/>
  <c r="J1041" i="4" a="1"/>
  <c r="J1041" i="4" s="1"/>
  <c r="J1042" i="4" a="1"/>
  <c r="J1042" i="4" s="1"/>
  <c r="J1043" i="4" a="1"/>
  <c r="J1043" i="4" s="1"/>
  <c r="J1044" i="4" a="1"/>
  <c r="J1044" i="4" s="1"/>
  <c r="J1045" i="4" a="1"/>
  <c r="J1045" i="4" s="1"/>
  <c r="J1046" i="4" a="1"/>
  <c r="J1046" i="4" s="1"/>
  <c r="J1047" i="4" a="1"/>
  <c r="J1047" i="4" s="1"/>
  <c r="J1048" i="4" a="1"/>
  <c r="J1048" i="4" s="1"/>
  <c r="J1049" i="4" a="1"/>
  <c r="J1049" i="4" s="1"/>
  <c r="J1050" i="4" a="1"/>
  <c r="J1050" i="4" s="1"/>
  <c r="J1051" i="4" a="1"/>
  <c r="J1051" i="4" s="1"/>
  <c r="J1052" i="4" a="1"/>
  <c r="J1052" i="4" s="1"/>
  <c r="J1053" i="4" a="1"/>
  <c r="J1053" i="4" s="1"/>
  <c r="J1054" i="4" a="1"/>
  <c r="J1054" i="4" s="1"/>
  <c r="J1055" i="4" a="1"/>
  <c r="J1055" i="4" s="1"/>
  <c r="J1056" i="4" a="1"/>
  <c r="J1056" i="4" s="1"/>
  <c r="J1057" i="4" a="1"/>
  <c r="J1057" i="4" s="1"/>
  <c r="J1058" i="4" a="1"/>
  <c r="J1058" i="4" s="1"/>
  <c r="J1059" i="4" a="1"/>
  <c r="J1059" i="4" s="1"/>
  <c r="J1060" i="4" a="1"/>
  <c r="J1060" i="4" s="1"/>
  <c r="J1061" i="4" a="1"/>
  <c r="J1061" i="4" s="1"/>
  <c r="J1062" i="4" a="1"/>
  <c r="J1062" i="4" s="1"/>
  <c r="J1063" i="4" a="1"/>
  <c r="J1063" i="4" s="1"/>
  <c r="J1064" i="4" a="1"/>
  <c r="J1064" i="4" s="1"/>
  <c r="J1065" i="4" a="1"/>
  <c r="J1065" i="4" s="1"/>
  <c r="J1005" i="4" a="1"/>
  <c r="J1005" i="4" s="1"/>
  <c r="J1006" i="4" a="1"/>
  <c r="J1006" i="4" s="1"/>
  <c r="J1007" i="4" a="1"/>
  <c r="J1007" i="4" s="1"/>
  <c r="J1008" i="4" a="1"/>
  <c r="J1008" i="4" s="1"/>
  <c r="J1009" i="4" a="1"/>
  <c r="J1009" i="4" s="1"/>
  <c r="J1010" i="4" a="1"/>
  <c r="J1010" i="4" s="1"/>
  <c r="J1011" i="4" a="1"/>
  <c r="J1011" i="4" s="1"/>
  <c r="J1012" i="4" a="1"/>
  <c r="J1012" i="4" s="1"/>
  <c r="J1013" i="4" a="1"/>
  <c r="J1013" i="4" s="1"/>
  <c r="J1014" i="4" a="1"/>
  <c r="J1014" i="4" s="1"/>
  <c r="J1015" i="4" a="1"/>
  <c r="J1015" i="4" s="1"/>
  <c r="J1016" i="4" a="1"/>
  <c r="J1016" i="4" s="1"/>
  <c r="J1017" i="4" a="1"/>
  <c r="J1017" i="4" s="1"/>
  <c r="J1018" i="4" a="1"/>
  <c r="J1018" i="4" s="1"/>
  <c r="J1019" i="4" a="1"/>
  <c r="J1019" i="4" s="1"/>
  <c r="J1020" i="4" a="1"/>
  <c r="J1020" i="4" s="1"/>
  <c r="J1021" i="4" a="1"/>
  <c r="J1021" i="4" s="1"/>
  <c r="J1022" i="4" a="1"/>
  <c r="J1022" i="4" s="1"/>
  <c r="J1023" i="4" a="1"/>
  <c r="J1023" i="4" s="1"/>
  <c r="J1024" i="4" a="1"/>
  <c r="J1024" i="4" s="1"/>
  <c r="J1025" i="4" a="1"/>
  <c r="J1025" i="4" s="1"/>
  <c r="J1026" i="4" a="1"/>
  <c r="J1026" i="4" s="1"/>
  <c r="J1027" i="4" a="1"/>
  <c r="J1027" i="4" s="1"/>
  <c r="J1028" i="4" a="1"/>
  <c r="J1028" i="4" s="1"/>
  <c r="J1029" i="4" a="1"/>
  <c r="J1029" i="4" s="1"/>
  <c r="J1030" i="4" a="1"/>
  <c r="J1030" i="4" s="1"/>
  <c r="J1031" i="4" a="1"/>
  <c r="J1031" i="4" s="1"/>
  <c r="J1032" i="4" a="1"/>
  <c r="J1032" i="4" s="1"/>
  <c r="J1033" i="4" a="1"/>
  <c r="J1033" i="4" s="1"/>
  <c r="J1034" i="4" a="1"/>
  <c r="J1034" i="4" s="1"/>
  <c r="J974" i="4" a="1"/>
  <c r="J974" i="4" s="1"/>
  <c r="J975" i="4" a="1"/>
  <c r="J975" i="4" s="1"/>
  <c r="J976" i="4" a="1"/>
  <c r="J976" i="4" s="1"/>
  <c r="J977" i="4" a="1"/>
  <c r="J977" i="4" s="1"/>
  <c r="J978" i="4" a="1"/>
  <c r="J978" i="4" s="1"/>
  <c r="J979" i="4" a="1"/>
  <c r="J979" i="4" s="1"/>
  <c r="J980" i="4" a="1"/>
  <c r="J980" i="4" s="1"/>
  <c r="J981" i="4" a="1"/>
  <c r="J981" i="4" s="1"/>
  <c r="J982" i="4" a="1"/>
  <c r="J982" i="4" s="1"/>
  <c r="J983" i="4" a="1"/>
  <c r="J983" i="4" s="1"/>
  <c r="J984" i="4" a="1"/>
  <c r="J984" i="4" s="1"/>
  <c r="J985" i="4" a="1"/>
  <c r="J985" i="4" s="1"/>
  <c r="J986" i="4" a="1"/>
  <c r="J986" i="4" s="1"/>
  <c r="J987" i="4" a="1"/>
  <c r="J987" i="4" s="1"/>
  <c r="J988" i="4" a="1"/>
  <c r="J988" i="4" s="1"/>
  <c r="J989" i="4" a="1"/>
  <c r="J989" i="4" s="1"/>
  <c r="J990" i="4" a="1"/>
  <c r="J990" i="4" s="1"/>
  <c r="J991" i="4" a="1"/>
  <c r="J991" i="4" s="1"/>
  <c r="J992" i="4" a="1"/>
  <c r="J992" i="4" s="1"/>
  <c r="J993" i="4" a="1"/>
  <c r="J993" i="4" s="1"/>
  <c r="J994" i="4" a="1"/>
  <c r="J994" i="4" s="1"/>
  <c r="J995" i="4" a="1"/>
  <c r="J995" i="4" s="1"/>
  <c r="J996" i="4" a="1"/>
  <c r="J996" i="4" s="1"/>
  <c r="J997" i="4" a="1"/>
  <c r="J997" i="4" s="1"/>
  <c r="J998" i="4" a="1"/>
  <c r="J998" i="4" s="1"/>
  <c r="J999" i="4" a="1"/>
  <c r="J999" i="4" s="1"/>
  <c r="J1000" i="4" a="1"/>
  <c r="J1000" i="4" s="1"/>
  <c r="J1001" i="4" a="1"/>
  <c r="J1001" i="4" s="1"/>
  <c r="J1002" i="4" a="1"/>
  <c r="J1002" i="4" s="1"/>
  <c r="J1003" i="4" a="1"/>
  <c r="J1003" i="4" s="1"/>
  <c r="J1004" i="4" a="1"/>
  <c r="J1004" i="4" s="1"/>
  <c r="J944" i="4" a="1"/>
  <c r="J944" i="4" s="1"/>
  <c r="J945" i="4" a="1"/>
  <c r="J945" i="4" s="1"/>
  <c r="J946" i="4" a="1"/>
  <c r="J946" i="4" s="1"/>
  <c r="J947" i="4" a="1"/>
  <c r="J947" i="4" s="1"/>
  <c r="J948" i="4" a="1"/>
  <c r="J948" i="4" s="1"/>
  <c r="J949" i="4" a="1"/>
  <c r="J949" i="4" s="1"/>
  <c r="J950" i="4" a="1"/>
  <c r="J950" i="4" s="1"/>
  <c r="J951" i="4" a="1"/>
  <c r="J951" i="4" s="1"/>
  <c r="J952" i="4" a="1"/>
  <c r="J952" i="4" s="1"/>
  <c r="J953" i="4" a="1"/>
  <c r="J953" i="4" s="1"/>
  <c r="J954" i="4" a="1"/>
  <c r="J954" i="4" s="1"/>
  <c r="J955" i="4" a="1"/>
  <c r="J955" i="4" s="1"/>
  <c r="J956" i="4" a="1"/>
  <c r="J956" i="4" s="1"/>
  <c r="J957" i="4" a="1"/>
  <c r="J957" i="4" s="1"/>
  <c r="J958" i="4" a="1"/>
  <c r="J958" i="4" s="1"/>
  <c r="J959" i="4" a="1"/>
  <c r="J959" i="4" s="1"/>
  <c r="J960" i="4" a="1"/>
  <c r="J960" i="4" s="1"/>
  <c r="J961" i="4" a="1"/>
  <c r="J961" i="4" s="1"/>
  <c r="J962" i="4" a="1"/>
  <c r="J962" i="4" s="1"/>
  <c r="J963" i="4" a="1"/>
  <c r="J963" i="4" s="1"/>
  <c r="J964" i="4" a="1"/>
  <c r="J964" i="4" s="1"/>
  <c r="J965" i="4" a="1"/>
  <c r="J965" i="4" s="1"/>
  <c r="J966" i="4" a="1"/>
  <c r="J966" i="4" s="1"/>
  <c r="J967" i="4" a="1"/>
  <c r="J967" i="4" s="1"/>
  <c r="J968" i="4" a="1"/>
  <c r="J968" i="4" s="1"/>
  <c r="J969" i="4" a="1"/>
  <c r="J969" i="4" s="1"/>
  <c r="J970" i="4" a="1"/>
  <c r="J970" i="4" s="1"/>
  <c r="J971" i="4" a="1"/>
  <c r="J971" i="4" s="1"/>
  <c r="J972" i="4" a="1"/>
  <c r="J972" i="4" s="1"/>
  <c r="J973" i="4" a="1"/>
  <c r="J973" i="4" s="1"/>
  <c r="J913" i="4" a="1"/>
  <c r="J913" i="4" s="1"/>
  <c r="J914" i="4" a="1"/>
  <c r="J914" i="4" s="1"/>
  <c r="J915" i="4" a="1"/>
  <c r="J915" i="4" s="1"/>
  <c r="J916" i="4" a="1"/>
  <c r="J916" i="4" s="1"/>
  <c r="J917" i="4" a="1"/>
  <c r="J917" i="4" s="1"/>
  <c r="J918" i="4" a="1"/>
  <c r="J918" i="4" s="1"/>
  <c r="J919" i="4" a="1"/>
  <c r="J919" i="4" s="1"/>
  <c r="J920" i="4" a="1"/>
  <c r="J920" i="4" s="1"/>
  <c r="J921" i="4" a="1"/>
  <c r="J921" i="4" s="1"/>
  <c r="J922" i="4" a="1"/>
  <c r="J922" i="4" s="1"/>
  <c r="J923" i="4" a="1"/>
  <c r="J923" i="4" s="1"/>
  <c r="J924" i="4" a="1"/>
  <c r="J924" i="4" s="1"/>
  <c r="J925" i="4" a="1"/>
  <c r="J925" i="4" s="1"/>
  <c r="J926" i="4" a="1"/>
  <c r="J926" i="4" s="1"/>
  <c r="J927" i="4" a="1"/>
  <c r="J927" i="4" s="1"/>
  <c r="J928" i="4" a="1"/>
  <c r="J928" i="4" s="1"/>
  <c r="J929" i="4" a="1"/>
  <c r="J929" i="4" s="1"/>
  <c r="J930" i="4" a="1"/>
  <c r="J930" i="4" s="1"/>
  <c r="J931" i="4" a="1"/>
  <c r="J931" i="4" s="1"/>
  <c r="J932" i="4" a="1"/>
  <c r="J932" i="4" s="1"/>
  <c r="J933" i="4" a="1"/>
  <c r="J933" i="4" s="1"/>
  <c r="J934" i="4" a="1"/>
  <c r="J934" i="4" s="1"/>
  <c r="J935" i="4" a="1"/>
  <c r="J935" i="4" s="1"/>
  <c r="J936" i="4" a="1"/>
  <c r="J936" i="4" s="1"/>
  <c r="J937" i="4" a="1"/>
  <c r="J937" i="4" s="1"/>
  <c r="J938" i="4" a="1"/>
  <c r="J938" i="4" s="1"/>
  <c r="J939" i="4" a="1"/>
  <c r="J939" i="4" s="1"/>
  <c r="J940" i="4" a="1"/>
  <c r="J940" i="4" s="1"/>
  <c r="J941" i="4" a="1"/>
  <c r="J941" i="4" s="1"/>
  <c r="J942" i="4" a="1"/>
  <c r="J942" i="4" s="1"/>
  <c r="J943" i="4" a="1"/>
  <c r="J943" i="4" s="1"/>
  <c r="J882" i="4" a="1"/>
  <c r="J882" i="4" s="1"/>
  <c r="J883" i="4" a="1"/>
  <c r="J883" i="4" s="1"/>
  <c r="J884" i="4" a="1"/>
  <c r="J884" i="4" s="1"/>
  <c r="J885" i="4" a="1"/>
  <c r="J885" i="4" s="1"/>
  <c r="J886" i="4" a="1"/>
  <c r="J886" i="4" s="1"/>
  <c r="J887" i="4" a="1"/>
  <c r="J887" i="4" s="1"/>
  <c r="J888" i="4" a="1"/>
  <c r="J888" i="4" s="1"/>
  <c r="J889" i="4" a="1"/>
  <c r="J889" i="4" s="1"/>
  <c r="J890" i="4" a="1"/>
  <c r="J890" i="4" s="1"/>
  <c r="J891" i="4" a="1"/>
  <c r="J891" i="4" s="1"/>
  <c r="J892" i="4" a="1"/>
  <c r="J892" i="4" s="1"/>
  <c r="J893" i="4" a="1"/>
  <c r="J893" i="4" s="1"/>
  <c r="J894" i="4" a="1"/>
  <c r="J894" i="4" s="1"/>
  <c r="J895" i="4" a="1"/>
  <c r="J895" i="4" s="1"/>
  <c r="J896" i="4" a="1"/>
  <c r="J896" i="4" s="1"/>
  <c r="J897" i="4" a="1"/>
  <c r="J897" i="4" s="1"/>
  <c r="J898" i="4" a="1"/>
  <c r="J898" i="4" s="1"/>
  <c r="J899" i="4" a="1"/>
  <c r="J899" i="4" s="1"/>
  <c r="J900" i="4" a="1"/>
  <c r="J900" i="4" s="1"/>
  <c r="J901" i="4" a="1"/>
  <c r="J901" i="4" s="1"/>
  <c r="J902" i="4" a="1"/>
  <c r="J902" i="4" s="1"/>
  <c r="J903" i="4" a="1"/>
  <c r="J903" i="4" s="1"/>
  <c r="J904" i="4" a="1"/>
  <c r="J904" i="4" s="1"/>
  <c r="J905" i="4" a="1"/>
  <c r="J905" i="4" s="1"/>
  <c r="J906" i="4" a="1"/>
  <c r="J906" i="4" s="1"/>
  <c r="J907" i="4" a="1"/>
  <c r="J907" i="4" s="1"/>
  <c r="J908" i="4" a="1"/>
  <c r="J908" i="4" s="1"/>
  <c r="J909" i="4" a="1"/>
  <c r="J909" i="4" s="1"/>
  <c r="J910" i="4" a="1"/>
  <c r="J910" i="4" s="1"/>
  <c r="J911" i="4" a="1"/>
  <c r="J911" i="4" s="1"/>
  <c r="J912" i="4" a="1"/>
  <c r="J912" i="4" s="1"/>
  <c r="J852" i="4" a="1"/>
  <c r="J852" i="4" s="1"/>
  <c r="J853" i="4" a="1"/>
  <c r="J853" i="4" s="1"/>
  <c r="J854" i="4" a="1"/>
  <c r="J854" i="4" s="1"/>
  <c r="J855" i="4" a="1"/>
  <c r="J855" i="4" s="1"/>
  <c r="J856" i="4" a="1"/>
  <c r="J856" i="4" s="1"/>
  <c r="J857" i="4" a="1"/>
  <c r="J857" i="4" s="1"/>
  <c r="J858" i="4" a="1"/>
  <c r="J858" i="4" s="1"/>
  <c r="J859" i="4" a="1"/>
  <c r="J859" i="4" s="1"/>
  <c r="J860" i="4" a="1"/>
  <c r="J860" i="4" s="1"/>
  <c r="J861" i="4" a="1"/>
  <c r="J861" i="4" s="1"/>
  <c r="J862" i="4" a="1"/>
  <c r="J862" i="4" s="1"/>
  <c r="J863" i="4" a="1"/>
  <c r="J863" i="4" s="1"/>
  <c r="J864" i="4" a="1"/>
  <c r="J864" i="4" s="1"/>
  <c r="J865" i="4" a="1"/>
  <c r="J865" i="4" s="1"/>
  <c r="J866" i="4" a="1"/>
  <c r="J866" i="4" s="1"/>
  <c r="J867" i="4" a="1"/>
  <c r="J867" i="4" s="1"/>
  <c r="J868" i="4" a="1"/>
  <c r="J868" i="4" s="1"/>
  <c r="J869" i="4" a="1"/>
  <c r="J869" i="4" s="1"/>
  <c r="J870" i="4" a="1"/>
  <c r="J870" i="4" s="1"/>
  <c r="J871" i="4" a="1"/>
  <c r="J871" i="4" s="1"/>
  <c r="J872" i="4" a="1"/>
  <c r="J872" i="4" s="1"/>
  <c r="J873" i="4" a="1"/>
  <c r="J873" i="4" s="1"/>
  <c r="J874" i="4" a="1"/>
  <c r="J874" i="4" s="1"/>
  <c r="J875" i="4" a="1"/>
  <c r="J875" i="4" s="1"/>
  <c r="J876" i="4" a="1"/>
  <c r="J876" i="4" s="1"/>
  <c r="J877" i="4" a="1"/>
  <c r="J877" i="4" s="1"/>
  <c r="J878" i="4" a="1"/>
  <c r="J878" i="4" s="1"/>
  <c r="J879" i="4" a="1"/>
  <c r="J879" i="4" s="1"/>
  <c r="J880" i="4" a="1"/>
  <c r="J880" i="4" s="1"/>
  <c r="J881" i="4" a="1"/>
  <c r="J881" i="4" s="1"/>
  <c r="J821" i="4" a="1"/>
  <c r="J821" i="4" s="1"/>
  <c r="J822" i="4" a="1"/>
  <c r="J822" i="4" s="1"/>
  <c r="J823" i="4" a="1"/>
  <c r="J823" i="4" s="1"/>
  <c r="J824" i="4" a="1"/>
  <c r="J824" i="4" s="1"/>
  <c r="J825" i="4" a="1"/>
  <c r="J825" i="4" s="1"/>
  <c r="J826" i="4" a="1"/>
  <c r="J826" i="4" s="1"/>
  <c r="J827" i="4" a="1"/>
  <c r="J827" i="4" s="1"/>
  <c r="J828" i="4" a="1"/>
  <c r="J828" i="4" s="1"/>
  <c r="J829" i="4" a="1"/>
  <c r="J829" i="4" s="1"/>
  <c r="J830" i="4" a="1"/>
  <c r="J830" i="4" s="1"/>
  <c r="J831" i="4" a="1"/>
  <c r="J831" i="4" s="1"/>
  <c r="J832" i="4" a="1"/>
  <c r="J832" i="4" s="1"/>
  <c r="J833" i="4" a="1"/>
  <c r="J833" i="4" s="1"/>
  <c r="J834" i="4" a="1"/>
  <c r="J834" i="4" s="1"/>
  <c r="J835" i="4" a="1"/>
  <c r="J835" i="4" s="1"/>
  <c r="J836" i="4" a="1"/>
  <c r="J836" i="4" s="1"/>
  <c r="J837" i="4" a="1"/>
  <c r="J837" i="4" s="1"/>
  <c r="J838" i="4" a="1"/>
  <c r="J838" i="4" s="1"/>
  <c r="J839" i="4" a="1"/>
  <c r="J839" i="4" s="1"/>
  <c r="J840" i="4" a="1"/>
  <c r="J840" i="4" s="1"/>
  <c r="J841" i="4" a="1"/>
  <c r="J841" i="4" s="1"/>
  <c r="J842" i="4" a="1"/>
  <c r="J842" i="4" s="1"/>
  <c r="J843" i="4" a="1"/>
  <c r="J843" i="4" s="1"/>
  <c r="J844" i="4" a="1"/>
  <c r="J844" i="4" s="1"/>
  <c r="J845" i="4" a="1"/>
  <c r="J845" i="4" s="1"/>
  <c r="J846" i="4" a="1"/>
  <c r="J846" i="4" s="1"/>
  <c r="J847" i="4" a="1"/>
  <c r="J847" i="4" s="1"/>
  <c r="J848" i="4" a="1"/>
  <c r="J848" i="4" s="1"/>
  <c r="J849" i="4" a="1"/>
  <c r="J849" i="4" s="1"/>
  <c r="J850" i="4" a="1"/>
  <c r="J850" i="4" s="1"/>
  <c r="J851" i="4" a="1"/>
  <c r="J851" i="4" s="1"/>
  <c r="J791" i="4" a="1"/>
  <c r="J791" i="4" s="1"/>
  <c r="J792" i="4" a="1"/>
  <c r="J792" i="4" s="1"/>
  <c r="J793" i="4" a="1"/>
  <c r="J793" i="4" s="1"/>
  <c r="J794" i="4" a="1"/>
  <c r="J794" i="4" s="1"/>
  <c r="J795" i="4" a="1"/>
  <c r="J795" i="4" s="1"/>
  <c r="J796" i="4" a="1"/>
  <c r="J796" i="4" s="1"/>
  <c r="J797" i="4" a="1"/>
  <c r="J797" i="4" s="1"/>
  <c r="J798" i="4" a="1"/>
  <c r="J798" i="4" s="1"/>
  <c r="J799" i="4" a="1"/>
  <c r="J799" i="4" s="1"/>
  <c r="J800" i="4" a="1"/>
  <c r="J800" i="4" s="1"/>
  <c r="J801" i="4" a="1"/>
  <c r="J801" i="4" s="1"/>
  <c r="J802" i="4" a="1"/>
  <c r="J802" i="4" s="1"/>
  <c r="J803" i="4" a="1"/>
  <c r="J803" i="4" s="1"/>
  <c r="J804" i="4" a="1"/>
  <c r="J804" i="4" s="1"/>
  <c r="J805" i="4" a="1"/>
  <c r="J805" i="4" s="1"/>
  <c r="J806" i="4" a="1"/>
  <c r="J806" i="4" s="1"/>
  <c r="J807" i="4" a="1"/>
  <c r="J807" i="4" s="1"/>
  <c r="J808" i="4" a="1"/>
  <c r="J808" i="4" s="1"/>
  <c r="J809" i="4" a="1"/>
  <c r="J809" i="4" s="1"/>
  <c r="J810" i="4" a="1"/>
  <c r="J810" i="4" s="1"/>
  <c r="J811" i="4" a="1"/>
  <c r="J811" i="4" s="1"/>
  <c r="J812" i="4" a="1"/>
  <c r="J812" i="4" s="1"/>
  <c r="J813" i="4" a="1"/>
  <c r="J813" i="4" s="1"/>
  <c r="J814" i="4" a="1"/>
  <c r="J814" i="4" s="1"/>
  <c r="J815" i="4" a="1"/>
  <c r="J815" i="4" s="1"/>
  <c r="J816" i="4" a="1"/>
  <c r="J816" i="4" s="1"/>
  <c r="J817" i="4" a="1"/>
  <c r="J817" i="4" s="1"/>
  <c r="J818" i="4" a="1"/>
  <c r="J818" i="4" s="1"/>
  <c r="J819" i="4" a="1"/>
  <c r="J819" i="4" s="1"/>
  <c r="J820" i="4" a="1"/>
  <c r="J820" i="4" s="1"/>
  <c r="J760" i="4" a="1"/>
  <c r="J760" i="4" s="1"/>
  <c r="J761" i="4" a="1"/>
  <c r="J761" i="4" s="1"/>
  <c r="J762" i="4" a="1"/>
  <c r="J762" i="4" s="1"/>
  <c r="J763" i="4" a="1"/>
  <c r="J763" i="4" s="1"/>
  <c r="J764" i="4" a="1"/>
  <c r="J764" i="4" s="1"/>
  <c r="J765" i="4" a="1"/>
  <c r="J765" i="4" s="1"/>
  <c r="J766" i="4" a="1"/>
  <c r="J766" i="4" s="1"/>
  <c r="J767" i="4" a="1"/>
  <c r="J767" i="4" s="1"/>
  <c r="J768" i="4" a="1"/>
  <c r="J768" i="4" s="1"/>
  <c r="J769" i="4" a="1"/>
  <c r="J769" i="4" s="1"/>
  <c r="J770" i="4" a="1"/>
  <c r="J770" i="4" s="1"/>
  <c r="J771" i="4" a="1"/>
  <c r="J771" i="4" s="1"/>
  <c r="J772" i="4" a="1"/>
  <c r="J772" i="4" s="1"/>
  <c r="J773" i="4" a="1"/>
  <c r="J773" i="4" s="1"/>
  <c r="J774" i="4" a="1"/>
  <c r="J774" i="4" s="1"/>
  <c r="J775" i="4" a="1"/>
  <c r="J775" i="4" s="1"/>
  <c r="J776" i="4" a="1"/>
  <c r="J776" i="4" s="1"/>
  <c r="J777" i="4" a="1"/>
  <c r="J777" i="4" s="1"/>
  <c r="J778" i="4" a="1"/>
  <c r="J778" i="4" s="1"/>
  <c r="J779" i="4" a="1"/>
  <c r="J779" i="4" s="1"/>
  <c r="J780" i="4" a="1"/>
  <c r="J780" i="4" s="1"/>
  <c r="J781" i="4" a="1"/>
  <c r="J781" i="4" s="1"/>
  <c r="J782" i="4" a="1"/>
  <c r="J782" i="4" s="1"/>
  <c r="J783" i="4" a="1"/>
  <c r="J783" i="4" s="1"/>
  <c r="J784" i="4" a="1"/>
  <c r="J784" i="4" s="1"/>
  <c r="J785" i="4" a="1"/>
  <c r="J785" i="4" s="1"/>
  <c r="J786" i="4" a="1"/>
  <c r="J786" i="4" s="1"/>
  <c r="J787" i="4" a="1"/>
  <c r="J787" i="4" s="1"/>
  <c r="J788" i="4" a="1"/>
  <c r="J788" i="4" s="1"/>
  <c r="J789" i="4" a="1"/>
  <c r="J789" i="4" s="1"/>
  <c r="J790" i="4" a="1"/>
  <c r="J790" i="4" s="1"/>
  <c r="J732" i="4" a="1"/>
  <c r="J732" i="4" s="1"/>
  <c r="J733" i="4" a="1"/>
  <c r="J733" i="4" s="1"/>
  <c r="J734" i="4" a="1"/>
  <c r="J734" i="4" s="1"/>
  <c r="J735" i="4" a="1"/>
  <c r="J735" i="4" s="1"/>
  <c r="J736" i="4" a="1"/>
  <c r="J736" i="4" s="1"/>
  <c r="J737" i="4" a="1"/>
  <c r="J737" i="4" s="1"/>
  <c r="J738" i="4" a="1"/>
  <c r="J738" i="4" s="1"/>
  <c r="J739" i="4" a="1"/>
  <c r="J739" i="4" s="1"/>
  <c r="J740" i="4" a="1"/>
  <c r="J740" i="4" s="1"/>
  <c r="J741" i="4" a="1"/>
  <c r="J741" i="4" s="1"/>
  <c r="J742" i="4" a="1"/>
  <c r="J742" i="4" s="1"/>
  <c r="J743" i="4" a="1"/>
  <c r="J743" i="4" s="1"/>
  <c r="J744" i="4" a="1"/>
  <c r="J744" i="4" s="1"/>
  <c r="J745" i="4" a="1"/>
  <c r="J745" i="4" s="1"/>
  <c r="J746" i="4" a="1"/>
  <c r="J746" i="4" s="1"/>
  <c r="J747" i="4" a="1"/>
  <c r="J747" i="4" s="1"/>
  <c r="J748" i="4" a="1"/>
  <c r="J748" i="4" s="1"/>
  <c r="J749" i="4" a="1"/>
  <c r="J749" i="4" s="1"/>
  <c r="J750" i="4" a="1"/>
  <c r="J750" i="4" s="1"/>
  <c r="J751" i="4" a="1"/>
  <c r="J751" i="4" s="1"/>
  <c r="J752" i="4" a="1"/>
  <c r="J752" i="4" s="1"/>
  <c r="J753" i="4" a="1"/>
  <c r="J753" i="4" s="1"/>
  <c r="J754" i="4" a="1"/>
  <c r="J754" i="4" s="1"/>
  <c r="J755" i="4" a="1"/>
  <c r="J755" i="4" s="1"/>
  <c r="J756" i="4" a="1"/>
  <c r="J756" i="4" s="1"/>
  <c r="J757" i="4" a="1"/>
  <c r="J757" i="4" s="1"/>
  <c r="J758" i="4" a="1"/>
  <c r="J758" i="4" s="1"/>
  <c r="J759" i="4" a="1"/>
  <c r="J759" i="4" s="1"/>
  <c r="J701" i="4" a="1"/>
  <c r="J701" i="4" s="1"/>
  <c r="J702" i="4" a="1"/>
  <c r="J702" i="4" s="1"/>
  <c r="J703" i="4" a="1"/>
  <c r="J703" i="4" s="1"/>
  <c r="J704" i="4" a="1"/>
  <c r="J704" i="4" s="1"/>
  <c r="J705" i="4" a="1"/>
  <c r="J705" i="4" s="1"/>
  <c r="J706" i="4" a="1"/>
  <c r="J706" i="4" s="1"/>
  <c r="J707" i="4" a="1"/>
  <c r="J707" i="4" s="1"/>
  <c r="J708" i="4" a="1"/>
  <c r="J708" i="4" s="1"/>
  <c r="J709" i="4" a="1"/>
  <c r="J709" i="4" s="1"/>
  <c r="J710" i="4" a="1"/>
  <c r="J710" i="4" s="1"/>
  <c r="J711" i="4" a="1"/>
  <c r="J711" i="4" s="1"/>
  <c r="J712" i="4" a="1"/>
  <c r="J712" i="4" s="1"/>
  <c r="J713" i="4" a="1"/>
  <c r="J713" i="4" s="1"/>
  <c r="J714" i="4" a="1"/>
  <c r="J714" i="4" s="1"/>
  <c r="J715" i="4" a="1"/>
  <c r="J715" i="4" s="1"/>
  <c r="J716" i="4" a="1"/>
  <c r="J716" i="4" s="1"/>
  <c r="J717" i="4" a="1"/>
  <c r="J717" i="4" s="1"/>
  <c r="J718" i="4" a="1"/>
  <c r="J718" i="4" s="1"/>
  <c r="J719" i="4" a="1"/>
  <c r="J719" i="4" s="1"/>
  <c r="J720" i="4" a="1"/>
  <c r="J720" i="4" s="1"/>
  <c r="J721" i="4" a="1"/>
  <c r="J721" i="4" s="1"/>
  <c r="J722" i="4" a="1"/>
  <c r="J722" i="4" s="1"/>
  <c r="J723" i="4" a="1"/>
  <c r="J723" i="4" s="1"/>
  <c r="J724" i="4" a="1"/>
  <c r="J724" i="4" s="1"/>
  <c r="J725" i="4" a="1"/>
  <c r="J725" i="4" s="1"/>
  <c r="J726" i="4" a="1"/>
  <c r="J726" i="4" s="1"/>
  <c r="J727" i="4" a="1"/>
  <c r="J727" i="4" s="1"/>
  <c r="J728" i="4" a="1"/>
  <c r="J728" i="4" s="1"/>
  <c r="J729" i="4" a="1"/>
  <c r="J729" i="4" s="1"/>
  <c r="J730" i="4" a="1"/>
  <c r="J730" i="4" s="1"/>
  <c r="J731" i="4" a="1"/>
  <c r="J731" i="4" s="1"/>
  <c r="J670" i="4" a="1"/>
  <c r="J670" i="4" s="1"/>
  <c r="J671" i="4" a="1"/>
  <c r="J671" i="4" s="1"/>
  <c r="J672" i="4" a="1"/>
  <c r="J672" i="4" s="1"/>
  <c r="J673" i="4" a="1"/>
  <c r="J673" i="4" s="1"/>
  <c r="J674" i="4" a="1"/>
  <c r="J674" i="4" s="1"/>
  <c r="J675" i="4" a="1"/>
  <c r="J675" i="4" s="1"/>
  <c r="J676" i="4" a="1"/>
  <c r="J676" i="4" s="1"/>
  <c r="J677" i="4" a="1"/>
  <c r="J677" i="4" s="1"/>
  <c r="J678" i="4" a="1"/>
  <c r="J678" i="4" s="1"/>
  <c r="J679" i="4" a="1"/>
  <c r="J679" i="4" s="1"/>
  <c r="J680" i="4" a="1"/>
  <c r="J680" i="4" s="1"/>
  <c r="J681" i="4" a="1"/>
  <c r="J681" i="4" s="1"/>
  <c r="J682" i="4" a="1"/>
  <c r="J682" i="4" s="1"/>
  <c r="J683" i="4" a="1"/>
  <c r="J683" i="4" s="1"/>
  <c r="J684" i="4" a="1"/>
  <c r="J684" i="4" s="1"/>
  <c r="J685" i="4" a="1"/>
  <c r="J685" i="4" s="1"/>
  <c r="J686" i="4" a="1"/>
  <c r="J686" i="4" s="1"/>
  <c r="J687" i="4" a="1"/>
  <c r="J687" i="4" s="1"/>
  <c r="J688" i="4" a="1"/>
  <c r="J688" i="4" s="1"/>
  <c r="J689" i="4" a="1"/>
  <c r="J689" i="4" s="1"/>
  <c r="J690" i="4" a="1"/>
  <c r="J690" i="4" s="1"/>
  <c r="J691" i="4" a="1"/>
  <c r="J691" i="4" s="1"/>
  <c r="J692" i="4" a="1"/>
  <c r="J692" i="4" s="1"/>
  <c r="J693" i="4" a="1"/>
  <c r="J693" i="4" s="1"/>
  <c r="J694" i="4" a="1"/>
  <c r="J694" i="4" s="1"/>
  <c r="J695" i="4" a="1"/>
  <c r="J695" i="4" s="1"/>
  <c r="J696" i="4" a="1"/>
  <c r="J696" i="4" s="1"/>
  <c r="J697" i="4" a="1"/>
  <c r="J697" i="4" s="1"/>
  <c r="J698" i="4" a="1"/>
  <c r="J698" i="4" s="1"/>
  <c r="J699" i="4" a="1"/>
  <c r="J699" i="4" s="1"/>
  <c r="J700" i="4" a="1"/>
  <c r="J700" i="4" s="1"/>
  <c r="J640" i="4" a="1"/>
  <c r="J640" i="4" s="1"/>
  <c r="J641" i="4" a="1"/>
  <c r="J641" i="4" s="1"/>
  <c r="J642" i="4" a="1"/>
  <c r="J642" i="4" s="1"/>
  <c r="J643" i="4" a="1"/>
  <c r="J643" i="4" s="1"/>
  <c r="J644" i="4" a="1"/>
  <c r="J644" i="4" s="1"/>
  <c r="J645" i="4" a="1"/>
  <c r="J645" i="4" s="1"/>
  <c r="J646" i="4" a="1"/>
  <c r="J646" i="4" s="1"/>
  <c r="J647" i="4" a="1"/>
  <c r="J647" i="4" s="1"/>
  <c r="J648" i="4" a="1"/>
  <c r="J648" i="4" s="1"/>
  <c r="J649" i="4" a="1"/>
  <c r="J649" i="4" s="1"/>
  <c r="J650" i="4" a="1"/>
  <c r="J650" i="4" s="1"/>
  <c r="J651" i="4" a="1"/>
  <c r="J651" i="4" s="1"/>
  <c r="J652" i="4" a="1"/>
  <c r="J652" i="4" s="1"/>
  <c r="J653" i="4" a="1"/>
  <c r="J653" i="4" s="1"/>
  <c r="J654" i="4" a="1"/>
  <c r="J654" i="4" s="1"/>
  <c r="J655" i="4" a="1"/>
  <c r="J655" i="4" s="1"/>
  <c r="J656" i="4" a="1"/>
  <c r="J656" i="4" s="1"/>
  <c r="J657" i="4" a="1"/>
  <c r="J657" i="4" s="1"/>
  <c r="J658" i="4" a="1"/>
  <c r="J658" i="4" s="1"/>
  <c r="J659" i="4" a="1"/>
  <c r="J659" i="4" s="1"/>
  <c r="J660" i="4" a="1"/>
  <c r="J660" i="4" s="1"/>
  <c r="J661" i="4" a="1"/>
  <c r="J661" i="4" s="1"/>
  <c r="J662" i="4" a="1"/>
  <c r="J662" i="4" s="1"/>
  <c r="J663" i="4" a="1"/>
  <c r="J663" i="4" s="1"/>
  <c r="J664" i="4" a="1"/>
  <c r="J664" i="4" s="1"/>
  <c r="J665" i="4" a="1"/>
  <c r="J665" i="4" s="1"/>
  <c r="J666" i="4" a="1"/>
  <c r="J666" i="4" s="1"/>
  <c r="J667" i="4" a="1"/>
  <c r="J667" i="4" s="1"/>
  <c r="J668" i="4" a="1"/>
  <c r="J668" i="4" s="1"/>
  <c r="J669" i="4" a="1"/>
  <c r="J669" i="4" s="1"/>
  <c r="J609" i="4" a="1"/>
  <c r="J609" i="4" s="1"/>
  <c r="J610" i="4" a="1"/>
  <c r="J610" i="4" s="1"/>
  <c r="J611" i="4" a="1"/>
  <c r="J611" i="4" s="1"/>
  <c r="J612" i="4" a="1"/>
  <c r="J612" i="4" s="1"/>
  <c r="J613" i="4" a="1"/>
  <c r="J613" i="4" s="1"/>
  <c r="J614" i="4" a="1"/>
  <c r="J614" i="4" s="1"/>
  <c r="J615" i="4" a="1"/>
  <c r="J615" i="4" s="1"/>
  <c r="J616" i="4" a="1"/>
  <c r="J616" i="4" s="1"/>
  <c r="J617" i="4" a="1"/>
  <c r="J617" i="4" s="1"/>
  <c r="J618" i="4" a="1"/>
  <c r="J618" i="4" s="1"/>
  <c r="J619" i="4" a="1"/>
  <c r="J619" i="4" s="1"/>
  <c r="J620" i="4" a="1"/>
  <c r="J620" i="4" s="1"/>
  <c r="J621" i="4" a="1"/>
  <c r="J621" i="4" s="1"/>
  <c r="J622" i="4" a="1"/>
  <c r="J622" i="4" s="1"/>
  <c r="J623" i="4" a="1"/>
  <c r="J623" i="4" s="1"/>
  <c r="J624" i="4" a="1"/>
  <c r="J624" i="4" s="1"/>
  <c r="J625" i="4" a="1"/>
  <c r="J625" i="4" s="1"/>
  <c r="J626" i="4" a="1"/>
  <c r="J626" i="4" s="1"/>
  <c r="J627" i="4" a="1"/>
  <c r="J627" i="4" s="1"/>
  <c r="J628" i="4" a="1"/>
  <c r="J628" i="4" s="1"/>
  <c r="J629" i="4" a="1"/>
  <c r="J629" i="4" s="1"/>
  <c r="J630" i="4" a="1"/>
  <c r="J630" i="4" s="1"/>
  <c r="J631" i="4" a="1"/>
  <c r="J631" i="4" s="1"/>
  <c r="J632" i="4" a="1"/>
  <c r="J632" i="4" s="1"/>
  <c r="J633" i="4" a="1"/>
  <c r="J633" i="4" s="1"/>
  <c r="J634" i="4" a="1"/>
  <c r="J634" i="4" s="1"/>
  <c r="J635" i="4" a="1"/>
  <c r="J635" i="4" s="1"/>
  <c r="J636" i="4" a="1"/>
  <c r="J636" i="4" s="1"/>
  <c r="J637" i="4" a="1"/>
  <c r="J637" i="4" s="1"/>
  <c r="J638" i="4" a="1"/>
  <c r="J638" i="4" s="1"/>
  <c r="J639" i="4" a="1"/>
  <c r="J639" i="4" s="1"/>
  <c r="J579" i="4" a="1"/>
  <c r="J579" i="4" s="1"/>
  <c r="J580" i="4" a="1"/>
  <c r="J580" i="4" s="1"/>
  <c r="J581" i="4" a="1"/>
  <c r="J581" i="4" s="1"/>
  <c r="J582" i="4" a="1"/>
  <c r="J582" i="4" s="1"/>
  <c r="J583" i="4" a="1"/>
  <c r="J583" i="4" s="1"/>
  <c r="J584" i="4" a="1"/>
  <c r="J584" i="4" s="1"/>
  <c r="J585" i="4" a="1"/>
  <c r="J585" i="4" s="1"/>
  <c r="J586" i="4" a="1"/>
  <c r="J586" i="4" s="1"/>
  <c r="J587" i="4" a="1"/>
  <c r="J587" i="4" s="1"/>
  <c r="J588" i="4" a="1"/>
  <c r="J588" i="4" s="1"/>
  <c r="J589" i="4" a="1"/>
  <c r="J589" i="4" s="1"/>
  <c r="J590" i="4" a="1"/>
  <c r="J590" i="4" s="1"/>
  <c r="J591" i="4" a="1"/>
  <c r="J591" i="4" s="1"/>
  <c r="J592" i="4" a="1"/>
  <c r="J592" i="4" s="1"/>
  <c r="J593" i="4" a="1"/>
  <c r="J593" i="4" s="1"/>
  <c r="J594" i="4" a="1"/>
  <c r="J594" i="4" s="1"/>
  <c r="J595" i="4" a="1"/>
  <c r="J595" i="4" s="1"/>
  <c r="J596" i="4" a="1"/>
  <c r="J596" i="4" s="1"/>
  <c r="J597" i="4" a="1"/>
  <c r="J597" i="4" s="1"/>
  <c r="J598" i="4" a="1"/>
  <c r="J598" i="4" s="1"/>
  <c r="J599" i="4" a="1"/>
  <c r="J599" i="4" s="1"/>
  <c r="J600" i="4" a="1"/>
  <c r="J600" i="4" s="1"/>
  <c r="J601" i="4" a="1"/>
  <c r="J601" i="4" s="1"/>
  <c r="J602" i="4" a="1"/>
  <c r="J602" i="4" s="1"/>
  <c r="J603" i="4" a="1"/>
  <c r="J603" i="4" s="1"/>
  <c r="J604" i="4" a="1"/>
  <c r="J604" i="4" s="1"/>
  <c r="J605" i="4" a="1"/>
  <c r="J605" i="4" s="1"/>
  <c r="J606" i="4" a="1"/>
  <c r="J606" i="4" s="1"/>
  <c r="J607" i="4" a="1"/>
  <c r="J607" i="4" s="1"/>
  <c r="J608" i="4" a="1"/>
  <c r="J608" i="4" s="1"/>
  <c r="J548" i="4" a="1"/>
  <c r="J548" i="4" s="1"/>
  <c r="J549" i="4" a="1"/>
  <c r="J549" i="4" s="1"/>
  <c r="J550" i="4" a="1"/>
  <c r="J550" i="4" s="1"/>
  <c r="J551" i="4" a="1"/>
  <c r="J551" i="4" s="1"/>
  <c r="J552" i="4" a="1"/>
  <c r="J552" i="4" s="1"/>
  <c r="J553" i="4" a="1"/>
  <c r="J553" i="4" s="1"/>
  <c r="J554" i="4" a="1"/>
  <c r="J554" i="4" s="1"/>
  <c r="J555" i="4" a="1"/>
  <c r="J555" i="4" s="1"/>
  <c r="J556" i="4" a="1"/>
  <c r="J556" i="4" s="1"/>
  <c r="J557" i="4" a="1"/>
  <c r="J557" i="4" s="1"/>
  <c r="J558" i="4" a="1"/>
  <c r="J558" i="4" s="1"/>
  <c r="J559" i="4" a="1"/>
  <c r="J559" i="4" s="1"/>
  <c r="J560" i="4" a="1"/>
  <c r="J560" i="4" s="1"/>
  <c r="J561" i="4" a="1"/>
  <c r="J561" i="4" s="1"/>
  <c r="J562" i="4" a="1"/>
  <c r="J562" i="4" s="1"/>
  <c r="J563" i="4" a="1"/>
  <c r="J563" i="4" s="1"/>
  <c r="J564" i="4" a="1"/>
  <c r="J564" i="4" s="1"/>
  <c r="J565" i="4" a="1"/>
  <c r="J565" i="4" s="1"/>
  <c r="J566" i="4" a="1"/>
  <c r="J566" i="4" s="1"/>
  <c r="J567" i="4" a="1"/>
  <c r="J567" i="4" s="1"/>
  <c r="J568" i="4" a="1"/>
  <c r="J568" i="4" s="1"/>
  <c r="J569" i="4" a="1"/>
  <c r="J569" i="4" s="1"/>
  <c r="J570" i="4" a="1"/>
  <c r="J570" i="4" s="1"/>
  <c r="J571" i="4" a="1"/>
  <c r="J571" i="4" s="1"/>
  <c r="J572" i="4" a="1"/>
  <c r="J572" i="4" s="1"/>
  <c r="J573" i="4" a="1"/>
  <c r="J573" i="4" s="1"/>
  <c r="J574" i="4" a="1"/>
  <c r="J574" i="4" s="1"/>
  <c r="J575" i="4" a="1"/>
  <c r="J575" i="4" s="1"/>
  <c r="J576" i="4" a="1"/>
  <c r="J576" i="4" s="1"/>
  <c r="J577" i="4" a="1"/>
  <c r="J577" i="4" s="1"/>
  <c r="J578" i="4" a="1"/>
  <c r="J578" i="4" s="1"/>
  <c r="J517" i="4" a="1"/>
  <c r="J517" i="4" s="1"/>
  <c r="J518" i="4" a="1"/>
  <c r="J518" i="4" s="1"/>
  <c r="J519" i="4" a="1"/>
  <c r="J519" i="4" s="1"/>
  <c r="J520" i="4" a="1"/>
  <c r="J520" i="4" s="1"/>
  <c r="J521" i="4" a="1"/>
  <c r="J521" i="4" s="1"/>
  <c r="J522" i="4" a="1"/>
  <c r="J522" i="4" s="1"/>
  <c r="J523" i="4" a="1"/>
  <c r="J523" i="4" s="1"/>
  <c r="J524" i="4" a="1"/>
  <c r="J524" i="4" s="1"/>
  <c r="J525" i="4" a="1"/>
  <c r="J525" i="4" s="1"/>
  <c r="J526" i="4" a="1"/>
  <c r="J526" i="4" s="1"/>
  <c r="J527" i="4" a="1"/>
  <c r="J527" i="4" s="1"/>
  <c r="J528" i="4" a="1"/>
  <c r="J528" i="4" s="1"/>
  <c r="J529" i="4" a="1"/>
  <c r="J529" i="4" s="1"/>
  <c r="J530" i="4" a="1"/>
  <c r="J530" i="4" s="1"/>
  <c r="J531" i="4" a="1"/>
  <c r="J531" i="4" s="1"/>
  <c r="J532" i="4" a="1"/>
  <c r="J532" i="4" s="1"/>
  <c r="J533" i="4" a="1"/>
  <c r="J533" i="4" s="1"/>
  <c r="J534" i="4" a="1"/>
  <c r="J534" i="4" s="1"/>
  <c r="J535" i="4" a="1"/>
  <c r="J535" i="4" s="1"/>
  <c r="J536" i="4" a="1"/>
  <c r="J536" i="4" s="1"/>
  <c r="J537" i="4" a="1"/>
  <c r="J537" i="4" s="1"/>
  <c r="J538" i="4" a="1"/>
  <c r="J538" i="4" s="1"/>
  <c r="J539" i="4" a="1"/>
  <c r="J539" i="4" s="1"/>
  <c r="J540" i="4" a="1"/>
  <c r="J540" i="4" s="1"/>
  <c r="J541" i="4" a="1"/>
  <c r="J541" i="4" s="1"/>
  <c r="J542" i="4" a="1"/>
  <c r="J542" i="4" s="1"/>
  <c r="J543" i="4" a="1"/>
  <c r="J543" i="4" s="1"/>
  <c r="J544" i="4" a="1"/>
  <c r="J544" i="4" s="1"/>
  <c r="J545" i="4" a="1"/>
  <c r="J545" i="4" s="1"/>
  <c r="J546" i="4" a="1"/>
  <c r="J546" i="4" s="1"/>
  <c r="J547" i="4" a="1"/>
  <c r="J547" i="4" s="1"/>
  <c r="J487" i="4" a="1"/>
  <c r="J487" i="4" s="1"/>
  <c r="J488" i="4" a="1"/>
  <c r="J488" i="4" s="1"/>
  <c r="J489" i="4" a="1"/>
  <c r="J489" i="4" s="1"/>
  <c r="J490" i="4" a="1"/>
  <c r="J490" i="4" s="1"/>
  <c r="J491" i="4" a="1"/>
  <c r="J491" i="4" s="1"/>
  <c r="J492" i="4" a="1"/>
  <c r="J492" i="4" s="1"/>
  <c r="J493" i="4" a="1"/>
  <c r="J493" i="4" s="1"/>
  <c r="J494" i="4" a="1"/>
  <c r="J494" i="4" s="1"/>
  <c r="J495" i="4" a="1"/>
  <c r="J495" i="4" s="1"/>
  <c r="J496" i="4" a="1"/>
  <c r="J496" i="4" s="1"/>
  <c r="J497" i="4" a="1"/>
  <c r="J497" i="4" s="1"/>
  <c r="J498" i="4" a="1"/>
  <c r="J498" i="4" s="1"/>
  <c r="J499" i="4" a="1"/>
  <c r="J499" i="4" s="1"/>
  <c r="J500" i="4" a="1"/>
  <c r="J500" i="4" s="1"/>
  <c r="J501" i="4" a="1"/>
  <c r="J501" i="4" s="1"/>
  <c r="J502" i="4" a="1"/>
  <c r="J502" i="4" s="1"/>
  <c r="J503" i="4" a="1"/>
  <c r="J503" i="4" s="1"/>
  <c r="J504" i="4" a="1"/>
  <c r="J504" i="4" s="1"/>
  <c r="J505" i="4" a="1"/>
  <c r="J505" i="4" s="1"/>
  <c r="J506" i="4" a="1"/>
  <c r="J506" i="4" s="1"/>
  <c r="J507" i="4" a="1"/>
  <c r="J507" i="4" s="1"/>
  <c r="J508" i="4" a="1"/>
  <c r="J508" i="4" s="1"/>
  <c r="J509" i="4" a="1"/>
  <c r="J509" i="4" s="1"/>
  <c r="J510" i="4" a="1"/>
  <c r="J510" i="4" s="1"/>
  <c r="J511" i="4" a="1"/>
  <c r="J511" i="4" s="1"/>
  <c r="J512" i="4" a="1"/>
  <c r="J512" i="4" s="1"/>
  <c r="J513" i="4" a="1"/>
  <c r="J513" i="4" s="1"/>
  <c r="J514" i="4" a="1"/>
  <c r="J514" i="4" s="1"/>
  <c r="J515" i="4" a="1"/>
  <c r="J515" i="4" s="1"/>
  <c r="J516" i="4" a="1"/>
  <c r="J516" i="4" s="1"/>
  <c r="J456" i="4" a="1"/>
  <c r="J456" i="4" s="1"/>
  <c r="J457" i="4" a="1"/>
  <c r="J457" i="4" s="1"/>
  <c r="J458" i="4" a="1"/>
  <c r="J458" i="4" s="1"/>
  <c r="J459" i="4" a="1"/>
  <c r="J459" i="4" s="1"/>
  <c r="J460" i="4" a="1"/>
  <c r="J460" i="4" s="1"/>
  <c r="J461" i="4" a="1"/>
  <c r="J461" i="4" s="1"/>
  <c r="J462" i="4" a="1"/>
  <c r="J462" i="4" s="1"/>
  <c r="J463" i="4" a="1"/>
  <c r="J463" i="4" s="1"/>
  <c r="J464" i="4" a="1"/>
  <c r="J464" i="4" s="1"/>
  <c r="J465" i="4" a="1"/>
  <c r="J465" i="4" s="1"/>
  <c r="J466" i="4" a="1"/>
  <c r="J466" i="4" s="1"/>
  <c r="J467" i="4" a="1"/>
  <c r="J467" i="4" s="1"/>
  <c r="J468" i="4" a="1"/>
  <c r="J468" i="4" s="1"/>
  <c r="J469" i="4" a="1"/>
  <c r="J469" i="4" s="1"/>
  <c r="J470" i="4" a="1"/>
  <c r="J470" i="4" s="1"/>
  <c r="J471" i="4" a="1"/>
  <c r="J471" i="4" s="1"/>
  <c r="J472" i="4" a="1"/>
  <c r="J472" i="4" s="1"/>
  <c r="J473" i="4" a="1"/>
  <c r="J473" i="4" s="1"/>
  <c r="J474" i="4" a="1"/>
  <c r="J474" i="4" s="1"/>
  <c r="J475" i="4" a="1"/>
  <c r="J475" i="4" s="1"/>
  <c r="J476" i="4" a="1"/>
  <c r="J476" i="4" s="1"/>
  <c r="J477" i="4" a="1"/>
  <c r="J477" i="4" s="1"/>
  <c r="J478" i="4" a="1"/>
  <c r="J478" i="4" s="1"/>
  <c r="J479" i="4" a="1"/>
  <c r="J479" i="4" s="1"/>
  <c r="J480" i="4" a="1"/>
  <c r="J480" i="4" s="1"/>
  <c r="J481" i="4" a="1"/>
  <c r="J481" i="4" s="1"/>
  <c r="J482" i="4" a="1"/>
  <c r="J482" i="4" s="1"/>
  <c r="J483" i="4" a="1"/>
  <c r="J483" i="4" s="1"/>
  <c r="J484" i="4" a="1"/>
  <c r="J484" i="4" s="1"/>
  <c r="J485" i="4" a="1"/>
  <c r="J485" i="4" s="1"/>
  <c r="J486" i="4" a="1"/>
  <c r="J486" i="4" s="1"/>
  <c r="J426" i="4" a="1"/>
  <c r="J426" i="4" s="1"/>
  <c r="J427" i="4" a="1"/>
  <c r="J427" i="4" s="1"/>
  <c r="J428" i="4" a="1"/>
  <c r="J428" i="4" s="1"/>
  <c r="J429" i="4" a="1"/>
  <c r="J429" i="4" s="1"/>
  <c r="J430" i="4" a="1"/>
  <c r="J430" i="4" s="1"/>
  <c r="J431" i="4" a="1"/>
  <c r="J431" i="4" s="1"/>
  <c r="J432" i="4" a="1"/>
  <c r="J432" i="4" s="1"/>
  <c r="J433" i="4" a="1"/>
  <c r="J433" i="4" s="1"/>
  <c r="J434" i="4" a="1"/>
  <c r="J434" i="4" s="1"/>
  <c r="J435" i="4" a="1"/>
  <c r="J435" i="4" s="1"/>
  <c r="J436" i="4" a="1"/>
  <c r="J436" i="4" s="1"/>
  <c r="J437" i="4" a="1"/>
  <c r="J437" i="4" s="1"/>
  <c r="J438" i="4" a="1"/>
  <c r="J438" i="4" s="1"/>
  <c r="J439" i="4" a="1"/>
  <c r="J439" i="4" s="1"/>
  <c r="J440" i="4" a="1"/>
  <c r="J440" i="4" s="1"/>
  <c r="J441" i="4" a="1"/>
  <c r="J441" i="4" s="1"/>
  <c r="J442" i="4" a="1"/>
  <c r="J442" i="4" s="1"/>
  <c r="J443" i="4" a="1"/>
  <c r="J443" i="4" s="1"/>
  <c r="J444" i="4" a="1"/>
  <c r="J444" i="4" s="1"/>
  <c r="J445" i="4" a="1"/>
  <c r="J445" i="4" s="1"/>
  <c r="J446" i="4" a="1"/>
  <c r="J446" i="4" s="1"/>
  <c r="J447" i="4" a="1"/>
  <c r="J447" i="4" s="1"/>
  <c r="J448" i="4" a="1"/>
  <c r="J448" i="4" s="1"/>
  <c r="J449" i="4" a="1"/>
  <c r="J449" i="4" s="1"/>
  <c r="J450" i="4" a="1"/>
  <c r="J450" i="4" s="1"/>
  <c r="J451" i="4" a="1"/>
  <c r="J451" i="4" s="1"/>
  <c r="J452" i="4" a="1"/>
  <c r="J452" i="4" s="1"/>
  <c r="J453" i="4" a="1"/>
  <c r="J453" i="4" s="1"/>
  <c r="J454" i="4" a="1"/>
  <c r="J454" i="4" s="1"/>
  <c r="J455" i="4" a="1"/>
  <c r="J455" i="4" s="1"/>
  <c r="J395" i="4" a="1"/>
  <c r="J395" i="4" s="1"/>
  <c r="J396" i="4" a="1"/>
  <c r="J396" i="4" s="1"/>
  <c r="J397" i="4" a="1"/>
  <c r="J397" i="4" s="1"/>
  <c r="J398" i="4" a="1"/>
  <c r="J398" i="4" s="1"/>
  <c r="J399" i="4" a="1"/>
  <c r="J399" i="4" s="1"/>
  <c r="J400" i="4" a="1"/>
  <c r="J400" i="4" s="1"/>
  <c r="J401" i="4" a="1"/>
  <c r="J401" i="4" s="1"/>
  <c r="J402" i="4" a="1"/>
  <c r="J402" i="4" s="1"/>
  <c r="J403" i="4" a="1"/>
  <c r="J403" i="4" s="1"/>
  <c r="J404" i="4" a="1"/>
  <c r="J404" i="4" s="1"/>
  <c r="J405" i="4" a="1"/>
  <c r="J405" i="4" s="1"/>
  <c r="J406" i="4" a="1"/>
  <c r="J406" i="4" s="1"/>
  <c r="J407" i="4" a="1"/>
  <c r="J407" i="4" s="1"/>
  <c r="J408" i="4" a="1"/>
  <c r="J408" i="4" s="1"/>
  <c r="J409" i="4" a="1"/>
  <c r="J409" i="4" s="1"/>
  <c r="J410" i="4" a="1"/>
  <c r="J410" i="4" s="1"/>
  <c r="J411" i="4" a="1"/>
  <c r="J411" i="4" s="1"/>
  <c r="J412" i="4" a="1"/>
  <c r="J412" i="4" s="1"/>
  <c r="J413" i="4" a="1"/>
  <c r="J413" i="4" s="1"/>
  <c r="J414" i="4" a="1"/>
  <c r="J414" i="4" s="1"/>
  <c r="J415" i="4" a="1"/>
  <c r="J415" i="4" s="1"/>
  <c r="J416" i="4" a="1"/>
  <c r="J416" i="4" s="1"/>
  <c r="J417" i="4" a="1"/>
  <c r="J417" i="4" s="1"/>
  <c r="J418" i="4" a="1"/>
  <c r="J418" i="4" s="1"/>
  <c r="J419" i="4" a="1"/>
  <c r="J419" i="4" s="1"/>
  <c r="J420" i="4" a="1"/>
  <c r="J420" i="4" s="1"/>
  <c r="J421" i="4" a="1"/>
  <c r="J421" i="4" s="1"/>
  <c r="J422" i="4" a="1"/>
  <c r="J422" i="4" s="1"/>
  <c r="J423" i="4" a="1"/>
  <c r="J423" i="4" s="1"/>
  <c r="J424" i="4" a="1"/>
  <c r="J424" i="4" s="1"/>
  <c r="J425" i="4" a="1"/>
  <c r="J425" i="4" s="1"/>
  <c r="J366" i="4" a="1"/>
  <c r="J366" i="4" s="1"/>
  <c r="J367" i="4" a="1"/>
  <c r="J367" i="4" s="1"/>
  <c r="J368" i="4" a="1"/>
  <c r="J368" i="4" s="1"/>
  <c r="J369" i="4" a="1"/>
  <c r="J369" i="4" s="1"/>
  <c r="J370" i="4" a="1"/>
  <c r="J370" i="4" s="1"/>
  <c r="J371" i="4" a="1"/>
  <c r="J371" i="4" s="1"/>
  <c r="J372" i="4" a="1"/>
  <c r="J372" i="4" s="1"/>
  <c r="J373" i="4" a="1"/>
  <c r="J373" i="4" s="1"/>
  <c r="J374" i="4" a="1"/>
  <c r="J374" i="4" s="1"/>
  <c r="J375" i="4" a="1"/>
  <c r="J375" i="4" s="1"/>
  <c r="J376" i="4" a="1"/>
  <c r="J376" i="4" s="1"/>
  <c r="J377" i="4" a="1"/>
  <c r="J377" i="4" s="1"/>
  <c r="J378" i="4" a="1"/>
  <c r="J378" i="4" s="1"/>
  <c r="J379" i="4" a="1"/>
  <c r="J379" i="4" s="1"/>
  <c r="J380" i="4" a="1"/>
  <c r="J380" i="4" s="1"/>
  <c r="J381" i="4" a="1"/>
  <c r="J381" i="4" s="1"/>
  <c r="J382" i="4" a="1"/>
  <c r="J382" i="4" s="1"/>
  <c r="J383" i="4" a="1"/>
  <c r="J383" i="4" s="1"/>
  <c r="J384" i="4" a="1"/>
  <c r="J384" i="4" s="1"/>
  <c r="J385" i="4" a="1"/>
  <c r="J385" i="4" s="1"/>
  <c r="J386" i="4" a="1"/>
  <c r="J386" i="4" s="1"/>
  <c r="J387" i="4" a="1"/>
  <c r="J387" i="4" s="1"/>
  <c r="J388" i="4" a="1"/>
  <c r="J388" i="4" s="1"/>
  <c r="J389" i="4" a="1"/>
  <c r="J389" i="4" s="1"/>
  <c r="J390" i="4" a="1"/>
  <c r="J390" i="4" s="1"/>
  <c r="J391" i="4" a="1"/>
  <c r="J391" i="4" s="1"/>
  <c r="J392" i="4" a="1"/>
  <c r="J392" i="4" s="1"/>
  <c r="J393" i="4" a="1"/>
  <c r="J393" i="4" s="1"/>
  <c r="J394" i="4" a="1"/>
  <c r="J394" i="4" s="1"/>
  <c r="J335" i="4" a="1"/>
  <c r="J335" i="4" s="1"/>
  <c r="J336" i="4" a="1"/>
  <c r="J336" i="4" s="1"/>
  <c r="J337" i="4" a="1"/>
  <c r="J337" i="4" s="1"/>
  <c r="J338" i="4" a="1"/>
  <c r="J338" i="4" s="1"/>
  <c r="J339" i="4" a="1"/>
  <c r="J339" i="4" s="1"/>
  <c r="J340" i="4" a="1"/>
  <c r="J340" i="4" s="1"/>
  <c r="J341" i="4" a="1"/>
  <c r="J341" i="4" s="1"/>
  <c r="J342" i="4" a="1"/>
  <c r="J342" i="4" s="1"/>
  <c r="J343" i="4" a="1"/>
  <c r="J343" i="4" s="1"/>
  <c r="J344" i="4" a="1"/>
  <c r="J344" i="4" s="1"/>
  <c r="J345" i="4" a="1"/>
  <c r="J345" i="4" s="1"/>
  <c r="J346" i="4" a="1"/>
  <c r="J346" i="4" s="1"/>
  <c r="J347" i="4" a="1"/>
  <c r="J347" i="4" s="1"/>
  <c r="J348" i="4" a="1"/>
  <c r="J348" i="4" s="1"/>
  <c r="J349" i="4" a="1"/>
  <c r="J349" i="4" s="1"/>
  <c r="J350" i="4" a="1"/>
  <c r="J350" i="4" s="1"/>
  <c r="J351" i="4" a="1"/>
  <c r="J351" i="4" s="1"/>
  <c r="J352" i="4" a="1"/>
  <c r="J352" i="4" s="1"/>
  <c r="J353" i="4" a="1"/>
  <c r="J353" i="4" s="1"/>
  <c r="J354" i="4" a="1"/>
  <c r="J354" i="4" s="1"/>
  <c r="J355" i="4" a="1"/>
  <c r="J355" i="4" s="1"/>
  <c r="J356" i="4" a="1"/>
  <c r="J356" i="4" s="1"/>
  <c r="J357" i="4" a="1"/>
  <c r="J357" i="4" s="1"/>
  <c r="J358" i="4" a="1"/>
  <c r="J358" i="4" s="1"/>
  <c r="J359" i="4" a="1"/>
  <c r="J359" i="4" s="1"/>
  <c r="J360" i="4" a="1"/>
  <c r="J360" i="4" s="1"/>
  <c r="J361" i="4" a="1"/>
  <c r="J361" i="4" s="1"/>
  <c r="J362" i="4" a="1"/>
  <c r="J362" i="4" s="1"/>
  <c r="J363" i="4" a="1"/>
  <c r="J363" i="4" s="1"/>
  <c r="J364" i="4" a="1"/>
  <c r="J364" i="4" s="1"/>
  <c r="J365" i="4" a="1"/>
  <c r="J365" i="4" s="1"/>
  <c r="J304" i="4" a="1"/>
  <c r="J304" i="4" s="1"/>
  <c r="J305" i="4" a="1"/>
  <c r="J305" i="4" s="1"/>
  <c r="J306" i="4" a="1"/>
  <c r="J306" i="4" s="1"/>
  <c r="J307" i="4" a="1"/>
  <c r="J307" i="4" s="1"/>
  <c r="J308" i="4" a="1"/>
  <c r="J308" i="4" s="1"/>
  <c r="J309" i="4" a="1"/>
  <c r="J309" i="4" s="1"/>
  <c r="J310" i="4" a="1"/>
  <c r="J310" i="4" s="1"/>
  <c r="J311" i="4" a="1"/>
  <c r="J311" i="4" s="1"/>
  <c r="J312" i="4" a="1"/>
  <c r="J312" i="4" s="1"/>
  <c r="J313" i="4" a="1"/>
  <c r="J313" i="4" s="1"/>
  <c r="J314" i="4" a="1"/>
  <c r="J314" i="4" s="1"/>
  <c r="J315" i="4" a="1"/>
  <c r="J315" i="4" s="1"/>
  <c r="J316" i="4" a="1"/>
  <c r="J316" i="4" s="1"/>
  <c r="J317" i="4" a="1"/>
  <c r="J317" i="4" s="1"/>
  <c r="J318" i="4" a="1"/>
  <c r="J318" i="4" s="1"/>
  <c r="J319" i="4" a="1"/>
  <c r="J319" i="4" s="1"/>
  <c r="J320" i="4" a="1"/>
  <c r="J320" i="4" s="1"/>
  <c r="J321" i="4" a="1"/>
  <c r="J321" i="4" s="1"/>
  <c r="J322" i="4" a="1"/>
  <c r="J322" i="4" s="1"/>
  <c r="J323" i="4" a="1"/>
  <c r="J323" i="4" s="1"/>
  <c r="J324" i="4" a="1"/>
  <c r="J324" i="4" s="1"/>
  <c r="J325" i="4" a="1"/>
  <c r="J325" i="4" s="1"/>
  <c r="J326" i="4" a="1"/>
  <c r="J326" i="4" s="1"/>
  <c r="J327" i="4" a="1"/>
  <c r="J327" i="4" s="1"/>
  <c r="J328" i="4" a="1"/>
  <c r="J328" i="4" s="1"/>
  <c r="J329" i="4" a="1"/>
  <c r="J329" i="4" s="1"/>
  <c r="J330" i="4" a="1"/>
  <c r="J330" i="4" s="1"/>
  <c r="J331" i="4" a="1"/>
  <c r="J331" i="4" s="1"/>
  <c r="J332" i="4" a="1"/>
  <c r="J332" i="4" s="1"/>
  <c r="J333" i="4" a="1"/>
  <c r="J333" i="4" s="1"/>
  <c r="J334" i="4" a="1"/>
  <c r="J334" i="4" s="1"/>
  <c r="J274" i="4" a="1"/>
  <c r="J274" i="4" s="1"/>
  <c r="J275" i="4" a="1"/>
  <c r="J275" i="4" s="1"/>
  <c r="J276" i="4" a="1"/>
  <c r="J276" i="4" s="1"/>
  <c r="J277" i="4" a="1"/>
  <c r="J277" i="4" s="1"/>
  <c r="J278" i="4" a="1"/>
  <c r="J278" i="4" s="1"/>
  <c r="J279" i="4" a="1"/>
  <c r="J279" i="4" s="1"/>
  <c r="J280" i="4" a="1"/>
  <c r="J280" i="4" s="1"/>
  <c r="J281" i="4" a="1"/>
  <c r="J281" i="4" s="1"/>
  <c r="J282" i="4" a="1"/>
  <c r="J282" i="4" s="1"/>
  <c r="J283" i="4" a="1"/>
  <c r="J283" i="4" s="1"/>
  <c r="J284" i="4" a="1"/>
  <c r="J284" i="4" s="1"/>
  <c r="J285" i="4" a="1"/>
  <c r="J285" i="4" s="1"/>
  <c r="J286" i="4" a="1"/>
  <c r="J286" i="4" s="1"/>
  <c r="J287" i="4" a="1"/>
  <c r="J287" i="4" s="1"/>
  <c r="J288" i="4" a="1"/>
  <c r="J288" i="4" s="1"/>
  <c r="J289" i="4" a="1"/>
  <c r="J289" i="4" s="1"/>
  <c r="J290" i="4" a="1"/>
  <c r="J290" i="4" s="1"/>
  <c r="J291" i="4" a="1"/>
  <c r="J291" i="4" s="1"/>
  <c r="J292" i="4" a="1"/>
  <c r="J292" i="4" s="1"/>
  <c r="J293" i="4" a="1"/>
  <c r="J293" i="4" s="1"/>
  <c r="J294" i="4" a="1"/>
  <c r="J294" i="4" s="1"/>
  <c r="J295" i="4" a="1"/>
  <c r="J295" i="4" s="1"/>
  <c r="J296" i="4" a="1"/>
  <c r="J296" i="4" s="1"/>
  <c r="J297" i="4" a="1"/>
  <c r="J297" i="4" s="1"/>
  <c r="J298" i="4" a="1"/>
  <c r="J298" i="4" s="1"/>
  <c r="J299" i="4" a="1"/>
  <c r="J299" i="4" s="1"/>
  <c r="J300" i="4" a="1"/>
  <c r="J300" i="4" s="1"/>
  <c r="J301" i="4" a="1"/>
  <c r="J301" i="4" s="1"/>
  <c r="J302" i="4" a="1"/>
  <c r="J302" i="4" s="1"/>
  <c r="J303" i="4" a="1"/>
  <c r="J303" i="4" s="1"/>
  <c r="J243" i="4" a="1"/>
  <c r="J243" i="4" s="1"/>
  <c r="J244" i="4" a="1"/>
  <c r="J244" i="4" s="1"/>
  <c r="J245" i="4" a="1"/>
  <c r="J245" i="4" s="1"/>
  <c r="J246" i="4" a="1"/>
  <c r="J246" i="4" s="1"/>
  <c r="J247" i="4" a="1"/>
  <c r="J247" i="4" s="1"/>
  <c r="J248" i="4" a="1"/>
  <c r="J248" i="4" s="1"/>
  <c r="J249" i="4" a="1"/>
  <c r="J249" i="4" s="1"/>
  <c r="J250" i="4" a="1"/>
  <c r="J250" i="4" s="1"/>
  <c r="J251" i="4" a="1"/>
  <c r="J251" i="4" s="1"/>
  <c r="J252" i="4" a="1"/>
  <c r="J252" i="4" s="1"/>
  <c r="J253" i="4" a="1"/>
  <c r="J253" i="4" s="1"/>
  <c r="J254" i="4" a="1"/>
  <c r="J254" i="4" s="1"/>
  <c r="J255" i="4" a="1"/>
  <c r="J255" i="4" s="1"/>
  <c r="J256" i="4" a="1"/>
  <c r="J256" i="4" s="1"/>
  <c r="J257" i="4" a="1"/>
  <c r="J257" i="4" s="1"/>
  <c r="J258" i="4" a="1"/>
  <c r="J258" i="4" s="1"/>
  <c r="J259" i="4" a="1"/>
  <c r="J259" i="4" s="1"/>
  <c r="J260" i="4" a="1"/>
  <c r="J260" i="4" s="1"/>
  <c r="J261" i="4" a="1"/>
  <c r="J261" i="4" s="1"/>
  <c r="J262" i="4" a="1"/>
  <c r="J262" i="4" s="1"/>
  <c r="J263" i="4" a="1"/>
  <c r="J263" i="4" s="1"/>
  <c r="J264" i="4" a="1"/>
  <c r="J264" i="4" s="1"/>
  <c r="J265" i="4" a="1"/>
  <c r="J265" i="4" s="1"/>
  <c r="J266" i="4" a="1"/>
  <c r="J266" i="4" s="1"/>
  <c r="J267" i="4" a="1"/>
  <c r="J267" i="4" s="1"/>
  <c r="J268" i="4" a="1"/>
  <c r="J268" i="4" s="1"/>
  <c r="J269" i="4" a="1"/>
  <c r="J269" i="4" s="1"/>
  <c r="J270" i="4" a="1"/>
  <c r="J270" i="4" s="1"/>
  <c r="J271" i="4" a="1"/>
  <c r="J271" i="4" s="1"/>
  <c r="J272" i="4" a="1"/>
  <c r="J272" i="4" s="1"/>
  <c r="J273" i="4" a="1"/>
  <c r="J273" i="4" s="1"/>
  <c r="J213" i="4" a="1"/>
  <c r="J213" i="4" s="1"/>
  <c r="J214" i="4" a="1"/>
  <c r="J214" i="4" s="1"/>
  <c r="J215" i="4" a="1"/>
  <c r="J215" i="4" s="1"/>
  <c r="J216" i="4" a="1"/>
  <c r="J216" i="4" s="1"/>
  <c r="J217" i="4" a="1"/>
  <c r="J217" i="4" s="1"/>
  <c r="J218" i="4" a="1"/>
  <c r="J218" i="4" s="1"/>
  <c r="J219" i="4" a="1"/>
  <c r="J219" i="4" s="1"/>
  <c r="J220" i="4" a="1"/>
  <c r="J220" i="4" s="1"/>
  <c r="J221" i="4" a="1"/>
  <c r="J221" i="4" s="1"/>
  <c r="J222" i="4" a="1"/>
  <c r="J222" i="4" s="1"/>
  <c r="J223" i="4" a="1"/>
  <c r="J223" i="4" s="1"/>
  <c r="J224" i="4" a="1"/>
  <c r="J224" i="4" s="1"/>
  <c r="J225" i="4" a="1"/>
  <c r="J225" i="4" s="1"/>
  <c r="J226" i="4" a="1"/>
  <c r="J226" i="4" s="1"/>
  <c r="J227" i="4" a="1"/>
  <c r="J227" i="4" s="1"/>
  <c r="J228" i="4" a="1"/>
  <c r="J228" i="4" s="1"/>
  <c r="J229" i="4" a="1"/>
  <c r="J229" i="4" s="1"/>
  <c r="J230" i="4" a="1"/>
  <c r="J230" i="4" s="1"/>
  <c r="J231" i="4" a="1"/>
  <c r="J231" i="4" s="1"/>
  <c r="J232" i="4" a="1"/>
  <c r="J232" i="4" s="1"/>
  <c r="J233" i="4" a="1"/>
  <c r="J233" i="4" s="1"/>
  <c r="J234" i="4" a="1"/>
  <c r="J234" i="4" s="1"/>
  <c r="J235" i="4" a="1"/>
  <c r="J235" i="4" s="1"/>
  <c r="J236" i="4" a="1"/>
  <c r="J236" i="4" s="1"/>
  <c r="J237" i="4" a="1"/>
  <c r="J237" i="4" s="1"/>
  <c r="J238" i="4" a="1"/>
  <c r="J238" i="4" s="1"/>
  <c r="J239" i="4" a="1"/>
  <c r="J239" i="4" s="1"/>
  <c r="J240" i="4" a="1"/>
  <c r="J240" i="4" s="1"/>
  <c r="J241" i="4" a="1"/>
  <c r="J241" i="4" s="1"/>
  <c r="J242" i="4" a="1"/>
  <c r="J242" i="4" s="1"/>
  <c r="J182" i="4" a="1"/>
  <c r="J182" i="4" s="1"/>
  <c r="J183" i="4" a="1"/>
  <c r="J183" i="4" s="1"/>
  <c r="J184" i="4" a="1"/>
  <c r="J184" i="4" s="1"/>
  <c r="J185" i="4" a="1"/>
  <c r="J185" i="4" s="1"/>
  <c r="J186" i="4" a="1"/>
  <c r="J186" i="4" s="1"/>
  <c r="J187" i="4" a="1"/>
  <c r="J187" i="4" s="1"/>
  <c r="J188" i="4" a="1"/>
  <c r="J188" i="4" s="1"/>
  <c r="J189" i="4" a="1"/>
  <c r="J189" i="4" s="1"/>
  <c r="J190" i="4" a="1"/>
  <c r="J190" i="4" s="1"/>
  <c r="J191" i="4" a="1"/>
  <c r="J191" i="4" s="1"/>
  <c r="J192" i="4" a="1"/>
  <c r="J192" i="4" s="1"/>
  <c r="J193" i="4" a="1"/>
  <c r="J193" i="4" s="1"/>
  <c r="J194" i="4" a="1"/>
  <c r="J194" i="4" s="1"/>
  <c r="J195" i="4" a="1"/>
  <c r="J195" i="4" s="1"/>
  <c r="J196" i="4" a="1"/>
  <c r="J196" i="4" s="1"/>
  <c r="J197" i="4" a="1"/>
  <c r="J197" i="4" s="1"/>
  <c r="J198" i="4" a="1"/>
  <c r="J198" i="4" s="1"/>
  <c r="J199" i="4" a="1"/>
  <c r="J199" i="4" s="1"/>
  <c r="J200" i="4" a="1"/>
  <c r="J200" i="4" s="1"/>
  <c r="J201" i="4" a="1"/>
  <c r="J201" i="4" s="1"/>
  <c r="J202" i="4" a="1"/>
  <c r="J202" i="4" s="1"/>
  <c r="J203" i="4" a="1"/>
  <c r="J203" i="4" s="1"/>
  <c r="J204" i="4" a="1"/>
  <c r="J204" i="4" s="1"/>
  <c r="J205" i="4" a="1"/>
  <c r="J205" i="4" s="1"/>
  <c r="J206" i="4" a="1"/>
  <c r="J206" i="4" s="1"/>
  <c r="J207" i="4" a="1"/>
  <c r="J207" i="4" s="1"/>
  <c r="J208" i="4" a="1"/>
  <c r="J208" i="4" s="1"/>
  <c r="J209" i="4" a="1"/>
  <c r="J209" i="4" s="1"/>
  <c r="J210" i="4" a="1"/>
  <c r="J210" i="4" s="1"/>
  <c r="J211" i="4" a="1"/>
  <c r="J211" i="4" s="1"/>
  <c r="J212" i="4" a="1"/>
  <c r="J212" i="4" s="1"/>
  <c r="J151" i="4" a="1"/>
  <c r="J151" i="4" s="1"/>
  <c r="J152" i="4" a="1"/>
  <c r="J152" i="4" s="1"/>
  <c r="J153" i="4" a="1"/>
  <c r="J153" i="4" s="1"/>
  <c r="J154" i="4" a="1"/>
  <c r="J154" i="4" s="1"/>
  <c r="J155" i="4" a="1"/>
  <c r="J155" i="4" s="1"/>
  <c r="J156" i="4" a="1"/>
  <c r="J156" i="4" s="1"/>
  <c r="J157" i="4" a="1"/>
  <c r="J157" i="4" s="1"/>
  <c r="J158" i="4" a="1"/>
  <c r="J158" i="4" s="1"/>
  <c r="J159" i="4" a="1"/>
  <c r="J159" i="4" s="1"/>
  <c r="J160" i="4" a="1"/>
  <c r="J160" i="4" s="1"/>
  <c r="J161" i="4" a="1"/>
  <c r="J161" i="4" s="1"/>
  <c r="J162" i="4" a="1"/>
  <c r="J162" i="4" s="1"/>
  <c r="J163" i="4" a="1"/>
  <c r="J163" i="4" s="1"/>
  <c r="J164" i="4" a="1"/>
  <c r="J164" i="4" s="1"/>
  <c r="J165" i="4" a="1"/>
  <c r="J165" i="4" s="1"/>
  <c r="J166" i="4" a="1"/>
  <c r="J166" i="4" s="1"/>
  <c r="J167" i="4" a="1"/>
  <c r="J167" i="4" s="1"/>
  <c r="J168" i="4" a="1"/>
  <c r="J168" i="4" s="1"/>
  <c r="J169" i="4" a="1"/>
  <c r="J169" i="4" s="1"/>
  <c r="J170" i="4" a="1"/>
  <c r="J170" i="4" s="1"/>
  <c r="J171" i="4" a="1"/>
  <c r="J171" i="4" s="1"/>
  <c r="J172" i="4" a="1"/>
  <c r="J172" i="4" s="1"/>
  <c r="J173" i="4" a="1"/>
  <c r="J173" i="4" s="1"/>
  <c r="J174" i="4" a="1"/>
  <c r="J174" i="4" s="1"/>
  <c r="J175" i="4" a="1"/>
  <c r="J175" i="4" s="1"/>
  <c r="J176" i="4" a="1"/>
  <c r="J176" i="4" s="1"/>
  <c r="J177" i="4" a="1"/>
  <c r="J177" i="4" s="1"/>
  <c r="J178" i="4" a="1"/>
  <c r="J178" i="4" s="1"/>
  <c r="J179" i="4" a="1"/>
  <c r="J179" i="4" s="1"/>
  <c r="J180" i="4" a="1"/>
  <c r="J180" i="4" s="1"/>
  <c r="J181" i="4" a="1"/>
  <c r="J181" i="4" s="1"/>
  <c r="J121" i="4" a="1"/>
  <c r="J121" i="4" s="1"/>
  <c r="J122" i="4" a="1"/>
  <c r="J122" i="4" s="1"/>
  <c r="J123" i="4" a="1"/>
  <c r="J123" i="4" s="1"/>
  <c r="J124" i="4" a="1"/>
  <c r="J124" i="4" s="1"/>
  <c r="J125" i="4" a="1"/>
  <c r="J125" i="4" s="1"/>
  <c r="J126" i="4" a="1"/>
  <c r="J126" i="4" s="1"/>
  <c r="J127" i="4" a="1"/>
  <c r="J127" i="4" s="1"/>
  <c r="J128" i="4" a="1"/>
  <c r="J128" i="4" s="1"/>
  <c r="J129" i="4" a="1"/>
  <c r="J129" i="4" s="1"/>
  <c r="J130" i="4" a="1"/>
  <c r="J130" i="4" s="1"/>
  <c r="J131" i="4" a="1"/>
  <c r="J131" i="4" s="1"/>
  <c r="J132" i="4" a="1"/>
  <c r="J132" i="4" s="1"/>
  <c r="J133" i="4" a="1"/>
  <c r="J133" i="4" s="1"/>
  <c r="J134" i="4" a="1"/>
  <c r="J134" i="4" s="1"/>
  <c r="J135" i="4" a="1"/>
  <c r="J135" i="4" s="1"/>
  <c r="J136" i="4" a="1"/>
  <c r="J136" i="4" s="1"/>
  <c r="J137" i="4" a="1"/>
  <c r="J137" i="4" s="1"/>
  <c r="J138" i="4" a="1"/>
  <c r="J138" i="4" s="1"/>
  <c r="J139" i="4" a="1"/>
  <c r="J139" i="4" s="1"/>
  <c r="J140" i="4" a="1"/>
  <c r="J140" i="4" s="1"/>
  <c r="J141" i="4" a="1"/>
  <c r="J141" i="4" s="1"/>
  <c r="J142" i="4" a="1"/>
  <c r="J142" i="4" s="1"/>
  <c r="J143" i="4" a="1"/>
  <c r="J143" i="4" s="1"/>
  <c r="J144" i="4" a="1"/>
  <c r="J144" i="4" s="1"/>
  <c r="J145" i="4" a="1"/>
  <c r="J145" i="4" s="1"/>
  <c r="J146" i="4" a="1"/>
  <c r="J146" i="4" s="1"/>
  <c r="J147" i="4" a="1"/>
  <c r="J147" i="4" s="1"/>
  <c r="J148" i="4" a="1"/>
  <c r="J148" i="4" s="1"/>
  <c r="J149" i="4" a="1"/>
  <c r="J149" i="4" s="1"/>
  <c r="J150" i="4" a="1"/>
  <c r="J150" i="4" s="1"/>
  <c r="J90" i="4" a="1"/>
  <c r="J90" i="4" s="1"/>
  <c r="J91" i="4" a="1"/>
  <c r="J91" i="4" s="1"/>
  <c r="J92" i="4" a="1"/>
  <c r="J92" i="4" s="1"/>
  <c r="J93" i="4" a="1"/>
  <c r="J93" i="4" s="1"/>
  <c r="J94" i="4" a="1"/>
  <c r="J94" i="4" s="1"/>
  <c r="J95" i="4" a="1"/>
  <c r="J95" i="4" s="1"/>
  <c r="J96" i="4" a="1"/>
  <c r="J96" i="4" s="1"/>
  <c r="J97" i="4" a="1"/>
  <c r="J97" i="4" s="1"/>
  <c r="J98" i="4" a="1"/>
  <c r="J98" i="4" s="1"/>
  <c r="J99" i="4" a="1"/>
  <c r="J99" i="4" s="1"/>
  <c r="J100" i="4" a="1"/>
  <c r="J100" i="4" s="1"/>
  <c r="J101" i="4" a="1"/>
  <c r="J101" i="4" s="1"/>
  <c r="J102" i="4" a="1"/>
  <c r="J102" i="4" s="1"/>
  <c r="J103" i="4" a="1"/>
  <c r="J103" i="4" s="1"/>
  <c r="J104" i="4" a="1"/>
  <c r="J104" i="4" s="1"/>
  <c r="J105" i="4" a="1"/>
  <c r="J105" i="4" s="1"/>
  <c r="J106" i="4" a="1"/>
  <c r="J106" i="4" s="1"/>
  <c r="J107" i="4" a="1"/>
  <c r="J107" i="4" s="1"/>
  <c r="J108" i="4" a="1"/>
  <c r="J108" i="4" s="1"/>
  <c r="J109" i="4" a="1"/>
  <c r="J109" i="4" s="1"/>
  <c r="J110" i="4" a="1"/>
  <c r="J110" i="4" s="1"/>
  <c r="J111" i="4" a="1"/>
  <c r="J111" i="4" s="1"/>
  <c r="J112" i="4" a="1"/>
  <c r="J112" i="4" s="1"/>
  <c r="J113" i="4" a="1"/>
  <c r="J113" i="4" s="1"/>
  <c r="J114" i="4" a="1"/>
  <c r="J114" i="4" s="1"/>
  <c r="J115" i="4" a="1"/>
  <c r="J115" i="4" s="1"/>
  <c r="J116" i="4" a="1"/>
  <c r="J116" i="4" s="1"/>
  <c r="J117" i="4" a="1"/>
  <c r="J117" i="4" s="1"/>
  <c r="J118" i="4" a="1"/>
  <c r="J118" i="4" s="1"/>
  <c r="J119" i="4" a="1"/>
  <c r="J119" i="4" s="1"/>
  <c r="J120" i="4" a="1"/>
  <c r="J120" i="4" s="1"/>
  <c r="J60" i="4" a="1"/>
  <c r="J60" i="4" s="1"/>
  <c r="J61" i="4" a="1"/>
  <c r="J61" i="4" s="1"/>
  <c r="J62" i="4" a="1"/>
  <c r="J62" i="4" s="1"/>
  <c r="J63" i="4" a="1"/>
  <c r="J63" i="4" s="1"/>
  <c r="J64" i="4" a="1"/>
  <c r="J64" i="4" s="1"/>
  <c r="J65" i="4" a="1"/>
  <c r="J65" i="4" s="1"/>
  <c r="J66" i="4" a="1"/>
  <c r="J66" i="4" s="1"/>
  <c r="J67" i="4" a="1"/>
  <c r="J67" i="4" s="1"/>
  <c r="J68" i="4" a="1"/>
  <c r="J68" i="4" s="1"/>
  <c r="J69" i="4" a="1"/>
  <c r="J69" i="4" s="1"/>
  <c r="J70" i="4" a="1"/>
  <c r="J70" i="4" s="1"/>
  <c r="J71" i="4" a="1"/>
  <c r="J71" i="4" s="1"/>
  <c r="J72" i="4" a="1"/>
  <c r="J72" i="4" s="1"/>
  <c r="J73" i="4" a="1"/>
  <c r="J73" i="4" s="1"/>
  <c r="J74" i="4" a="1"/>
  <c r="J74" i="4" s="1"/>
  <c r="J75" i="4" a="1"/>
  <c r="J75" i="4" s="1"/>
  <c r="J76" i="4" a="1"/>
  <c r="J76" i="4" s="1"/>
  <c r="J77" i="4" a="1"/>
  <c r="J77" i="4" s="1"/>
  <c r="J78" i="4" a="1"/>
  <c r="J78" i="4" s="1"/>
  <c r="J79" i="4" a="1"/>
  <c r="J79" i="4" s="1"/>
  <c r="J80" i="4" a="1"/>
  <c r="J80" i="4" s="1"/>
  <c r="J81" i="4" a="1"/>
  <c r="J81" i="4" s="1"/>
  <c r="J82" i="4" a="1"/>
  <c r="J82" i="4" s="1"/>
  <c r="J83" i="4" a="1"/>
  <c r="J83" i="4" s="1"/>
  <c r="J84" i="4" a="1"/>
  <c r="J84" i="4" s="1"/>
  <c r="J85" i="4" a="1"/>
  <c r="J85" i="4" s="1"/>
  <c r="J86" i="4" a="1"/>
  <c r="J86" i="4" s="1"/>
  <c r="J87" i="4" a="1"/>
  <c r="J87" i="4" s="1"/>
  <c r="J88" i="4" a="1"/>
  <c r="J88" i="4" s="1"/>
  <c r="J89" i="4" a="1"/>
  <c r="J89" i="4" s="1"/>
  <c r="J29" i="4" a="1"/>
  <c r="J29" i="4" s="1"/>
  <c r="J30" i="4" a="1"/>
  <c r="J30" i="4" s="1"/>
  <c r="J31" i="4" a="1"/>
  <c r="J31" i="4" s="1"/>
  <c r="J32" i="4" a="1"/>
  <c r="J32" i="4" s="1"/>
  <c r="J33" i="4" a="1"/>
  <c r="J33" i="4" s="1"/>
  <c r="J34" i="4" a="1"/>
  <c r="J34" i="4" s="1"/>
  <c r="J35" i="4" a="1"/>
  <c r="J35" i="4" s="1"/>
  <c r="J36" i="4" a="1"/>
  <c r="J36" i="4" s="1"/>
  <c r="J37" i="4" a="1"/>
  <c r="J37" i="4" s="1"/>
  <c r="J38" i="4" a="1"/>
  <c r="J38" i="4" s="1"/>
  <c r="J39" i="4" a="1"/>
  <c r="J39" i="4" s="1"/>
  <c r="J40" i="4" a="1"/>
  <c r="J40" i="4" s="1"/>
  <c r="J41" i="4" a="1"/>
  <c r="J41" i="4" s="1"/>
  <c r="J42" i="4" a="1"/>
  <c r="J42" i="4" s="1"/>
  <c r="J43" i="4" a="1"/>
  <c r="J43" i="4" s="1"/>
  <c r="J44" i="4" a="1"/>
  <c r="J44" i="4" s="1"/>
  <c r="J45" i="4" a="1"/>
  <c r="J45" i="4" s="1"/>
  <c r="J46" i="4" a="1"/>
  <c r="J46" i="4" s="1"/>
  <c r="J47" i="4" a="1"/>
  <c r="J47" i="4" s="1"/>
  <c r="J48" i="4" a="1"/>
  <c r="J48" i="4" s="1"/>
  <c r="J49" i="4" a="1"/>
  <c r="J49" i="4" s="1"/>
  <c r="J50" i="4" a="1"/>
  <c r="J50" i="4" s="1"/>
  <c r="J51" i="4" a="1"/>
  <c r="J51" i="4" s="1"/>
  <c r="J52" i="4" a="1"/>
  <c r="J52" i="4" s="1"/>
  <c r="J53" i="4" a="1"/>
  <c r="J53" i="4" s="1"/>
  <c r="J54" i="4" a="1"/>
  <c r="J54" i="4" s="1"/>
  <c r="J55" i="4" a="1"/>
  <c r="J55" i="4" s="1"/>
  <c r="J56" i="4" a="1"/>
  <c r="J56" i="4" s="1"/>
  <c r="J57" i="4" a="1"/>
  <c r="J57" i="4" s="1"/>
  <c r="J58" i="4" a="1"/>
  <c r="J58" i="4" s="1"/>
  <c r="J59" i="4" a="1"/>
  <c r="J59" i="4" s="1"/>
  <c r="J3" i="4" a="1"/>
  <c r="J3" i="4" s="1"/>
  <c r="J5" i="4" a="1"/>
  <c r="J5" i="4" s="1"/>
  <c r="J6" i="4" a="1"/>
  <c r="J6" i="4" s="1"/>
  <c r="J7" i="4" a="1"/>
  <c r="J7" i="4" s="1"/>
  <c r="J8" i="4" a="1"/>
  <c r="J8" i="4" s="1"/>
  <c r="J9" i="4" a="1"/>
  <c r="J9" i="4" s="1"/>
  <c r="J10" i="4" a="1"/>
  <c r="J10" i="4" s="1"/>
  <c r="J11" i="4" a="1"/>
  <c r="J11" i="4" s="1"/>
  <c r="J12" i="4" a="1"/>
  <c r="J12" i="4" s="1"/>
  <c r="J13" i="4" a="1"/>
  <c r="J13" i="4" s="1"/>
  <c r="J14" i="4" a="1"/>
  <c r="J14" i="4" s="1"/>
  <c r="J15" i="4" a="1"/>
  <c r="J15" i="4" s="1"/>
  <c r="J16" i="4" a="1"/>
  <c r="J16" i="4" s="1"/>
  <c r="J17" i="4" a="1"/>
  <c r="J17" i="4" s="1"/>
  <c r="J18" i="4" a="1"/>
  <c r="J18" i="4" s="1"/>
  <c r="J19" i="4" a="1"/>
  <c r="J19" i="4" s="1"/>
  <c r="J20" i="4" a="1"/>
  <c r="J20" i="4" s="1"/>
  <c r="J21" i="4" a="1"/>
  <c r="J21" i="4" s="1"/>
  <c r="J22" i="4" a="1"/>
  <c r="J22" i="4" s="1"/>
  <c r="J23" i="4" a="1"/>
  <c r="J23" i="4" s="1"/>
  <c r="J24" i="4" a="1"/>
  <c r="J24" i="4" s="1"/>
  <c r="J25" i="4" a="1"/>
  <c r="J25" i="4" s="1"/>
  <c r="J26" i="4" a="1"/>
  <c r="J26" i="4" s="1"/>
  <c r="J27" i="4" a="1"/>
  <c r="J27" i="4" s="1"/>
  <c r="J28" i="4" a="1"/>
  <c r="J28" i="4" s="1"/>
  <c r="J4" i="4" a="1"/>
  <c r="J4" i="4" s="1"/>
  <c r="K1674" i="4" l="1" a="1"/>
  <c r="K1674" i="4" s="1"/>
  <c r="K1677" i="4" a="1"/>
  <c r="K1677" i="4" s="1"/>
  <c r="K1683" i="4" a="1"/>
  <c r="K1683" i="4" s="1"/>
  <c r="K1688" i="4" a="1"/>
  <c r="K1688" i="4" s="1"/>
  <c r="K1695" i="4" a="1"/>
  <c r="K1695" i="4" s="1"/>
  <c r="K1698" i="4" a="1"/>
  <c r="K1698" i="4" s="1"/>
  <c r="K1701" i="4" a="1"/>
  <c r="K1701" i="4" s="1"/>
  <c r="K1675" i="4" a="1"/>
  <c r="K1675" i="4" s="1"/>
  <c r="K1680" i="4" a="1"/>
  <c r="K1680" i="4" s="1"/>
  <c r="K1686" i="4" a="1"/>
  <c r="K1686" i="4" s="1"/>
  <c r="K1689" i="4" a="1"/>
  <c r="K1689" i="4" s="1"/>
  <c r="K1692" i="4" a="1"/>
  <c r="K1692" i="4" s="1"/>
  <c r="K1699" i="4" a="1"/>
  <c r="K1699" i="4" s="1"/>
  <c r="K1702" i="4" a="1"/>
  <c r="K1702" i="4" s="1"/>
  <c r="K1678" i="4" a="1"/>
  <c r="K1678" i="4" s="1"/>
  <c r="K1681" i="4" a="1"/>
  <c r="K1681" i="4" s="1"/>
  <c r="K1684" i="4" a="1"/>
  <c r="K1684" i="4" s="1"/>
  <c r="K1687" i="4" a="1"/>
  <c r="K1687" i="4" s="1"/>
  <c r="K1690" i="4" a="1"/>
  <c r="K1690" i="4" s="1"/>
  <c r="K1693" i="4" a="1"/>
  <c r="K1693" i="4" s="1"/>
  <c r="K1696" i="4" a="1"/>
  <c r="K1696" i="4" s="1"/>
  <c r="K1703" i="4" a="1"/>
  <c r="K1703" i="4" s="1"/>
  <c r="K1676" i="4" a="1"/>
  <c r="K1676" i="4" s="1"/>
  <c r="K1679" i="4" a="1"/>
  <c r="K1679" i="4" s="1"/>
  <c r="K1682" i="4" a="1"/>
  <c r="K1682" i="4" s="1"/>
  <c r="K1685" i="4" a="1"/>
  <c r="K1685" i="4" s="1"/>
  <c r="K1691" i="4" a="1"/>
  <c r="K1691" i="4" s="1"/>
  <c r="K1694" i="4" a="1"/>
  <c r="K1694" i="4" s="1"/>
  <c r="K1697" i="4" a="1"/>
  <c r="K1697" i="4" s="1"/>
  <c r="K1700" i="4" a="1"/>
  <c r="K1700" i="4" s="1"/>
  <c r="K1553" i="4" a="1"/>
  <c r="K1553" i="4" s="1"/>
  <c r="K1557" i="4" a="1"/>
  <c r="K1557" i="4" s="1"/>
  <c r="K1560" i="4" a="1"/>
  <c r="K1560" i="4" s="1"/>
  <c r="K1564" i="4" a="1"/>
  <c r="K1564" i="4" s="1"/>
  <c r="K1567" i="4" a="1"/>
  <c r="K1567" i="4" s="1"/>
  <c r="K1571" i="4" a="1"/>
  <c r="K1571" i="4" s="1"/>
  <c r="K1574" i="4" a="1"/>
  <c r="K1574" i="4" s="1"/>
  <c r="K1578" i="4" a="1"/>
  <c r="K1578" i="4" s="1"/>
  <c r="K1554" i="4" a="1"/>
  <c r="K1554" i="4" s="1"/>
  <c r="K1561" i="4" a="1"/>
  <c r="K1561" i="4" s="1"/>
  <c r="K1565" i="4" a="1"/>
  <c r="K1565" i="4" s="1"/>
  <c r="K1568" i="4" a="1"/>
  <c r="K1568" i="4" s="1"/>
  <c r="K1572" i="4" a="1"/>
  <c r="K1572" i="4" s="1"/>
  <c r="K1575" i="4" a="1"/>
  <c r="K1575" i="4" s="1"/>
  <c r="K1579" i="4" a="1"/>
  <c r="K1579" i="4" s="1"/>
  <c r="K1551" i="4" a="1"/>
  <c r="K1551" i="4" s="1"/>
  <c r="K1555" i="4" a="1"/>
  <c r="K1555" i="4" s="1"/>
  <c r="K1558" i="4" a="1"/>
  <c r="K1558" i="4" s="1"/>
  <c r="K1562" i="4" a="1"/>
  <c r="K1562" i="4" s="1"/>
  <c r="K1569" i="4" a="1"/>
  <c r="K1569" i="4" s="1"/>
  <c r="K1573" i="4" a="1"/>
  <c r="K1573" i="4" s="1"/>
  <c r="K1576" i="4" a="1"/>
  <c r="K1576" i="4" s="1"/>
  <c r="K1580" i="4" a="1"/>
  <c r="K1580" i="4" s="1"/>
  <c r="K1552" i="4" a="1"/>
  <c r="K1552" i="4" s="1"/>
  <c r="K1556" i="4" a="1"/>
  <c r="K1556" i="4" s="1"/>
  <c r="K1559" i="4" a="1"/>
  <c r="K1559" i="4" s="1"/>
  <c r="K1563" i="4" a="1"/>
  <c r="K1563" i="4" s="1"/>
  <c r="K1566" i="4" a="1"/>
  <c r="K1566" i="4" s="1"/>
  <c r="K1570" i="4" a="1"/>
  <c r="K1570" i="4" s="1"/>
  <c r="K1577" i="4" a="1"/>
  <c r="K1577" i="4" s="1"/>
  <c r="K1581" i="4" a="1"/>
  <c r="K1581" i="4" s="1"/>
  <c r="K1434" i="4" a="1"/>
  <c r="K1434" i="4" s="1"/>
  <c r="K1437" i="4" a="1"/>
  <c r="K1437" i="4" s="1"/>
  <c r="K1441" i="4" a="1"/>
  <c r="K1441" i="4" s="1"/>
  <c r="K1448" i="4" a="1"/>
  <c r="K1448" i="4" s="1"/>
  <c r="K1452" i="4" a="1"/>
  <c r="K1452" i="4" s="1"/>
  <c r="K1455" i="4" a="1"/>
  <c r="K1455" i="4" s="1"/>
  <c r="K1459" i="4" a="1"/>
  <c r="K1459" i="4" s="1"/>
  <c r="K1431" i="4" a="1"/>
  <c r="K1431" i="4" s="1"/>
  <c r="K1435" i="4" a="1"/>
  <c r="K1435" i="4" s="1"/>
  <c r="K1438" i="4" a="1"/>
  <c r="K1438" i="4" s="1"/>
  <c r="K1442" i="4" a="1"/>
  <c r="K1442" i="4" s="1"/>
  <c r="K1445" i="4" a="1"/>
  <c r="K1445" i="4" s="1"/>
  <c r="K1449" i="4" a="1"/>
  <c r="K1449" i="4" s="1"/>
  <c r="K1456" i="4" a="1"/>
  <c r="K1456" i="4" s="1"/>
  <c r="K1460" i="4" a="1"/>
  <c r="K1460" i="4" s="1"/>
  <c r="K1432" i="4" a="1"/>
  <c r="K1432" i="4" s="1"/>
  <c r="K1436" i="4" a="1"/>
  <c r="K1436" i="4" s="1"/>
  <c r="K1439" i="4" a="1"/>
  <c r="K1439" i="4" s="1"/>
  <c r="K1443" i="4" a="1"/>
  <c r="K1443" i="4" s="1"/>
  <c r="K1446" i="4" a="1"/>
  <c r="K1446" i="4" s="1"/>
  <c r="K1450" i="4" a="1"/>
  <c r="K1450" i="4" s="1"/>
  <c r="K1453" i="4" a="1"/>
  <c r="K1453" i="4" s="1"/>
  <c r="K1457" i="4" a="1"/>
  <c r="K1457" i="4" s="1"/>
  <c r="K1433" i="4" a="1"/>
  <c r="K1433" i="4" s="1"/>
  <c r="K1440" i="4" a="1"/>
  <c r="K1440" i="4" s="1"/>
  <c r="K1444" i="4" a="1"/>
  <c r="K1444" i="4" s="1"/>
  <c r="K1447" i="4" a="1"/>
  <c r="K1447" i="4" s="1"/>
  <c r="K1451" i="4" a="1"/>
  <c r="K1451" i="4" s="1"/>
  <c r="K1454" i="4" a="1"/>
  <c r="K1454" i="4" s="1"/>
  <c r="K1458" i="4" a="1"/>
  <c r="K1458" i="4" s="1"/>
  <c r="K1461" i="4" a="1"/>
  <c r="K1461" i="4" s="1"/>
  <c r="K1310" i="4" a="1"/>
  <c r="K1310" i="4" s="1"/>
  <c r="K1313" i="4" a="1"/>
  <c r="K1313" i="4" s="1"/>
  <c r="K1320" i="4" a="1"/>
  <c r="K1320" i="4" s="1"/>
  <c r="K1324" i="4" a="1"/>
  <c r="K1324" i="4" s="1"/>
  <c r="K1327" i="4" a="1"/>
  <c r="K1327" i="4" s="1"/>
  <c r="K1331" i="4" a="1"/>
  <c r="K1331" i="4" s="1"/>
  <c r="K1334" i="4" a="1"/>
  <c r="K1334" i="4" s="1"/>
  <c r="K1338" i="4" a="1"/>
  <c r="K1338" i="4" s="1"/>
  <c r="K1314" i="4" a="1"/>
  <c r="K1314" i="4" s="1"/>
  <c r="K1317" i="4" a="1"/>
  <c r="K1317" i="4" s="1"/>
  <c r="K1321" i="4" a="1"/>
  <c r="K1321" i="4" s="1"/>
  <c r="K1328" i="4" a="1"/>
  <c r="K1328" i="4" s="1"/>
  <c r="K1332" i="4" a="1"/>
  <c r="K1332" i="4" s="1"/>
  <c r="K1335" i="4" a="1"/>
  <c r="K1335" i="4" s="1"/>
  <c r="K1311" i="4" a="1"/>
  <c r="K1311" i="4" s="1"/>
  <c r="K1315" i="4" a="1"/>
  <c r="K1315" i="4" s="1"/>
  <c r="K1318" i="4" a="1"/>
  <c r="K1318" i="4" s="1"/>
  <c r="K1322" i="4" a="1"/>
  <c r="K1322" i="4" s="1"/>
  <c r="K1325" i="4" a="1"/>
  <c r="K1325" i="4" s="1"/>
  <c r="K1329" i="4" a="1"/>
  <c r="K1329" i="4" s="1"/>
  <c r="K1336" i="4" a="1"/>
  <c r="K1336" i="4" s="1"/>
  <c r="K1309" i="4" a="1"/>
  <c r="K1309" i="4" s="1"/>
  <c r="K1312" i="4" a="1"/>
  <c r="K1312" i="4" s="1"/>
  <c r="K1316" i="4" a="1"/>
  <c r="K1316" i="4" s="1"/>
  <c r="K1319" i="4" a="1"/>
  <c r="K1319" i="4" s="1"/>
  <c r="K1323" i="4" a="1"/>
  <c r="K1323" i="4" s="1"/>
  <c r="K1326" i="4" a="1"/>
  <c r="K1326" i="4" s="1"/>
  <c r="K1330" i="4" a="1"/>
  <c r="K1330" i="4" s="1"/>
  <c r="K1333" i="4" a="1"/>
  <c r="K1333" i="4" s="1"/>
  <c r="K1337" i="4" a="1"/>
  <c r="K1337" i="4" s="1"/>
  <c r="K1186" i="4" a="1"/>
  <c r="K1186" i="4" s="1"/>
  <c r="K1192" i="4" a="1"/>
  <c r="K1192" i="4" s="1"/>
  <c r="K1194" i="4" a="1"/>
  <c r="K1194" i="4" s="1"/>
  <c r="K1197" i="4" a="1"/>
  <c r="K1197" i="4" s="1"/>
  <c r="K1202" i="4" a="1"/>
  <c r="K1202" i="4" s="1"/>
  <c r="K1205" i="4" a="1"/>
  <c r="K1205" i="4" s="1"/>
  <c r="K1209" i="4" a="1"/>
  <c r="K1209" i="4" s="1"/>
  <c r="K1216" i="4" a="1"/>
  <c r="K1216" i="4" s="1"/>
  <c r="K1189" i="4" a="1"/>
  <c r="K1189" i="4" s="1"/>
  <c r="K1195" i="4" a="1"/>
  <c r="K1195" i="4" s="1"/>
  <c r="K1200" i="4" a="1"/>
  <c r="K1200" i="4" s="1"/>
  <c r="K1203" i="4" a="1"/>
  <c r="K1203" i="4" s="1"/>
  <c r="K1206" i="4" a="1"/>
  <c r="K1206" i="4" s="1"/>
  <c r="K1210" i="4" a="1"/>
  <c r="K1210" i="4" s="1"/>
  <c r="K1213" i="4" a="1"/>
  <c r="K1213" i="4" s="1"/>
  <c r="K1187" i="4" a="1"/>
  <c r="K1187" i="4" s="1"/>
  <c r="K1190" i="4" a="1"/>
  <c r="K1190" i="4" s="1"/>
  <c r="K1193" i="4" a="1"/>
  <c r="K1193" i="4" s="1"/>
  <c r="K1198" i="4" a="1"/>
  <c r="K1198" i="4" s="1"/>
  <c r="K1201" i="4" a="1"/>
  <c r="K1201" i="4" s="1"/>
  <c r="K1204" i="4" a="1"/>
  <c r="K1204" i="4" s="1"/>
  <c r="K1207" i="4" a="1"/>
  <c r="K1207" i="4" s="1"/>
  <c r="K1211" i="4" a="1"/>
  <c r="K1211" i="4" s="1"/>
  <c r="K1214" i="4" a="1"/>
  <c r="K1214" i="4" s="1"/>
  <c r="K1188" i="4" a="1"/>
  <c r="K1188" i="4" s="1"/>
  <c r="K1191" i="4" a="1"/>
  <c r="K1191" i="4" s="1"/>
  <c r="K1196" i="4" a="1"/>
  <c r="K1196" i="4" s="1"/>
  <c r="K1199" i="4" a="1"/>
  <c r="K1199" i="4" s="1"/>
  <c r="K1208" i="4" a="1"/>
  <c r="K1208" i="4" s="1"/>
  <c r="K1212" i="4" a="1"/>
  <c r="K1212" i="4" s="1"/>
  <c r="K1215" i="4" a="1"/>
  <c r="K1215" i="4" s="1"/>
  <c r="K1067" i="4" a="1"/>
  <c r="K1067" i="4" s="1"/>
  <c r="K1070" i="4" a="1"/>
  <c r="K1070" i="4" s="1"/>
  <c r="K1073" i="4" a="1"/>
  <c r="K1073" i="4" s="1"/>
  <c r="K1076" i="4" a="1"/>
  <c r="K1076" i="4" s="1"/>
  <c r="K1079" i="4" a="1"/>
  <c r="K1079" i="4" s="1"/>
  <c r="K1082" i="4" a="1"/>
  <c r="K1082" i="4" s="1"/>
  <c r="K1088" i="4" a="1"/>
  <c r="K1088" i="4" s="1"/>
  <c r="K1093" i="4" a="1"/>
  <c r="K1093" i="4" s="1"/>
  <c r="K1068" i="4" a="1"/>
  <c r="K1068" i="4" s="1"/>
  <c r="K1071" i="4" a="1"/>
  <c r="K1071" i="4" s="1"/>
  <c r="K1074" i="4" a="1"/>
  <c r="K1074" i="4" s="1"/>
  <c r="K1080" i="4" a="1"/>
  <c r="K1080" i="4" s="1"/>
  <c r="K1085" i="4" a="1"/>
  <c r="K1085" i="4" s="1"/>
  <c r="K1091" i="4" a="1"/>
  <c r="K1091" i="4" s="1"/>
  <c r="K1094" i="4" a="1"/>
  <c r="K1094" i="4" s="1"/>
  <c r="K1066" i="4" a="1"/>
  <c r="K1066" i="4" s="1"/>
  <c r="K1072" i="4" a="1"/>
  <c r="K1072" i="4" s="1"/>
  <c r="K1077" i="4" a="1"/>
  <c r="K1077" i="4" s="1"/>
  <c r="K1069" i="4" a="1"/>
  <c r="K1069" i="4" s="1"/>
  <c r="K1075" i="4" a="1"/>
  <c r="K1075" i="4" s="1"/>
  <c r="K1078" i="4" a="1"/>
  <c r="K1078" i="4" s="1"/>
  <c r="K1081" i="4" a="1"/>
  <c r="K1081" i="4" s="1"/>
  <c r="K1084" i="4" a="1"/>
  <c r="K1084" i="4" s="1"/>
  <c r="K1087" i="4" a="1"/>
  <c r="K1087" i="4" s="1"/>
  <c r="K1090" i="4" a="1"/>
  <c r="K1090" i="4" s="1"/>
  <c r="K1096" i="4" a="1"/>
  <c r="K1096" i="4" s="1"/>
  <c r="K1092" i="4" a="1"/>
  <c r="K1092" i="4" s="1"/>
  <c r="K1083" i="4" a="1"/>
  <c r="K1083" i="4" s="1"/>
  <c r="K1095" i="4" a="1"/>
  <c r="K1095" i="4" s="1"/>
  <c r="K1086" i="4" a="1"/>
  <c r="K1086" i="4" s="1"/>
  <c r="K1089" i="4" a="1"/>
  <c r="K1089" i="4" s="1"/>
  <c r="K944" i="4" a="1"/>
  <c r="K944" i="4" s="1"/>
  <c r="K948" i="4" a="1"/>
  <c r="K948" i="4" s="1"/>
  <c r="K951" i="4" a="1"/>
  <c r="K951" i="4" s="1"/>
  <c r="K955" i="4" a="1"/>
  <c r="K955" i="4" s="1"/>
  <c r="K962" i="4" a="1"/>
  <c r="K962" i="4" s="1"/>
  <c r="K966" i="4" a="1"/>
  <c r="K966" i="4" s="1"/>
  <c r="K969" i="4" a="1"/>
  <c r="K969" i="4" s="1"/>
  <c r="K945" i="4" a="1"/>
  <c r="K945" i="4" s="1"/>
  <c r="K949" i="4" a="1"/>
  <c r="K949" i="4" s="1"/>
  <c r="K952" i="4" a="1"/>
  <c r="K952" i="4" s="1"/>
  <c r="K956" i="4" a="1"/>
  <c r="K956" i="4" s="1"/>
  <c r="K959" i="4" a="1"/>
  <c r="K959" i="4" s="1"/>
  <c r="K963" i="4" a="1"/>
  <c r="K963" i="4" s="1"/>
  <c r="K970" i="4" a="1"/>
  <c r="K970" i="4" s="1"/>
  <c r="K973" i="4" a="1"/>
  <c r="K973" i="4" s="1"/>
  <c r="K946" i="4" a="1"/>
  <c r="K946" i="4" s="1"/>
  <c r="K950" i="4" a="1"/>
  <c r="K950" i="4" s="1"/>
  <c r="K953" i="4" a="1"/>
  <c r="K953" i="4" s="1"/>
  <c r="K957" i="4" a="1"/>
  <c r="K957" i="4" s="1"/>
  <c r="K960" i="4" a="1"/>
  <c r="K960" i="4" s="1"/>
  <c r="K964" i="4" a="1"/>
  <c r="K964" i="4" s="1"/>
  <c r="K967" i="4" a="1"/>
  <c r="K967" i="4" s="1"/>
  <c r="K971" i="4" a="1"/>
  <c r="K971" i="4" s="1"/>
  <c r="K947" i="4" a="1"/>
  <c r="K947" i="4" s="1"/>
  <c r="K954" i="4" a="1"/>
  <c r="K954" i="4" s="1"/>
  <c r="K958" i="4" a="1"/>
  <c r="K958" i="4" s="1"/>
  <c r="K961" i="4" a="1"/>
  <c r="K961" i="4" s="1"/>
  <c r="K965" i="4" a="1"/>
  <c r="K965" i="4" s="1"/>
  <c r="K968" i="4" a="1"/>
  <c r="K968" i="4" s="1"/>
  <c r="K972" i="4" a="1"/>
  <c r="K972" i="4" s="1"/>
  <c r="K821" i="4" a="1"/>
  <c r="K821" i="4" s="1"/>
  <c r="K825" i="4" a="1"/>
  <c r="K825" i="4" s="1"/>
  <c r="K832" i="4" a="1"/>
  <c r="K832" i="4" s="1"/>
  <c r="K836" i="4" a="1"/>
  <c r="K836" i="4" s="1"/>
  <c r="K839" i="4" a="1"/>
  <c r="K839" i="4" s="1"/>
  <c r="K822" i="4" a="1"/>
  <c r="K822" i="4" s="1"/>
  <c r="K826" i="4" a="1"/>
  <c r="K826" i="4" s="1"/>
  <c r="K829" i="4" a="1"/>
  <c r="K829" i="4" s="1"/>
  <c r="K833" i="4" a="1"/>
  <c r="K833" i="4" s="1"/>
  <c r="K840" i="4" a="1"/>
  <c r="K840" i="4" s="1"/>
  <c r="K824" i="4" a="1"/>
  <c r="K824" i="4" s="1"/>
  <c r="K823" i="4" a="1"/>
  <c r="K823" i="4" s="1"/>
  <c r="K831" i="4" a="1"/>
  <c r="K831" i="4" s="1"/>
  <c r="K838" i="4" a="1"/>
  <c r="K838" i="4" s="1"/>
  <c r="K844" i="4" a="1"/>
  <c r="K844" i="4" s="1"/>
  <c r="K847" i="4" a="1"/>
  <c r="K847" i="4" s="1"/>
  <c r="K851" i="4" a="1"/>
  <c r="K851" i="4" s="1"/>
  <c r="K827" i="4" a="1"/>
  <c r="K827" i="4" s="1"/>
  <c r="K834" i="4" a="1"/>
  <c r="K834" i="4" s="1"/>
  <c r="K841" i="4" a="1"/>
  <c r="K841" i="4" s="1"/>
  <c r="K848" i="4" a="1"/>
  <c r="K848" i="4" s="1"/>
  <c r="K828" i="4" a="1"/>
  <c r="K828" i="4" s="1"/>
  <c r="K835" i="4" a="1"/>
  <c r="K835" i="4" s="1"/>
  <c r="K842" i="4" a="1"/>
  <c r="K842" i="4" s="1"/>
  <c r="K845" i="4" a="1"/>
  <c r="K845" i="4" s="1"/>
  <c r="K849" i="4" a="1"/>
  <c r="K849" i="4" s="1"/>
  <c r="K830" i="4" a="1"/>
  <c r="K830" i="4" s="1"/>
  <c r="K837" i="4" a="1"/>
  <c r="K837" i="4" s="1"/>
  <c r="K843" i="4" a="1"/>
  <c r="K843" i="4" s="1"/>
  <c r="K846" i="4" a="1"/>
  <c r="K846" i="4" s="1"/>
  <c r="K850" i="4" a="1"/>
  <c r="K850" i="4" s="1"/>
  <c r="K701" i="4" a="1"/>
  <c r="K701" i="4" s="1"/>
  <c r="K705" i="4" a="1"/>
  <c r="K705" i="4" s="1"/>
  <c r="K708" i="4" a="1"/>
  <c r="K708" i="4" s="1"/>
  <c r="K711" i="4" a="1"/>
  <c r="K711" i="4" s="1"/>
  <c r="K717" i="4" a="1"/>
  <c r="K717" i="4" s="1"/>
  <c r="K721" i="4" a="1"/>
  <c r="K721" i="4" s="1"/>
  <c r="K724" i="4" a="1"/>
  <c r="K724" i="4" s="1"/>
  <c r="K727" i="4" a="1"/>
  <c r="K727" i="4" s="1"/>
  <c r="K702" i="4" a="1"/>
  <c r="K702" i="4" s="1"/>
  <c r="K706" i="4" a="1"/>
  <c r="K706" i="4" s="1"/>
  <c r="K712" i="4" a="1"/>
  <c r="K712" i="4" s="1"/>
  <c r="K715" i="4" a="1"/>
  <c r="K715" i="4" s="1"/>
  <c r="K718" i="4" a="1"/>
  <c r="K718" i="4" s="1"/>
  <c r="K722" i="4" a="1"/>
  <c r="K722" i="4" s="1"/>
  <c r="K728" i="4" a="1"/>
  <c r="K728" i="4" s="1"/>
  <c r="K731" i="4" a="1"/>
  <c r="K731" i="4" s="1"/>
  <c r="K703" i="4" a="1"/>
  <c r="K703" i="4" s="1"/>
  <c r="K709" i="4" a="1"/>
  <c r="K709" i="4" s="1"/>
  <c r="K713" i="4" a="1"/>
  <c r="K713" i="4" s="1"/>
  <c r="K716" i="4" a="1"/>
  <c r="K716" i="4" s="1"/>
  <c r="K719" i="4" a="1"/>
  <c r="K719" i="4" s="1"/>
  <c r="K725" i="4" a="1"/>
  <c r="K725" i="4" s="1"/>
  <c r="K729" i="4" a="1"/>
  <c r="K729" i="4" s="1"/>
  <c r="K704" i="4" a="1"/>
  <c r="K704" i="4" s="1"/>
  <c r="K707" i="4" a="1"/>
  <c r="K707" i="4" s="1"/>
  <c r="K710" i="4" a="1"/>
  <c r="K710" i="4" s="1"/>
  <c r="K714" i="4" a="1"/>
  <c r="K714" i="4" s="1"/>
  <c r="K720" i="4" a="1"/>
  <c r="K720" i="4" s="1"/>
  <c r="K723" i="4" a="1"/>
  <c r="K723" i="4" s="1"/>
  <c r="K726" i="4" a="1"/>
  <c r="K726" i="4" s="1"/>
  <c r="K730" i="4" a="1"/>
  <c r="K730" i="4" s="1"/>
  <c r="K580" i="4" a="1"/>
  <c r="K580" i="4" s="1"/>
  <c r="K583" i="4" a="1"/>
  <c r="K583" i="4" s="1"/>
  <c r="K589" i="4" a="1"/>
  <c r="K589" i="4" s="1"/>
  <c r="K593" i="4" a="1"/>
  <c r="K593" i="4" s="1"/>
  <c r="K596" i="4" a="1"/>
  <c r="K596" i="4" s="1"/>
  <c r="K599" i="4" a="1"/>
  <c r="K599" i="4" s="1"/>
  <c r="K605" i="4" a="1"/>
  <c r="K605" i="4" s="1"/>
  <c r="K584" i="4" a="1"/>
  <c r="K584" i="4" s="1"/>
  <c r="K587" i="4" a="1"/>
  <c r="K587" i="4" s="1"/>
  <c r="K590" i="4" a="1"/>
  <c r="K590" i="4" s="1"/>
  <c r="K594" i="4" a="1"/>
  <c r="K594" i="4" s="1"/>
  <c r="K600" i="4" a="1"/>
  <c r="K600" i="4" s="1"/>
  <c r="K603" i="4" a="1"/>
  <c r="K603" i="4" s="1"/>
  <c r="K606" i="4" a="1"/>
  <c r="K606" i="4" s="1"/>
  <c r="K581" i="4" a="1"/>
  <c r="K581" i="4" s="1"/>
  <c r="K585" i="4" a="1"/>
  <c r="K585" i="4" s="1"/>
  <c r="K588" i="4" a="1"/>
  <c r="K588" i="4" s="1"/>
  <c r="K591" i="4" a="1"/>
  <c r="K591" i="4" s="1"/>
  <c r="K597" i="4" a="1"/>
  <c r="K597" i="4" s="1"/>
  <c r="K601" i="4" a="1"/>
  <c r="K601" i="4" s="1"/>
  <c r="K604" i="4" a="1"/>
  <c r="K604" i="4" s="1"/>
  <c r="K607" i="4" a="1"/>
  <c r="K607" i="4" s="1"/>
  <c r="K579" i="4" a="1"/>
  <c r="K579" i="4" s="1"/>
  <c r="K582" i="4" a="1"/>
  <c r="K582" i="4" s="1"/>
  <c r="K586" i="4" a="1"/>
  <c r="K586" i="4" s="1"/>
  <c r="K592" i="4" a="1"/>
  <c r="K592" i="4" s="1"/>
  <c r="K595" i="4" a="1"/>
  <c r="K595" i="4" s="1"/>
  <c r="K598" i="4" a="1"/>
  <c r="K598" i="4" s="1"/>
  <c r="K602" i="4" a="1"/>
  <c r="K602" i="4" s="1"/>
  <c r="K608" i="4" a="1"/>
  <c r="K608" i="4" s="1"/>
  <c r="K457" i="4" a="1"/>
  <c r="K457" i="4" s="1"/>
  <c r="K460" i="4" a="1"/>
  <c r="K460" i="4" s="1"/>
  <c r="K463" i="4" a="1"/>
  <c r="K463" i="4" s="1"/>
  <c r="K469" i="4" a="1"/>
  <c r="K469" i="4" s="1"/>
  <c r="K473" i="4" a="1"/>
  <c r="K473" i="4" s="1"/>
  <c r="K476" i="4" a="1"/>
  <c r="K476" i="4" s="1"/>
  <c r="K479" i="4" a="1"/>
  <c r="K479" i="4" s="1"/>
  <c r="K485" i="4" a="1"/>
  <c r="K485" i="4" s="1"/>
  <c r="K458" i="4" a="1"/>
  <c r="K458" i="4" s="1"/>
  <c r="K464" i="4" a="1"/>
  <c r="K464" i="4" s="1"/>
  <c r="K467" i="4" a="1"/>
  <c r="K467" i="4" s="1"/>
  <c r="K470" i="4" a="1"/>
  <c r="K470" i="4" s="1"/>
  <c r="K474" i="4" a="1"/>
  <c r="K474" i="4" s="1"/>
  <c r="K480" i="4" a="1"/>
  <c r="K480" i="4" s="1"/>
  <c r="K483" i="4" a="1"/>
  <c r="K483" i="4" s="1"/>
  <c r="K486" i="4" a="1"/>
  <c r="K486" i="4" s="1"/>
  <c r="K461" i="4" a="1"/>
  <c r="K461" i="4" s="1"/>
  <c r="K465" i="4" a="1"/>
  <c r="K465" i="4" s="1"/>
  <c r="K468" i="4" a="1"/>
  <c r="K468" i="4" s="1"/>
  <c r="K471" i="4" a="1"/>
  <c r="K471" i="4" s="1"/>
  <c r="K477" i="4" a="1"/>
  <c r="K477" i="4" s="1"/>
  <c r="K481" i="4" a="1"/>
  <c r="K481" i="4" s="1"/>
  <c r="K484" i="4" a="1"/>
  <c r="K484" i="4" s="1"/>
  <c r="K456" i="4" a="1"/>
  <c r="K456" i="4" s="1"/>
  <c r="K459" i="4" a="1"/>
  <c r="K459" i="4" s="1"/>
  <c r="K462" i="4" a="1"/>
  <c r="K462" i="4" s="1"/>
  <c r="K466" i="4" a="1"/>
  <c r="K466" i="4" s="1"/>
  <c r="K472" i="4" a="1"/>
  <c r="K472" i="4" s="1"/>
  <c r="K475" i="4" a="1"/>
  <c r="K475" i="4" s="1"/>
  <c r="K478" i="4" a="1"/>
  <c r="K478" i="4" s="1"/>
  <c r="K482" i="4" a="1"/>
  <c r="K482" i="4" s="1"/>
  <c r="K337" i="4" a="1"/>
  <c r="K337" i="4" s="1"/>
  <c r="K340" i="4" a="1"/>
  <c r="K340" i="4" s="1"/>
  <c r="K344" i="4" a="1"/>
  <c r="K344" i="4" s="1"/>
  <c r="K351" i="4" a="1"/>
  <c r="K351" i="4" s="1"/>
  <c r="K355" i="4" a="1"/>
  <c r="K355" i="4" s="1"/>
  <c r="K358" i="4" a="1"/>
  <c r="K358" i="4" s="1"/>
  <c r="K362" i="4" a="1"/>
  <c r="K362" i="4" s="1"/>
  <c r="K365" i="4" a="1"/>
  <c r="K365" i="4" s="1"/>
  <c r="K338" i="4" a="1"/>
  <c r="K338" i="4" s="1"/>
  <c r="K341" i="4" a="1"/>
  <c r="K341" i="4" s="1"/>
  <c r="K345" i="4" a="1"/>
  <c r="K345" i="4" s="1"/>
  <c r="K348" i="4" a="1"/>
  <c r="K348" i="4" s="1"/>
  <c r="K352" i="4" a="1"/>
  <c r="K352" i="4" s="1"/>
  <c r="K359" i="4" a="1"/>
  <c r="K359" i="4" s="1"/>
  <c r="K363" i="4" a="1"/>
  <c r="K363" i="4" s="1"/>
  <c r="K335" i="4" a="1"/>
  <c r="K335" i="4" s="1"/>
  <c r="K339" i="4" a="1"/>
  <c r="K339" i="4" s="1"/>
  <c r="K342" i="4" a="1"/>
  <c r="K342" i="4" s="1"/>
  <c r="K346" i="4" a="1"/>
  <c r="K346" i="4" s="1"/>
  <c r="K349" i="4" a="1"/>
  <c r="K349" i="4" s="1"/>
  <c r="K353" i="4" a="1"/>
  <c r="K353" i="4" s="1"/>
  <c r="K356" i="4" a="1"/>
  <c r="K356" i="4" s="1"/>
  <c r="K360" i="4" a="1"/>
  <c r="K360" i="4" s="1"/>
  <c r="K336" i="4" a="1"/>
  <c r="K336" i="4" s="1"/>
  <c r="K343" i="4" a="1"/>
  <c r="K343" i="4" s="1"/>
  <c r="K347" i="4" a="1"/>
  <c r="K347" i="4" s="1"/>
  <c r="K350" i="4" a="1"/>
  <c r="K350" i="4" s="1"/>
  <c r="K354" i="4" a="1"/>
  <c r="K354" i="4" s="1"/>
  <c r="K357" i="4" a="1"/>
  <c r="K357" i="4" s="1"/>
  <c r="K361" i="4" a="1"/>
  <c r="K361" i="4" s="1"/>
  <c r="K364" i="4" a="1"/>
  <c r="K364" i="4" s="1"/>
  <c r="K1704" i="4" a="1"/>
  <c r="K1704" i="4" s="1"/>
  <c r="K1711" i="4" a="1"/>
  <c r="K1711" i="4" s="1"/>
  <c r="K1714" i="4" a="1"/>
  <c r="K1714" i="4" s="1"/>
  <c r="K1717" i="4" a="1"/>
  <c r="K1717" i="4" s="1"/>
  <c r="K1720" i="4" a="1"/>
  <c r="K1720" i="4" s="1"/>
  <c r="K1727" i="4" a="1"/>
  <c r="K1727" i="4" s="1"/>
  <c r="K1730" i="4" a="1"/>
  <c r="K1730" i="4" s="1"/>
  <c r="K1733" i="4" a="1"/>
  <c r="K1733" i="4" s="1"/>
  <c r="K1705" i="4" a="1"/>
  <c r="K1705" i="4" s="1"/>
  <c r="K1708" i="4" a="1"/>
  <c r="K1708" i="4" s="1"/>
  <c r="K1715" i="4" a="1"/>
  <c r="K1715" i="4" s="1"/>
  <c r="K1718" i="4" a="1"/>
  <c r="K1718" i="4" s="1"/>
  <c r="K1721" i="4" a="1"/>
  <c r="K1721" i="4" s="1"/>
  <c r="K1724" i="4" a="1"/>
  <c r="K1724" i="4" s="1"/>
  <c r="K1731" i="4" a="1"/>
  <c r="K1731" i="4" s="1"/>
  <c r="K1734" i="4" a="1"/>
  <c r="K1734" i="4" s="1"/>
  <c r="K1706" i="4" a="1"/>
  <c r="K1706" i="4" s="1"/>
  <c r="K1709" i="4" a="1"/>
  <c r="K1709" i="4" s="1"/>
  <c r="K1712" i="4" a="1"/>
  <c r="K1712" i="4" s="1"/>
  <c r="K1719" i="4" a="1"/>
  <c r="K1719" i="4" s="1"/>
  <c r="K1722" i="4" a="1"/>
  <c r="K1722" i="4" s="1"/>
  <c r="K1725" i="4" a="1"/>
  <c r="K1725" i="4" s="1"/>
  <c r="K1728" i="4" a="1"/>
  <c r="K1728" i="4" s="1"/>
  <c r="K1707" i="4" a="1"/>
  <c r="K1707" i="4" s="1"/>
  <c r="K1710" i="4" a="1"/>
  <c r="K1710" i="4" s="1"/>
  <c r="K1713" i="4" a="1"/>
  <c r="K1713" i="4" s="1"/>
  <c r="K1716" i="4" a="1"/>
  <c r="K1716" i="4" s="1"/>
  <c r="K1723" i="4" a="1"/>
  <c r="K1723" i="4" s="1"/>
  <c r="K1726" i="4" a="1"/>
  <c r="K1726" i="4" s="1"/>
  <c r="K1729" i="4" a="1"/>
  <c r="K1729" i="4" s="1"/>
  <c r="K1732" i="4" a="1"/>
  <c r="K1732" i="4" s="1"/>
  <c r="K1585" i="4" a="1"/>
  <c r="K1585" i="4" s="1"/>
  <c r="K1589" i="4" a="1"/>
  <c r="K1589" i="4" s="1"/>
  <c r="K1595" i="4" a="1"/>
  <c r="K1595" i="4" s="1"/>
  <c r="K1598" i="4" a="1"/>
  <c r="K1598" i="4" s="1"/>
  <c r="K1601" i="4" a="1"/>
  <c r="K1601" i="4" s="1"/>
  <c r="K1605" i="4" a="1"/>
  <c r="K1605" i="4" s="1"/>
  <c r="K1611" i="4" a="1"/>
  <c r="K1611" i="4" s="1"/>
  <c r="K1582" i="4" a="1"/>
  <c r="K1582" i="4" s="1"/>
  <c r="K1586" i="4" a="1"/>
  <c r="K1586" i="4" s="1"/>
  <c r="K1592" i="4" a="1"/>
  <c r="K1592" i="4" s="1"/>
  <c r="K1596" i="4" a="1"/>
  <c r="K1596" i="4" s="1"/>
  <c r="K1599" i="4" a="1"/>
  <c r="K1599" i="4" s="1"/>
  <c r="K1602" i="4" a="1"/>
  <c r="K1602" i="4" s="1"/>
  <c r="K1608" i="4" a="1"/>
  <c r="K1608" i="4" s="1"/>
  <c r="K1583" i="4" a="1"/>
  <c r="K1583" i="4" s="1"/>
  <c r="K1587" i="4" a="1"/>
  <c r="K1587" i="4" s="1"/>
  <c r="K1590" i="4" a="1"/>
  <c r="K1590" i="4" s="1"/>
  <c r="K1593" i="4" a="1"/>
  <c r="K1593" i="4" s="1"/>
  <c r="K1597" i="4" a="1"/>
  <c r="K1597" i="4" s="1"/>
  <c r="K1603" i="4" a="1"/>
  <c r="K1603" i="4" s="1"/>
  <c r="K1606" i="4" a="1"/>
  <c r="K1606" i="4" s="1"/>
  <c r="K1609" i="4" a="1"/>
  <c r="K1609" i="4" s="1"/>
  <c r="K1584" i="4" a="1"/>
  <c r="K1584" i="4" s="1"/>
  <c r="K1588" i="4" a="1"/>
  <c r="K1588" i="4" s="1"/>
  <c r="K1591" i="4" a="1"/>
  <c r="K1591" i="4" s="1"/>
  <c r="K1594" i="4" a="1"/>
  <c r="K1594" i="4" s="1"/>
  <c r="K1600" i="4" a="1"/>
  <c r="K1600" i="4" s="1"/>
  <c r="K1604" i="4" a="1"/>
  <c r="K1604" i="4" s="1"/>
  <c r="K1607" i="4" a="1"/>
  <c r="K1607" i="4" s="1"/>
  <c r="K1610" i="4" a="1"/>
  <c r="K1610" i="4" s="1"/>
  <c r="K1462" i="4" a="1"/>
  <c r="K1462" i="4" s="1"/>
  <c r="K1466" i="4" a="1"/>
  <c r="K1466" i="4" s="1"/>
  <c r="K1469" i="4" a="1"/>
  <c r="K1469" i="4" s="1"/>
  <c r="K1473" i="4" a="1"/>
  <c r="K1473" i="4" s="1"/>
  <c r="K1480" i="4" a="1"/>
  <c r="K1480" i="4" s="1"/>
  <c r="K1484" i="4" a="1"/>
  <c r="K1484" i="4" s="1"/>
  <c r="K1487" i="4" a="1"/>
  <c r="K1487" i="4" s="1"/>
  <c r="K1463" i="4" a="1"/>
  <c r="K1463" i="4" s="1"/>
  <c r="K1467" i="4" a="1"/>
  <c r="K1467" i="4" s="1"/>
  <c r="K1470" i="4" a="1"/>
  <c r="K1470" i="4" s="1"/>
  <c r="K1474" i="4" a="1"/>
  <c r="K1474" i="4" s="1"/>
  <c r="K1477" i="4" a="1"/>
  <c r="K1477" i="4" s="1"/>
  <c r="K1481" i="4" a="1"/>
  <c r="K1481" i="4" s="1"/>
  <c r="K1488" i="4" a="1"/>
  <c r="K1488" i="4" s="1"/>
  <c r="K1464" i="4" a="1"/>
  <c r="K1464" i="4" s="1"/>
  <c r="K1468" i="4" a="1"/>
  <c r="K1468" i="4" s="1"/>
  <c r="K1471" i="4" a="1"/>
  <c r="K1471" i="4" s="1"/>
  <c r="K1475" i="4" a="1"/>
  <c r="K1475" i="4" s="1"/>
  <c r="K1478" i="4" a="1"/>
  <c r="K1478" i="4" s="1"/>
  <c r="K1482" i="4" a="1"/>
  <c r="K1482" i="4" s="1"/>
  <c r="K1485" i="4" a="1"/>
  <c r="K1485" i="4" s="1"/>
  <c r="K1489" i="4" a="1"/>
  <c r="K1489" i="4" s="1"/>
  <c r="K1465" i="4" a="1"/>
  <c r="K1465" i="4" s="1"/>
  <c r="K1472" i="4" a="1"/>
  <c r="K1472" i="4" s="1"/>
  <c r="K1476" i="4" a="1"/>
  <c r="K1476" i="4" s="1"/>
  <c r="K1479" i="4" a="1"/>
  <c r="K1479" i="4" s="1"/>
  <c r="K1483" i="4" a="1"/>
  <c r="K1483" i="4" s="1"/>
  <c r="K1486" i="4" a="1"/>
  <c r="K1486" i="4" s="1"/>
  <c r="K1341" i="4" a="1"/>
  <c r="K1341" i="4" s="1"/>
  <c r="K1345" i="4" a="1"/>
  <c r="K1345" i="4" s="1"/>
  <c r="K1352" i="4" a="1"/>
  <c r="K1352" i="4" s="1"/>
  <c r="K1356" i="4" a="1"/>
  <c r="K1356" i="4" s="1"/>
  <c r="K1359" i="4" a="1"/>
  <c r="K1359" i="4" s="1"/>
  <c r="K1363" i="4" a="1"/>
  <c r="K1363" i="4" s="1"/>
  <c r="K1366" i="4" a="1"/>
  <c r="K1366" i="4" s="1"/>
  <c r="K1339" i="4" a="1"/>
  <c r="K1339" i="4" s="1"/>
  <c r="K1342" i="4" a="1"/>
  <c r="K1342" i="4" s="1"/>
  <c r="K1346" i="4" a="1"/>
  <c r="K1346" i="4" s="1"/>
  <c r="K1349" i="4" a="1"/>
  <c r="K1349" i="4" s="1"/>
  <c r="K1353" i="4" a="1"/>
  <c r="K1353" i="4" s="1"/>
  <c r="K1360" i="4" a="1"/>
  <c r="K1360" i="4" s="1"/>
  <c r="K1364" i="4" a="1"/>
  <c r="K1364" i="4" s="1"/>
  <c r="K1367" i="4" a="1"/>
  <c r="K1367" i="4" s="1"/>
  <c r="K1340" i="4" a="1"/>
  <c r="K1340" i="4" s="1"/>
  <c r="K1343" i="4" a="1"/>
  <c r="K1343" i="4" s="1"/>
  <c r="K1347" i="4" a="1"/>
  <c r="K1347" i="4" s="1"/>
  <c r="K1350" i="4" a="1"/>
  <c r="K1350" i="4" s="1"/>
  <c r="K1354" i="4" a="1"/>
  <c r="K1354" i="4" s="1"/>
  <c r="K1357" i="4" a="1"/>
  <c r="K1357" i="4" s="1"/>
  <c r="K1361" i="4" a="1"/>
  <c r="K1361" i="4" s="1"/>
  <c r="K1368" i="4" a="1"/>
  <c r="K1368" i="4" s="1"/>
  <c r="K1344" i="4" a="1"/>
  <c r="K1344" i="4" s="1"/>
  <c r="K1348" i="4" a="1"/>
  <c r="K1348" i="4" s="1"/>
  <c r="K1351" i="4" a="1"/>
  <c r="K1351" i="4" s="1"/>
  <c r="K1355" i="4" a="1"/>
  <c r="K1355" i="4" s="1"/>
  <c r="K1358" i="4" a="1"/>
  <c r="K1358" i="4" s="1"/>
  <c r="K1362" i="4" a="1"/>
  <c r="K1362" i="4" s="1"/>
  <c r="K1365" i="4" a="1"/>
  <c r="K1365" i="4" s="1"/>
  <c r="K1369" i="4" a="1"/>
  <c r="K1369" i="4" s="1"/>
  <c r="K1220" i="4" a="1"/>
  <c r="K1220" i="4" s="1"/>
  <c r="K1223" i="4" a="1"/>
  <c r="K1223" i="4" s="1"/>
  <c r="K1227" i="4" a="1"/>
  <c r="K1227" i="4" s="1"/>
  <c r="K1230" i="4" a="1"/>
  <c r="K1230" i="4" s="1"/>
  <c r="K1234" i="4" a="1"/>
  <c r="K1234" i="4" s="1"/>
  <c r="K1237" i="4" a="1"/>
  <c r="K1237" i="4" s="1"/>
  <c r="K1241" i="4" a="1"/>
  <c r="K1241" i="4" s="1"/>
  <c r="K1217" i="4" a="1"/>
  <c r="K1217" i="4" s="1"/>
  <c r="K1224" i="4" a="1"/>
  <c r="K1224" i="4" s="1"/>
  <c r="K1228" i="4" a="1"/>
  <c r="K1228" i="4" s="1"/>
  <c r="K1231" i="4" a="1"/>
  <c r="K1231" i="4" s="1"/>
  <c r="K1235" i="4" a="1"/>
  <c r="K1235" i="4" s="1"/>
  <c r="K1238" i="4" a="1"/>
  <c r="K1238" i="4" s="1"/>
  <c r="K1242" i="4" a="1"/>
  <c r="K1242" i="4" s="1"/>
  <c r="K1245" i="4" a="1"/>
  <c r="K1245" i="4" s="1"/>
  <c r="K1218" i="4" a="1"/>
  <c r="K1218" i="4" s="1"/>
  <c r="K1221" i="4" a="1"/>
  <c r="K1221" i="4" s="1"/>
  <c r="K1225" i="4" a="1"/>
  <c r="K1225" i="4" s="1"/>
  <c r="K1232" i="4" a="1"/>
  <c r="K1232" i="4" s="1"/>
  <c r="K1236" i="4" a="1"/>
  <c r="K1236" i="4" s="1"/>
  <c r="K1239" i="4" a="1"/>
  <c r="K1239" i="4" s="1"/>
  <c r="K1243" i="4" a="1"/>
  <c r="K1243" i="4" s="1"/>
  <c r="K1246" i="4" a="1"/>
  <c r="K1246" i="4" s="1"/>
  <c r="K1219" i="4" a="1"/>
  <c r="K1219" i="4" s="1"/>
  <c r="K1222" i="4" a="1"/>
  <c r="K1222" i="4" s="1"/>
  <c r="K1226" i="4" a="1"/>
  <c r="K1226" i="4" s="1"/>
  <c r="K1229" i="4" a="1"/>
  <c r="K1229" i="4" s="1"/>
  <c r="K1233" i="4" a="1"/>
  <c r="K1233" i="4" s="1"/>
  <c r="K1240" i="4" a="1"/>
  <c r="K1240" i="4" s="1"/>
  <c r="K1244" i="4" a="1"/>
  <c r="K1244" i="4" s="1"/>
  <c r="K1099" i="4" a="1"/>
  <c r="K1099" i="4" s="1"/>
  <c r="K1102" i="4" a="1"/>
  <c r="K1102" i="4" s="1"/>
  <c r="K1105" i="4" a="1"/>
  <c r="K1105" i="4" s="1"/>
  <c r="K1101" i="4" a="1"/>
  <c r="K1101" i="4" s="1"/>
  <c r="K1107" i="4" a="1"/>
  <c r="K1107" i="4" s="1"/>
  <c r="K1110" i="4" a="1"/>
  <c r="K1110" i="4" s="1"/>
  <c r="K1100" i="4" a="1"/>
  <c r="K1100" i="4" s="1"/>
  <c r="K1106" i="4" a="1"/>
  <c r="K1106" i="4" s="1"/>
  <c r="K1109" i="4" a="1"/>
  <c r="K1109" i="4" s="1"/>
  <c r="K1113" i="4" a="1"/>
  <c r="K1113" i="4" s="1"/>
  <c r="K1116" i="4" a="1"/>
  <c r="K1116" i="4" s="1"/>
  <c r="K1119" i="4" a="1"/>
  <c r="K1119" i="4" s="1"/>
  <c r="K1122" i="4" a="1"/>
  <c r="K1122" i="4" s="1"/>
  <c r="K1111" i="4" a="1"/>
  <c r="K1111" i="4" s="1"/>
  <c r="K1114" i="4" a="1"/>
  <c r="K1114" i="4" s="1"/>
  <c r="K1120" i="4" a="1"/>
  <c r="K1120" i="4" s="1"/>
  <c r="K1097" i="4" a="1"/>
  <c r="K1097" i="4" s="1"/>
  <c r="K1103" i="4" a="1"/>
  <c r="K1103" i="4" s="1"/>
  <c r="K1108" i="4" a="1"/>
  <c r="K1108" i="4" s="1"/>
  <c r="K1112" i="4" a="1"/>
  <c r="K1112" i="4" s="1"/>
  <c r="K1117" i="4" a="1"/>
  <c r="K1117" i="4" s="1"/>
  <c r="K1123" i="4" a="1"/>
  <c r="K1123" i="4" s="1"/>
  <c r="K1098" i="4" a="1"/>
  <c r="K1098" i="4" s="1"/>
  <c r="K1104" i="4" a="1"/>
  <c r="K1104" i="4" s="1"/>
  <c r="K1115" i="4" a="1"/>
  <c r="K1115" i="4" s="1"/>
  <c r="K1118" i="4" a="1"/>
  <c r="K1118" i="4" s="1"/>
  <c r="K1121" i="4" a="1"/>
  <c r="K1121" i="4" s="1"/>
  <c r="K1124" i="4" a="1"/>
  <c r="K1124" i="4" s="1"/>
  <c r="K976" i="4" a="1"/>
  <c r="K976" i="4" s="1"/>
  <c r="K979" i="4" a="1"/>
  <c r="K979" i="4" s="1"/>
  <c r="K982" i="4" a="1"/>
  <c r="K982" i="4" s="1"/>
  <c r="K985" i="4" a="1"/>
  <c r="K985" i="4" s="1"/>
  <c r="K992" i="4" a="1"/>
  <c r="K992" i="4" s="1"/>
  <c r="K995" i="4" a="1"/>
  <c r="K995" i="4" s="1"/>
  <c r="K998" i="4" a="1"/>
  <c r="K998" i="4" s="1"/>
  <c r="K1001" i="4" a="1"/>
  <c r="K1001" i="4" s="1"/>
  <c r="K980" i="4" a="1"/>
  <c r="K980" i="4" s="1"/>
  <c r="K983" i="4" a="1"/>
  <c r="K983" i="4" s="1"/>
  <c r="K986" i="4" a="1"/>
  <c r="K986" i="4" s="1"/>
  <c r="K989" i="4" a="1"/>
  <c r="K989" i="4" s="1"/>
  <c r="K996" i="4" a="1"/>
  <c r="K996" i="4" s="1"/>
  <c r="K999" i="4" a="1"/>
  <c r="K999" i="4" s="1"/>
  <c r="K1002" i="4" a="1"/>
  <c r="K1002" i="4" s="1"/>
  <c r="K974" i="4" a="1"/>
  <c r="K974" i="4" s="1"/>
  <c r="K977" i="4" a="1"/>
  <c r="K977" i="4" s="1"/>
  <c r="K984" i="4" a="1"/>
  <c r="K984" i="4" s="1"/>
  <c r="K987" i="4" a="1"/>
  <c r="K987" i="4" s="1"/>
  <c r="K990" i="4" a="1"/>
  <c r="K990" i="4" s="1"/>
  <c r="K993" i="4" a="1"/>
  <c r="K993" i="4" s="1"/>
  <c r="K1000" i="4" a="1"/>
  <c r="K1000" i="4" s="1"/>
  <c r="K1003" i="4" a="1"/>
  <c r="K1003" i="4" s="1"/>
  <c r="K975" i="4" a="1"/>
  <c r="K975" i="4" s="1"/>
  <c r="K978" i="4" a="1"/>
  <c r="K978" i="4" s="1"/>
  <c r="K981" i="4" a="1"/>
  <c r="K981" i="4" s="1"/>
  <c r="K988" i="4" a="1"/>
  <c r="K988" i="4" s="1"/>
  <c r="K991" i="4" a="1"/>
  <c r="K991" i="4" s="1"/>
  <c r="K994" i="4" a="1"/>
  <c r="K994" i="4" s="1"/>
  <c r="K997" i="4" a="1"/>
  <c r="K997" i="4" s="1"/>
  <c r="K1004" i="4" a="1"/>
  <c r="K1004" i="4" s="1"/>
  <c r="K854" i="4" a="1"/>
  <c r="K854" i="4" s="1"/>
  <c r="K858" i="4" a="1"/>
  <c r="K858" i="4" s="1"/>
  <c r="K861" i="4" a="1"/>
  <c r="K861" i="4" s="1"/>
  <c r="K865" i="4" a="1"/>
  <c r="K865" i="4" s="1"/>
  <c r="K872" i="4" a="1"/>
  <c r="K872" i="4" s="1"/>
  <c r="K876" i="4" a="1"/>
  <c r="K876" i="4" s="1"/>
  <c r="K879" i="4" a="1"/>
  <c r="K879" i="4" s="1"/>
  <c r="K852" i="4" a="1"/>
  <c r="K852" i="4" s="1"/>
  <c r="K855" i="4" a="1"/>
  <c r="K855" i="4" s="1"/>
  <c r="K859" i="4" a="1"/>
  <c r="K859" i="4" s="1"/>
  <c r="K862" i="4" a="1"/>
  <c r="K862" i="4" s="1"/>
  <c r="K866" i="4" a="1"/>
  <c r="K866" i="4" s="1"/>
  <c r="K869" i="4" a="1"/>
  <c r="K869" i="4" s="1"/>
  <c r="K873" i="4" a="1"/>
  <c r="K873" i="4" s="1"/>
  <c r="K880" i="4" a="1"/>
  <c r="K880" i="4" s="1"/>
  <c r="K856" i="4" a="1"/>
  <c r="K856" i="4" s="1"/>
  <c r="K860" i="4" a="1"/>
  <c r="K860" i="4" s="1"/>
  <c r="K863" i="4" a="1"/>
  <c r="K863" i="4" s="1"/>
  <c r="K867" i="4" a="1"/>
  <c r="K867" i="4" s="1"/>
  <c r="K870" i="4" a="1"/>
  <c r="K870" i="4" s="1"/>
  <c r="K874" i="4" a="1"/>
  <c r="K874" i="4" s="1"/>
  <c r="K877" i="4" a="1"/>
  <c r="K877" i="4" s="1"/>
  <c r="K881" i="4" a="1"/>
  <c r="K881" i="4" s="1"/>
  <c r="K853" i="4" a="1"/>
  <c r="K853" i="4" s="1"/>
  <c r="K857" i="4" a="1"/>
  <c r="K857" i="4" s="1"/>
  <c r="K864" i="4" a="1"/>
  <c r="K864" i="4" s="1"/>
  <c r="K868" i="4" a="1"/>
  <c r="K868" i="4" s="1"/>
  <c r="K871" i="4" a="1"/>
  <c r="K871" i="4" s="1"/>
  <c r="K875" i="4" a="1"/>
  <c r="K875" i="4" s="1"/>
  <c r="K878" i="4" a="1"/>
  <c r="K878" i="4" s="1"/>
  <c r="K733" i="4" a="1"/>
  <c r="K733" i="4" s="1"/>
  <c r="K737" i="4" a="1"/>
  <c r="K737" i="4" s="1"/>
  <c r="K740" i="4" a="1"/>
  <c r="K740" i="4" s="1"/>
  <c r="K743" i="4" a="1"/>
  <c r="K743" i="4" s="1"/>
  <c r="K749" i="4" a="1"/>
  <c r="K749" i="4" s="1"/>
  <c r="K753" i="4" a="1"/>
  <c r="K753" i="4" s="1"/>
  <c r="K756" i="4" a="1"/>
  <c r="K756" i="4" s="1"/>
  <c r="K759" i="4" a="1"/>
  <c r="K759" i="4" s="1"/>
  <c r="K734" i="4" a="1"/>
  <c r="K734" i="4" s="1"/>
  <c r="K738" i="4" a="1"/>
  <c r="K738" i="4" s="1"/>
  <c r="K744" i="4" a="1"/>
  <c r="K744" i="4" s="1"/>
  <c r="K747" i="4" a="1"/>
  <c r="K747" i="4" s="1"/>
  <c r="K750" i="4" a="1"/>
  <c r="K750" i="4" s="1"/>
  <c r="K754" i="4" a="1"/>
  <c r="K754" i="4" s="1"/>
  <c r="K732" i="4" a="1"/>
  <c r="K732" i="4" s="1"/>
  <c r="K735" i="4" a="1"/>
  <c r="K735" i="4" s="1"/>
  <c r="K741" i="4" a="1"/>
  <c r="K741" i="4" s="1"/>
  <c r="K745" i="4" a="1"/>
  <c r="K745" i="4" s="1"/>
  <c r="K748" i="4" a="1"/>
  <c r="K748" i="4" s="1"/>
  <c r="K751" i="4" a="1"/>
  <c r="K751" i="4" s="1"/>
  <c r="K757" i="4" a="1"/>
  <c r="K757" i="4" s="1"/>
  <c r="K736" i="4" a="1"/>
  <c r="K736" i="4" s="1"/>
  <c r="K739" i="4" a="1"/>
  <c r="K739" i="4" s="1"/>
  <c r="K742" i="4" a="1"/>
  <c r="K742" i="4" s="1"/>
  <c r="K746" i="4" a="1"/>
  <c r="K746" i="4" s="1"/>
  <c r="K752" i="4" a="1"/>
  <c r="K752" i="4" s="1"/>
  <c r="K755" i="4" a="1"/>
  <c r="K755" i="4" s="1"/>
  <c r="K758" i="4" a="1"/>
  <c r="K758" i="4" s="1"/>
  <c r="K609" i="4" a="1"/>
  <c r="K609" i="4" s="1"/>
  <c r="K612" i="4" a="1"/>
  <c r="K612" i="4" s="1"/>
  <c r="K615" i="4" a="1"/>
  <c r="K615" i="4" s="1"/>
  <c r="K621" i="4" a="1"/>
  <c r="K621" i="4" s="1"/>
  <c r="K625" i="4" a="1"/>
  <c r="K625" i="4" s="1"/>
  <c r="K628" i="4" a="1"/>
  <c r="K628" i="4" s="1"/>
  <c r="K631" i="4" a="1"/>
  <c r="K631" i="4" s="1"/>
  <c r="K637" i="4" a="1"/>
  <c r="K637" i="4" s="1"/>
  <c r="K610" i="4" a="1"/>
  <c r="K610" i="4" s="1"/>
  <c r="K616" i="4" a="1"/>
  <c r="K616" i="4" s="1"/>
  <c r="K619" i="4" a="1"/>
  <c r="K619" i="4" s="1"/>
  <c r="K622" i="4" a="1"/>
  <c r="K622" i="4" s="1"/>
  <c r="K626" i="4" a="1"/>
  <c r="K626" i="4" s="1"/>
  <c r="K632" i="4" a="1"/>
  <c r="K632" i="4" s="1"/>
  <c r="K635" i="4" a="1"/>
  <c r="K635" i="4" s="1"/>
  <c r="K638" i="4" a="1"/>
  <c r="K638" i="4" s="1"/>
  <c r="K613" i="4" a="1"/>
  <c r="K613" i="4" s="1"/>
  <c r="K617" i="4" a="1"/>
  <c r="K617" i="4" s="1"/>
  <c r="K620" i="4" a="1"/>
  <c r="K620" i="4" s="1"/>
  <c r="K623" i="4" a="1"/>
  <c r="K623" i="4" s="1"/>
  <c r="K629" i="4" a="1"/>
  <c r="K629" i="4" s="1"/>
  <c r="K633" i="4" a="1"/>
  <c r="K633" i="4" s="1"/>
  <c r="K636" i="4" a="1"/>
  <c r="K636" i="4" s="1"/>
  <c r="K639" i="4" a="1"/>
  <c r="K639" i="4" s="1"/>
  <c r="K611" i="4" a="1"/>
  <c r="K611" i="4" s="1"/>
  <c r="K614" i="4" a="1"/>
  <c r="K614" i="4" s="1"/>
  <c r="K618" i="4" a="1"/>
  <c r="K618" i="4" s="1"/>
  <c r="K624" i="4" a="1"/>
  <c r="K624" i="4" s="1"/>
  <c r="K627" i="4" a="1"/>
  <c r="K627" i="4" s="1"/>
  <c r="K630" i="4" a="1"/>
  <c r="K630" i="4" s="1"/>
  <c r="K634" i="4" a="1"/>
  <c r="K634" i="4" s="1"/>
  <c r="K489" i="4" a="1"/>
  <c r="K489" i="4" s="1"/>
  <c r="K492" i="4" a="1"/>
  <c r="K492" i="4" s="1"/>
  <c r="K495" i="4" a="1"/>
  <c r="K495" i="4" s="1"/>
  <c r="K501" i="4" a="1"/>
  <c r="K501" i="4" s="1"/>
  <c r="K505" i="4" a="1"/>
  <c r="K505" i="4" s="1"/>
  <c r="K508" i="4" a="1"/>
  <c r="K508" i="4" s="1"/>
  <c r="K511" i="4" a="1"/>
  <c r="K511" i="4" s="1"/>
  <c r="K490" i="4" a="1"/>
  <c r="K490" i="4" s="1"/>
  <c r="K496" i="4" a="1"/>
  <c r="K496" i="4" s="1"/>
  <c r="K499" i="4" a="1"/>
  <c r="K499" i="4" s="1"/>
  <c r="K502" i="4" a="1"/>
  <c r="K502" i="4" s="1"/>
  <c r="K506" i="4" a="1"/>
  <c r="K506" i="4" s="1"/>
  <c r="K512" i="4" a="1"/>
  <c r="K512" i="4" s="1"/>
  <c r="K515" i="4" a="1"/>
  <c r="K515" i="4" s="1"/>
  <c r="K487" i="4" a="1"/>
  <c r="K487" i="4" s="1"/>
  <c r="K493" i="4" a="1"/>
  <c r="K493" i="4" s="1"/>
  <c r="K497" i="4" a="1"/>
  <c r="K497" i="4" s="1"/>
  <c r="K500" i="4" a="1"/>
  <c r="K500" i="4" s="1"/>
  <c r="K503" i="4" a="1"/>
  <c r="K503" i="4" s="1"/>
  <c r="K509" i="4" a="1"/>
  <c r="K509" i="4" s="1"/>
  <c r="K513" i="4" a="1"/>
  <c r="K513" i="4" s="1"/>
  <c r="K516" i="4" a="1"/>
  <c r="K516" i="4" s="1"/>
  <c r="K488" i="4" a="1"/>
  <c r="K488" i="4" s="1"/>
  <c r="K491" i="4" a="1"/>
  <c r="K491" i="4" s="1"/>
  <c r="K494" i="4" a="1"/>
  <c r="K494" i="4" s="1"/>
  <c r="K498" i="4" a="1"/>
  <c r="K498" i="4" s="1"/>
  <c r="K504" i="4" a="1"/>
  <c r="K504" i="4" s="1"/>
  <c r="K507" i="4" a="1"/>
  <c r="K507" i="4" s="1"/>
  <c r="K510" i="4" a="1"/>
  <c r="K510" i="4" s="1"/>
  <c r="K514" i="4" a="1"/>
  <c r="K514" i="4" s="1"/>
  <c r="K369" i="4" a="1"/>
  <c r="K369" i="4" s="1"/>
  <c r="K372" i="4" a="1"/>
  <c r="K372" i="4" s="1"/>
  <c r="K379" i="4" a="1"/>
  <c r="K379" i="4" s="1"/>
  <c r="K382" i="4" a="1"/>
  <c r="K382" i="4" s="1"/>
  <c r="K385" i="4" a="1"/>
  <c r="K385" i="4" s="1"/>
  <c r="K388" i="4" a="1"/>
  <c r="K388" i="4" s="1"/>
  <c r="K366" i="4" a="1"/>
  <c r="K366" i="4" s="1"/>
  <c r="K370" i="4" a="1"/>
  <c r="K370" i="4" s="1"/>
  <c r="K373" i="4" a="1"/>
  <c r="K373" i="4" s="1"/>
  <c r="K376" i="4" a="1"/>
  <c r="K376" i="4" s="1"/>
  <c r="K383" i="4" a="1"/>
  <c r="K383" i="4" s="1"/>
  <c r="K386" i="4" a="1"/>
  <c r="K386" i="4" s="1"/>
  <c r="K389" i="4" a="1"/>
  <c r="K389" i="4" s="1"/>
  <c r="K392" i="4" a="1"/>
  <c r="K392" i="4" s="1"/>
  <c r="K367" i="4" a="1"/>
  <c r="K367" i="4" s="1"/>
  <c r="K371" i="4" a="1"/>
  <c r="K371" i="4" s="1"/>
  <c r="K374" i="4" a="1"/>
  <c r="K374" i="4" s="1"/>
  <c r="K377" i="4" a="1"/>
  <c r="K377" i="4" s="1"/>
  <c r="K380" i="4" a="1"/>
  <c r="K380" i="4" s="1"/>
  <c r="K387" i="4" a="1"/>
  <c r="K387" i="4" s="1"/>
  <c r="K390" i="4" a="1"/>
  <c r="K390" i="4" s="1"/>
  <c r="K393" i="4" a="1"/>
  <c r="K393" i="4" s="1"/>
  <c r="K368" i="4" a="1"/>
  <c r="K368" i="4" s="1"/>
  <c r="K375" i="4" a="1"/>
  <c r="K375" i="4" s="1"/>
  <c r="K378" i="4" a="1"/>
  <c r="K378" i="4" s="1"/>
  <c r="K381" i="4" a="1"/>
  <c r="K381" i="4" s="1"/>
  <c r="K384" i="4" a="1"/>
  <c r="K384" i="4" s="1"/>
  <c r="K391" i="4" a="1"/>
  <c r="K391" i="4" s="1"/>
  <c r="K394" i="4" a="1"/>
  <c r="K394" i="4" s="1"/>
  <c r="K153" i="4" l="1" a="1"/>
  <c r="K153" i="4" s="1"/>
  <c r="K156" i="4" a="1"/>
  <c r="K156" i="4" s="1"/>
  <c r="K160" i="4" a="1"/>
  <c r="K160" i="4" s="1"/>
  <c r="K167" i="4" a="1"/>
  <c r="K167" i="4" s="1"/>
  <c r="K170" i="4" a="1"/>
  <c r="K170" i="4" s="1"/>
  <c r="K173" i="4" a="1"/>
  <c r="K173" i="4" s="1"/>
  <c r="K177" i="4" a="1"/>
  <c r="K177" i="4" s="1"/>
  <c r="K154" i="4" a="1"/>
  <c r="K154" i="4" s="1"/>
  <c r="K157" i="4" a="1"/>
  <c r="K157" i="4" s="1"/>
  <c r="K161" i="4" a="1"/>
  <c r="K161" i="4" s="1"/>
  <c r="K164" i="4" a="1"/>
  <c r="K164" i="4" s="1"/>
  <c r="K168" i="4" a="1"/>
  <c r="K168" i="4" s="1"/>
  <c r="K171" i="4" a="1"/>
  <c r="K171" i="4" s="1"/>
  <c r="K174" i="4" a="1"/>
  <c r="K174" i="4" s="1"/>
  <c r="K178" i="4" a="1"/>
  <c r="K178" i="4" s="1"/>
  <c r="K181" i="4" a="1"/>
  <c r="K181" i="4" s="1"/>
  <c r="K151" i="4" a="1"/>
  <c r="K151" i="4" s="1"/>
  <c r="K155" i="4" a="1"/>
  <c r="K155" i="4" s="1"/>
  <c r="K158" i="4" a="1"/>
  <c r="K158" i="4" s="1"/>
  <c r="K162" i="4" a="1"/>
  <c r="K162" i="4" s="1"/>
  <c r="K165" i="4" a="1"/>
  <c r="K165" i="4" s="1"/>
  <c r="K169" i="4" a="1"/>
  <c r="K169" i="4" s="1"/>
  <c r="K175" i="4" a="1"/>
  <c r="K175" i="4" s="1"/>
  <c r="K179" i="4" a="1"/>
  <c r="K179" i="4" s="1"/>
  <c r="K152" i="4" a="1"/>
  <c r="K152" i="4" s="1"/>
  <c r="K159" i="4" a="1"/>
  <c r="K159" i="4" s="1"/>
  <c r="K163" i="4" a="1"/>
  <c r="K163" i="4" s="1"/>
  <c r="K166" i="4" a="1"/>
  <c r="K166" i="4" s="1"/>
  <c r="K172" i="4" a="1"/>
  <c r="K172" i="4" s="1"/>
  <c r="K176" i="4" a="1"/>
  <c r="K176" i="4" s="1"/>
  <c r="K180" i="4" a="1"/>
  <c r="K180" i="4" s="1"/>
  <c r="K641" i="4" a="1"/>
  <c r="K641" i="4" s="1"/>
  <c r="K644" i="4" a="1"/>
  <c r="K644" i="4" s="1"/>
  <c r="K647" i="4" a="1"/>
  <c r="K647" i="4" s="1"/>
  <c r="K653" i="4" a="1"/>
  <c r="K653" i="4" s="1"/>
  <c r="K657" i="4" a="1"/>
  <c r="K657" i="4" s="1"/>
  <c r="K660" i="4" a="1"/>
  <c r="K660" i="4" s="1"/>
  <c r="K663" i="4" a="1"/>
  <c r="K663" i="4" s="1"/>
  <c r="K669" i="4" a="1"/>
  <c r="K669" i="4" s="1"/>
  <c r="K642" i="4" a="1"/>
  <c r="K642" i="4" s="1"/>
  <c r="K648" i="4" a="1"/>
  <c r="K648" i="4" s="1"/>
  <c r="K651" i="4" a="1"/>
  <c r="K651" i="4" s="1"/>
  <c r="K654" i="4" a="1"/>
  <c r="K654" i="4" s="1"/>
  <c r="K658" i="4" a="1"/>
  <c r="K658" i="4" s="1"/>
  <c r="K664" i="4" a="1"/>
  <c r="K664" i="4" s="1"/>
  <c r="K667" i="4" a="1"/>
  <c r="K667" i="4" s="1"/>
  <c r="K645" i="4" a="1"/>
  <c r="K645" i="4" s="1"/>
  <c r="K649" i="4" a="1"/>
  <c r="K649" i="4" s="1"/>
  <c r="K652" i="4" a="1"/>
  <c r="K652" i="4" s="1"/>
  <c r="K655" i="4" a="1"/>
  <c r="K655" i="4" s="1"/>
  <c r="K661" i="4" a="1"/>
  <c r="K661" i="4" s="1"/>
  <c r="K665" i="4" a="1"/>
  <c r="K665" i="4" s="1"/>
  <c r="K668" i="4" a="1"/>
  <c r="K668" i="4" s="1"/>
  <c r="K640" i="4" a="1"/>
  <c r="K640" i="4" s="1"/>
  <c r="K643" i="4" a="1"/>
  <c r="K643" i="4" s="1"/>
  <c r="K646" i="4" a="1"/>
  <c r="K646" i="4" s="1"/>
  <c r="K650" i="4" a="1"/>
  <c r="K650" i="4" s="1"/>
  <c r="K656" i="4" a="1"/>
  <c r="K656" i="4" s="1"/>
  <c r="K659" i="4" a="1"/>
  <c r="K659" i="4" s="1"/>
  <c r="K662" i="4" a="1"/>
  <c r="K662" i="4" s="1"/>
  <c r="K666" i="4" a="1"/>
  <c r="K666" i="4" s="1"/>
  <c r="K1128" i="4" a="1"/>
  <c r="K1128" i="4" s="1"/>
  <c r="K1133" i="4" a="1"/>
  <c r="K1133" i="4" s="1"/>
  <c r="K1139" i="4" a="1"/>
  <c r="K1139" i="4" s="1"/>
  <c r="K1142" i="4" a="1"/>
  <c r="K1142" i="4" s="1"/>
  <c r="K1145" i="4" a="1"/>
  <c r="K1145" i="4" s="1"/>
  <c r="K1148" i="4" a="1"/>
  <c r="K1148" i="4" s="1"/>
  <c r="K1151" i="4" a="1"/>
  <c r="K1151" i="4" s="1"/>
  <c r="K1154" i="4" a="1"/>
  <c r="K1154" i="4" s="1"/>
  <c r="K1125" i="4" a="1"/>
  <c r="K1125" i="4" s="1"/>
  <c r="K1131" i="4" a="1"/>
  <c r="K1131" i="4" s="1"/>
  <c r="K1134" i="4" a="1"/>
  <c r="K1134" i="4" s="1"/>
  <c r="K1137" i="4" a="1"/>
  <c r="K1137" i="4" s="1"/>
  <c r="K1140" i="4" a="1"/>
  <c r="K1140" i="4" s="1"/>
  <c r="K1143" i="4" a="1"/>
  <c r="K1143" i="4" s="1"/>
  <c r="K1146" i="4" a="1"/>
  <c r="K1146" i="4" s="1"/>
  <c r="K1152" i="4" a="1"/>
  <c r="K1152" i="4" s="1"/>
  <c r="K1126" i="4" a="1"/>
  <c r="K1126" i="4" s="1"/>
  <c r="K1129" i="4" a="1"/>
  <c r="K1129" i="4" s="1"/>
  <c r="K1132" i="4" a="1"/>
  <c r="K1132" i="4" s="1"/>
  <c r="K1135" i="4" a="1"/>
  <c r="K1135" i="4" s="1"/>
  <c r="K1138" i="4" a="1"/>
  <c r="K1138" i="4" s="1"/>
  <c r="K1144" i="4" a="1"/>
  <c r="K1144" i="4" s="1"/>
  <c r="K1149" i="4" a="1"/>
  <c r="K1149" i="4" s="1"/>
  <c r="K1155" i="4" a="1"/>
  <c r="K1155" i="4" s="1"/>
  <c r="K1127" i="4" a="1"/>
  <c r="K1127" i="4" s="1"/>
  <c r="K1130" i="4" a="1"/>
  <c r="K1130" i="4" s="1"/>
  <c r="K1136" i="4" a="1"/>
  <c r="K1136" i="4" s="1"/>
  <c r="K1141" i="4" a="1"/>
  <c r="K1141" i="4" s="1"/>
  <c r="K1147" i="4" a="1"/>
  <c r="K1147" i="4" s="1"/>
  <c r="K1150" i="4" a="1"/>
  <c r="K1150" i="4" s="1"/>
  <c r="K1153" i="4" a="1"/>
  <c r="K1153" i="4" s="1"/>
  <c r="K1616" i="4" a="1"/>
  <c r="K1616" i="4" s="1"/>
  <c r="K1622" i="4" a="1"/>
  <c r="K1622" i="4" s="1"/>
  <c r="K1625" i="4" a="1"/>
  <c r="K1625" i="4" s="1"/>
  <c r="K1628" i="4" a="1"/>
  <c r="K1628" i="4" s="1"/>
  <c r="K1631" i="4" a="1"/>
  <c r="K1631" i="4" s="1"/>
  <c r="K1634" i="4" a="1"/>
  <c r="K1634" i="4" s="1"/>
  <c r="K1614" i="4" a="1"/>
  <c r="K1614" i="4" s="1"/>
  <c r="K1617" i="4" a="1"/>
  <c r="K1617" i="4" s="1"/>
  <c r="K1620" i="4" a="1"/>
  <c r="K1620" i="4" s="1"/>
  <c r="K1623" i="4" a="1"/>
  <c r="K1623" i="4" s="1"/>
  <c r="K1626" i="4" a="1"/>
  <c r="K1626" i="4" s="1"/>
  <c r="K1629" i="4" a="1"/>
  <c r="K1629" i="4" s="1"/>
  <c r="K1635" i="4" a="1"/>
  <c r="K1635" i="4" s="1"/>
  <c r="K1640" i="4" a="1"/>
  <c r="K1640" i="4" s="1"/>
  <c r="K1612" i="4" a="1"/>
  <c r="K1612" i="4" s="1"/>
  <c r="K1615" i="4" a="1"/>
  <c r="K1615" i="4" s="1"/>
  <c r="K1618" i="4" a="1"/>
  <c r="K1618" i="4" s="1"/>
  <c r="K1621" i="4" a="1"/>
  <c r="K1621" i="4" s="1"/>
  <c r="K1627" i="4" a="1"/>
  <c r="K1627" i="4" s="1"/>
  <c r="K1632" i="4" a="1"/>
  <c r="K1632" i="4" s="1"/>
  <c r="K1638" i="4" a="1"/>
  <c r="K1638" i="4" s="1"/>
  <c r="K1641" i="4" a="1"/>
  <c r="K1641" i="4" s="1"/>
  <c r="K1613" i="4" a="1"/>
  <c r="K1613" i="4" s="1"/>
  <c r="K1619" i="4" a="1"/>
  <c r="K1619" i="4" s="1"/>
  <c r="K1624" i="4" a="1"/>
  <c r="K1624" i="4" s="1"/>
  <c r="K1637" i="4" a="1"/>
  <c r="K1637" i="4" s="1"/>
  <c r="K1630" i="4" a="1"/>
  <c r="K1630" i="4" s="1"/>
  <c r="K1639" i="4" a="1"/>
  <c r="K1639" i="4" s="1"/>
  <c r="K1633" i="4" a="1"/>
  <c r="K1633" i="4" s="1"/>
  <c r="K1636" i="4" a="1"/>
  <c r="K1636" i="4" s="1"/>
  <c r="K1642" i="4" a="1"/>
  <c r="K1642" i="4" s="1"/>
  <c r="K60" i="4" a="1"/>
  <c r="K60" i="4" s="1"/>
  <c r="K64" i="4" a="1"/>
  <c r="K64" i="4" s="1"/>
  <c r="K67" i="4" a="1"/>
  <c r="K67" i="4" s="1"/>
  <c r="K71" i="4" a="1"/>
  <c r="K71" i="4" s="1"/>
  <c r="K74" i="4" a="1"/>
  <c r="K74" i="4" s="1"/>
  <c r="K78" i="4" a="1"/>
  <c r="K78" i="4" s="1"/>
  <c r="K85" i="4" a="1"/>
  <c r="K85" i="4" s="1"/>
  <c r="K89" i="4" a="1"/>
  <c r="K89" i="4" s="1"/>
  <c r="K61" i="4" a="1"/>
  <c r="K61" i="4" s="1"/>
  <c r="K65" i="4" a="1"/>
  <c r="K65" i="4" s="1"/>
  <c r="K68" i="4" a="1"/>
  <c r="K68" i="4" s="1"/>
  <c r="K72" i="4" a="1"/>
  <c r="K72" i="4" s="1"/>
  <c r="K75" i="4" a="1"/>
  <c r="K75" i="4" s="1"/>
  <c r="K79" i="4" a="1"/>
  <c r="K79" i="4" s="1"/>
  <c r="K82" i="4" a="1"/>
  <c r="K82" i="4" s="1"/>
  <c r="K86" i="4" a="1"/>
  <c r="K86" i="4" s="1"/>
  <c r="K62" i="4" a="1"/>
  <c r="K62" i="4" s="1"/>
  <c r="K69" i="4" a="1"/>
  <c r="K69" i="4" s="1"/>
  <c r="K73" i="4" a="1"/>
  <c r="K73" i="4" s="1"/>
  <c r="K76" i="4" a="1"/>
  <c r="K76" i="4" s="1"/>
  <c r="K80" i="4" a="1"/>
  <c r="K80" i="4" s="1"/>
  <c r="K83" i="4" a="1"/>
  <c r="K83" i="4" s="1"/>
  <c r="K87" i="4" a="1"/>
  <c r="K87" i="4" s="1"/>
  <c r="K63" i="4" a="1"/>
  <c r="K63" i="4" s="1"/>
  <c r="K66" i="4" a="1"/>
  <c r="K66" i="4" s="1"/>
  <c r="K70" i="4" a="1"/>
  <c r="K70" i="4" s="1"/>
  <c r="K77" i="4" a="1"/>
  <c r="K77" i="4" s="1"/>
  <c r="K81" i="4" a="1"/>
  <c r="K81" i="4" s="1"/>
  <c r="K84" i="4" a="1"/>
  <c r="K84" i="4" s="1"/>
  <c r="K88" i="4" a="1"/>
  <c r="K88" i="4" s="1"/>
  <c r="K549" i="4" a="1"/>
  <c r="K549" i="4" s="1"/>
  <c r="K553" i="4" a="1"/>
  <c r="K553" i="4" s="1"/>
  <c r="K550" i="4" a="1"/>
  <c r="K550" i="4" s="1"/>
  <c r="K548" i="4" a="1"/>
  <c r="K548" i="4" s="1"/>
  <c r="K551" i="4" a="1"/>
  <c r="K551" i="4" s="1"/>
  <c r="K557" i="4" a="1"/>
  <c r="K557" i="4" s="1"/>
  <c r="K561" i="4" a="1"/>
  <c r="K561" i="4" s="1"/>
  <c r="K564" i="4" a="1"/>
  <c r="K564" i="4" s="1"/>
  <c r="K567" i="4" a="1"/>
  <c r="K567" i="4" s="1"/>
  <c r="K573" i="4" a="1"/>
  <c r="K573" i="4" s="1"/>
  <c r="K552" i="4" a="1"/>
  <c r="K552" i="4" s="1"/>
  <c r="K555" i="4" a="1"/>
  <c r="K555" i="4" s="1"/>
  <c r="K558" i="4" a="1"/>
  <c r="K558" i="4" s="1"/>
  <c r="K562" i="4" a="1"/>
  <c r="K562" i="4" s="1"/>
  <c r="K568" i="4" a="1"/>
  <c r="K568" i="4" s="1"/>
  <c r="K571" i="4" a="1"/>
  <c r="K571" i="4" s="1"/>
  <c r="K554" i="4" a="1"/>
  <c r="K554" i="4" s="1"/>
  <c r="K560" i="4" a="1"/>
  <c r="K560" i="4" s="1"/>
  <c r="K566" i="4" a="1"/>
  <c r="K566" i="4" s="1"/>
  <c r="K577" i="4" a="1"/>
  <c r="K577" i="4" s="1"/>
  <c r="K556" i="4" a="1"/>
  <c r="K556" i="4" s="1"/>
  <c r="K569" i="4" a="1"/>
  <c r="K569" i="4" s="1"/>
  <c r="K574" i="4" a="1"/>
  <c r="K574" i="4" s="1"/>
  <c r="K578" i="4" a="1"/>
  <c r="K578" i="4" s="1"/>
  <c r="K563" i="4" a="1"/>
  <c r="K563" i="4" s="1"/>
  <c r="K570" i="4" a="1"/>
  <c r="K570" i="4" s="1"/>
  <c r="K575" i="4" a="1"/>
  <c r="K575" i="4" s="1"/>
  <c r="K559" i="4" a="1"/>
  <c r="K559" i="4" s="1"/>
  <c r="K565" i="4" a="1"/>
  <c r="K565" i="4" s="1"/>
  <c r="K572" i="4" a="1"/>
  <c r="K572" i="4" s="1"/>
  <c r="K576" i="4" a="1"/>
  <c r="K576" i="4" s="1"/>
  <c r="K1035" i="4" a="1"/>
  <c r="K1035" i="4" s="1"/>
  <c r="K1038" i="4" a="1"/>
  <c r="K1038" i="4" s="1"/>
  <c r="K1041" i="4" a="1"/>
  <c r="K1041" i="4" s="1"/>
  <c r="K1044" i="4" a="1"/>
  <c r="K1044" i="4" s="1"/>
  <c r="K1047" i="4" a="1"/>
  <c r="K1047" i="4" s="1"/>
  <c r="K1050" i="4" a="1"/>
  <c r="K1050" i="4" s="1"/>
  <c r="K1056" i="4" a="1"/>
  <c r="K1056" i="4" s="1"/>
  <c r="K1061" i="4" a="1"/>
  <c r="K1061" i="4" s="1"/>
  <c r="K1036" i="4" a="1"/>
  <c r="K1036" i="4" s="1"/>
  <c r="K1039" i="4" a="1"/>
  <c r="K1039" i="4" s="1"/>
  <c r="K1042" i="4" a="1"/>
  <c r="K1042" i="4" s="1"/>
  <c r="K1048" i="4" a="1"/>
  <c r="K1048" i="4" s="1"/>
  <c r="K1053" i="4" a="1"/>
  <c r="K1053" i="4" s="1"/>
  <c r="K1059" i="4" a="1"/>
  <c r="K1059" i="4" s="1"/>
  <c r="K1062" i="4" a="1"/>
  <c r="K1062" i="4" s="1"/>
  <c r="K1065" i="4" a="1"/>
  <c r="K1065" i="4" s="1"/>
  <c r="K1040" i="4" a="1"/>
  <c r="K1040" i="4" s="1"/>
  <c r="K1045" i="4" a="1"/>
  <c r="K1045" i="4" s="1"/>
  <c r="K1051" i="4" a="1"/>
  <c r="K1051" i="4" s="1"/>
  <c r="K1054" i="4" a="1"/>
  <c r="K1054" i="4" s="1"/>
  <c r="K1057" i="4" a="1"/>
  <c r="K1057" i="4" s="1"/>
  <c r="K1060" i="4" a="1"/>
  <c r="K1060" i="4" s="1"/>
  <c r="K1063" i="4" a="1"/>
  <c r="K1063" i="4" s="1"/>
  <c r="K1037" i="4" a="1"/>
  <c r="K1037" i="4" s="1"/>
  <c r="K1043" i="4" a="1"/>
  <c r="K1043" i="4" s="1"/>
  <c r="K1046" i="4" a="1"/>
  <c r="K1046" i="4" s="1"/>
  <c r="K1049" i="4" a="1"/>
  <c r="K1049" i="4" s="1"/>
  <c r="K1052" i="4" a="1"/>
  <c r="K1052" i="4" s="1"/>
  <c r="K1055" i="4" a="1"/>
  <c r="K1055" i="4" s="1"/>
  <c r="K1058" i="4" a="1"/>
  <c r="K1058" i="4" s="1"/>
  <c r="K1064" i="4" a="1"/>
  <c r="K1064" i="4" s="1"/>
  <c r="K1521" i="4" a="1"/>
  <c r="K1521" i="4" s="1"/>
  <c r="K1524" i="4" a="1"/>
  <c r="K1524" i="4" s="1"/>
  <c r="K1527" i="4" a="1"/>
  <c r="K1527" i="4" s="1"/>
  <c r="K1531" i="4" a="1"/>
  <c r="K1531" i="4" s="1"/>
  <c r="K1537" i="4" a="1"/>
  <c r="K1537" i="4" s="1"/>
  <c r="K1540" i="4" a="1"/>
  <c r="K1540" i="4" s="1"/>
  <c r="K1543" i="4" a="1"/>
  <c r="K1543" i="4" s="1"/>
  <c r="K1547" i="4" a="1"/>
  <c r="K1547" i="4" s="1"/>
  <c r="K1522" i="4" a="1"/>
  <c r="K1522" i="4" s="1"/>
  <c r="K1528" i="4" a="1"/>
  <c r="K1528" i="4" s="1"/>
  <c r="K1534" i="4" a="1"/>
  <c r="K1534" i="4" s="1"/>
  <c r="K1538" i="4" a="1"/>
  <c r="K1538" i="4" s="1"/>
  <c r="K1541" i="4" a="1"/>
  <c r="K1541" i="4" s="1"/>
  <c r="K1544" i="4" a="1"/>
  <c r="K1544" i="4" s="1"/>
  <c r="K1550" i="4" a="1"/>
  <c r="K1550" i="4" s="1"/>
  <c r="K1525" i="4" a="1"/>
  <c r="K1525" i="4" s="1"/>
  <c r="K1529" i="4" a="1"/>
  <c r="K1529" i="4" s="1"/>
  <c r="K1532" i="4" a="1"/>
  <c r="K1532" i="4" s="1"/>
  <c r="K1535" i="4" a="1"/>
  <c r="K1535" i="4" s="1"/>
  <c r="K1539" i="4" a="1"/>
  <c r="K1539" i="4" s="1"/>
  <c r="K1545" i="4" a="1"/>
  <c r="K1545" i="4" s="1"/>
  <c r="K1548" i="4" a="1"/>
  <c r="K1548" i="4" s="1"/>
  <c r="K1523" i="4" a="1"/>
  <c r="K1523" i="4" s="1"/>
  <c r="K1526" i="4" a="1"/>
  <c r="K1526" i="4" s="1"/>
  <c r="K1530" i="4" a="1"/>
  <c r="K1530" i="4" s="1"/>
  <c r="K1533" i="4" a="1"/>
  <c r="K1533" i="4" s="1"/>
  <c r="K1536" i="4" a="1"/>
  <c r="K1536" i="4" s="1"/>
  <c r="K1542" i="4" a="1"/>
  <c r="K1542" i="4" s="1"/>
  <c r="K1546" i="4" a="1"/>
  <c r="K1546" i="4" s="1"/>
  <c r="K1549" i="4" a="1"/>
  <c r="K1549" i="4" s="1"/>
  <c r="K4" i="4" a="1"/>
  <c r="K4" i="4" s="1"/>
  <c r="K7" i="4" a="1"/>
  <c r="K7" i="4" s="1"/>
  <c r="K11" i="4" a="1"/>
  <c r="K11" i="4" s="1"/>
  <c r="K14" i="4" a="1"/>
  <c r="K14" i="4" s="1"/>
  <c r="K21" i="4" a="1"/>
  <c r="K21" i="4" s="1"/>
  <c r="K25" i="4" a="1"/>
  <c r="K25" i="4" s="1"/>
  <c r="K28" i="4" a="1"/>
  <c r="K28" i="4" s="1"/>
  <c r="K5" i="4" a="1"/>
  <c r="K5" i="4" s="1"/>
  <c r="K8" i="4" a="1"/>
  <c r="K8" i="4" s="1"/>
  <c r="K15" i="4" a="1"/>
  <c r="K15" i="4" s="1"/>
  <c r="K18" i="4" a="1"/>
  <c r="K18" i="4" s="1"/>
  <c r="K22" i="4" a="1"/>
  <c r="K22" i="4" s="1"/>
  <c r="K9" i="4" a="1"/>
  <c r="K9" i="4" s="1"/>
  <c r="K12" i="4" a="1"/>
  <c r="K12" i="4" s="1"/>
  <c r="K16" i="4" a="1"/>
  <c r="K16" i="4" s="1"/>
  <c r="K19" i="4" a="1"/>
  <c r="K19" i="4" s="1"/>
  <c r="K23" i="4" a="1"/>
  <c r="K23" i="4" s="1"/>
  <c r="K26" i="4" a="1"/>
  <c r="K26" i="4" s="1"/>
  <c r="K6" i="4" a="1"/>
  <c r="K6" i="4" s="1"/>
  <c r="K10" i="4" a="1"/>
  <c r="K10" i="4" s="1"/>
  <c r="K13" i="4" a="1"/>
  <c r="K13" i="4" s="1"/>
  <c r="K17" i="4" a="1"/>
  <c r="K17" i="4" s="1"/>
  <c r="K20" i="4" a="1"/>
  <c r="K20" i="4" s="1"/>
  <c r="K24" i="4" a="1"/>
  <c r="K24" i="4" s="1"/>
  <c r="K27" i="4" a="1"/>
  <c r="K27" i="4" s="1"/>
  <c r="K3" i="4" a="1"/>
  <c r="K3" i="4" s="1"/>
  <c r="K121" i="4" a="1"/>
  <c r="K121" i="4" s="1"/>
  <c r="K124" i="4" a="1"/>
  <c r="K124" i="4" s="1"/>
  <c r="K128" i="4" a="1"/>
  <c r="K128" i="4" s="1"/>
  <c r="K135" i="4" a="1"/>
  <c r="K135" i="4" s="1"/>
  <c r="K139" i="4" a="1"/>
  <c r="K139" i="4" s="1"/>
  <c r="K142" i="4" a="1"/>
  <c r="K142" i="4" s="1"/>
  <c r="K146" i="4" a="1"/>
  <c r="K146" i="4" s="1"/>
  <c r="K149" i="4" a="1"/>
  <c r="K149" i="4" s="1"/>
  <c r="K122" i="4" a="1"/>
  <c r="K122" i="4" s="1"/>
  <c r="K125" i="4" a="1"/>
  <c r="K125" i="4" s="1"/>
  <c r="K129" i="4" a="1"/>
  <c r="K129" i="4" s="1"/>
  <c r="K132" i="4" a="1"/>
  <c r="K132" i="4" s="1"/>
  <c r="K136" i="4" a="1"/>
  <c r="K136" i="4" s="1"/>
  <c r="K143" i="4" a="1"/>
  <c r="K143" i="4" s="1"/>
  <c r="K147" i="4" a="1"/>
  <c r="K147" i="4" s="1"/>
  <c r="K150" i="4" a="1"/>
  <c r="K150" i="4" s="1"/>
  <c r="K123" i="4" a="1"/>
  <c r="K123" i="4" s="1"/>
  <c r="K126" i="4" a="1"/>
  <c r="K126" i="4" s="1"/>
  <c r="K130" i="4" a="1"/>
  <c r="K130" i="4" s="1"/>
  <c r="K133" i="4" a="1"/>
  <c r="K133" i="4" s="1"/>
  <c r="K137" i="4" a="1"/>
  <c r="K137" i="4" s="1"/>
  <c r="K140" i="4" a="1"/>
  <c r="K140" i="4" s="1"/>
  <c r="K144" i="4" a="1"/>
  <c r="K144" i="4" s="1"/>
  <c r="K127" i="4" a="1"/>
  <c r="K127" i="4" s="1"/>
  <c r="K131" i="4" a="1"/>
  <c r="K131" i="4" s="1"/>
  <c r="K134" i="4" a="1"/>
  <c r="K134" i="4" s="1"/>
  <c r="K138" i="4" a="1"/>
  <c r="K138" i="4" s="1"/>
  <c r="K141" i="4" a="1"/>
  <c r="K141" i="4" s="1"/>
  <c r="K145" i="4" a="1"/>
  <c r="K145" i="4" s="1"/>
  <c r="K148" i="4" a="1"/>
  <c r="K148" i="4" s="1"/>
  <c r="K280" i="4" a="1"/>
  <c r="K280" i="4" s="1"/>
  <c r="K284" i="4" a="1"/>
  <c r="K284" i="4" s="1"/>
  <c r="K287" i="4" a="1"/>
  <c r="K287" i="4" s="1"/>
  <c r="K291" i="4" a="1"/>
  <c r="K291" i="4" s="1"/>
  <c r="K294" i="4" a="1"/>
  <c r="K294" i="4" s="1"/>
  <c r="K298" i="4" a="1"/>
  <c r="K298" i="4" s="1"/>
  <c r="K301" i="4" a="1"/>
  <c r="K301" i="4" s="1"/>
  <c r="K274" i="4" a="1"/>
  <c r="K274" i="4" s="1"/>
  <c r="K277" i="4" a="1"/>
  <c r="K277" i="4" s="1"/>
  <c r="K281" i="4" a="1"/>
  <c r="K281" i="4" s="1"/>
  <c r="K288" i="4" a="1"/>
  <c r="K288" i="4" s="1"/>
  <c r="K292" i="4" a="1"/>
  <c r="K292" i="4" s="1"/>
  <c r="K295" i="4" a="1"/>
  <c r="K295" i="4" s="1"/>
  <c r="K299" i="4" a="1"/>
  <c r="K299" i="4" s="1"/>
  <c r="K275" i="4" a="1"/>
  <c r="K275" i="4" s="1"/>
  <c r="K278" i="4" a="1"/>
  <c r="K278" i="4" s="1"/>
  <c r="K282" i="4" a="1"/>
  <c r="K282" i="4" s="1"/>
  <c r="K285" i="4" a="1"/>
  <c r="K285" i="4" s="1"/>
  <c r="K289" i="4" a="1"/>
  <c r="K289" i="4" s="1"/>
  <c r="K296" i="4" a="1"/>
  <c r="K296" i="4" s="1"/>
  <c r="K300" i="4" a="1"/>
  <c r="K300" i="4" s="1"/>
  <c r="K303" i="4" a="1"/>
  <c r="K303" i="4" s="1"/>
  <c r="K276" i="4" a="1"/>
  <c r="K276" i="4" s="1"/>
  <c r="K279" i="4" a="1"/>
  <c r="K279" i="4" s="1"/>
  <c r="K283" i="4" a="1"/>
  <c r="K283" i="4" s="1"/>
  <c r="K286" i="4" a="1"/>
  <c r="K286" i="4" s="1"/>
  <c r="K290" i="4" a="1"/>
  <c r="K290" i="4" s="1"/>
  <c r="K293" i="4" a="1"/>
  <c r="K293" i="4" s="1"/>
  <c r="K297" i="4" a="1"/>
  <c r="K297" i="4" s="1"/>
  <c r="K302" i="4" a="1"/>
  <c r="K302" i="4" s="1"/>
  <c r="K763" i="4" a="1"/>
  <c r="K763" i="4" s="1"/>
  <c r="K766" i="4" a="1"/>
  <c r="K766" i="4" s="1"/>
  <c r="K770" i="4" a="1"/>
  <c r="K770" i="4" s="1"/>
  <c r="K776" i="4" a="1"/>
  <c r="K776" i="4" s="1"/>
  <c r="K779" i="4" a="1"/>
  <c r="K779" i="4" s="1"/>
  <c r="K783" i="4" a="1"/>
  <c r="K783" i="4" s="1"/>
  <c r="K786" i="4" a="1"/>
  <c r="K786" i="4" s="1"/>
  <c r="K790" i="4" a="1"/>
  <c r="K790" i="4" s="1"/>
  <c r="K760" i="4" a="1"/>
  <c r="K760" i="4" s="1"/>
  <c r="K764" i="4" a="1"/>
  <c r="K764" i="4" s="1"/>
  <c r="K767" i="4" a="1"/>
  <c r="K767" i="4" s="1"/>
  <c r="K773" i="4" a="1"/>
  <c r="K773" i="4" s="1"/>
  <c r="K780" i="4" a="1"/>
  <c r="K780" i="4" s="1"/>
  <c r="K784" i="4" a="1"/>
  <c r="K784" i="4" s="1"/>
  <c r="K787" i="4" a="1"/>
  <c r="K787" i="4" s="1"/>
  <c r="K761" i="4" a="1"/>
  <c r="K761" i="4" s="1"/>
  <c r="K768" i="4" a="1"/>
  <c r="K768" i="4" s="1"/>
  <c r="K771" i="4" a="1"/>
  <c r="K771" i="4" s="1"/>
  <c r="K774" i="4" a="1"/>
  <c r="K774" i="4" s="1"/>
  <c r="K777" i="4" a="1"/>
  <c r="K777" i="4" s="1"/>
  <c r="K781" i="4" a="1"/>
  <c r="K781" i="4" s="1"/>
  <c r="K788" i="4" a="1"/>
  <c r="K788" i="4" s="1"/>
  <c r="K762" i="4" a="1"/>
  <c r="K762" i="4" s="1"/>
  <c r="K765" i="4" a="1"/>
  <c r="K765" i="4" s="1"/>
  <c r="K769" i="4" a="1"/>
  <c r="K769" i="4" s="1"/>
  <c r="K772" i="4" a="1"/>
  <c r="K772" i="4" s="1"/>
  <c r="K775" i="4" a="1"/>
  <c r="K775" i="4" s="1"/>
  <c r="K778" i="4" a="1"/>
  <c r="K778" i="4" s="1"/>
  <c r="K782" i="4" a="1"/>
  <c r="K782" i="4" s="1"/>
  <c r="K785" i="4" a="1"/>
  <c r="K785" i="4" s="1"/>
  <c r="K789" i="4" a="1"/>
  <c r="K789" i="4" s="1"/>
  <c r="K1248" i="4" a="1"/>
  <c r="K1248" i="4" s="1"/>
  <c r="K1252" i="4" a="1"/>
  <c r="K1252" i="4" s="1"/>
  <c r="K1255" i="4" a="1"/>
  <c r="K1255" i="4" s="1"/>
  <c r="K1259" i="4" a="1"/>
  <c r="K1259" i="4" s="1"/>
  <c r="K1262" i="4" a="1"/>
  <c r="K1262" i="4" s="1"/>
  <c r="K1266" i="4" a="1"/>
  <c r="K1266" i="4" s="1"/>
  <c r="K1269" i="4" a="1"/>
  <c r="K1269" i="4" s="1"/>
  <c r="K1273" i="4" a="1"/>
  <c r="K1273" i="4" s="1"/>
  <c r="K1249" i="4" a="1"/>
  <c r="K1249" i="4" s="1"/>
  <c r="K1256" i="4" a="1"/>
  <c r="K1256" i="4" s="1"/>
  <c r="K1260" i="4" a="1"/>
  <c r="K1260" i="4" s="1"/>
  <c r="K1263" i="4" a="1"/>
  <c r="K1263" i="4" s="1"/>
  <c r="K1267" i="4" a="1"/>
  <c r="K1267" i="4" s="1"/>
  <c r="K1270" i="4" a="1"/>
  <c r="K1270" i="4" s="1"/>
  <c r="K1274" i="4" a="1"/>
  <c r="K1274" i="4" s="1"/>
  <c r="K1277" i="4" a="1"/>
  <c r="K1277" i="4" s="1"/>
  <c r="K1250" i="4" a="1"/>
  <c r="K1250" i="4" s="1"/>
  <c r="K1253" i="4" a="1"/>
  <c r="K1253" i="4" s="1"/>
  <c r="K1257" i="4" a="1"/>
  <c r="K1257" i="4" s="1"/>
  <c r="K1264" i="4" a="1"/>
  <c r="K1264" i="4" s="1"/>
  <c r="K1268" i="4" a="1"/>
  <c r="K1268" i="4" s="1"/>
  <c r="K1271" i="4" a="1"/>
  <c r="K1271" i="4" s="1"/>
  <c r="K1275" i="4" a="1"/>
  <c r="K1275" i="4" s="1"/>
  <c r="K1247" i="4" a="1"/>
  <c r="K1247" i="4" s="1"/>
  <c r="K1251" i="4" a="1"/>
  <c r="K1251" i="4" s="1"/>
  <c r="K1254" i="4" a="1"/>
  <c r="K1254" i="4" s="1"/>
  <c r="K1258" i="4" a="1"/>
  <c r="K1258" i="4" s="1"/>
  <c r="K1261" i="4" a="1"/>
  <c r="K1261" i="4" s="1"/>
  <c r="K1265" i="4" a="1"/>
  <c r="K1265" i="4" s="1"/>
  <c r="K1272" i="4" a="1"/>
  <c r="K1272" i="4" s="1"/>
  <c r="K1276" i="4" a="1"/>
  <c r="K1276" i="4" s="1"/>
  <c r="K1736" i="4" a="1"/>
  <c r="K1736" i="4" s="1"/>
  <c r="K1743" i="4" a="1"/>
  <c r="K1743" i="4" s="1"/>
  <c r="K1746" i="4" a="1"/>
  <c r="K1746" i="4" s="1"/>
  <c r="K1749" i="4" a="1"/>
  <c r="K1749" i="4" s="1"/>
  <c r="K1752" i="4" a="1"/>
  <c r="K1752" i="4" s="1"/>
  <c r="K1759" i="4" a="1"/>
  <c r="K1759" i="4" s="1"/>
  <c r="K1762" i="4" a="1"/>
  <c r="K1762" i="4" s="1"/>
  <c r="K1737" i="4" a="1"/>
  <c r="K1737" i="4" s="1"/>
  <c r="K1740" i="4" a="1"/>
  <c r="K1740" i="4" s="1"/>
  <c r="K1747" i="4" a="1"/>
  <c r="K1747" i="4" s="1"/>
  <c r="K1750" i="4" a="1"/>
  <c r="K1750" i="4" s="1"/>
  <c r="K1753" i="4" a="1"/>
  <c r="K1753" i="4" s="1"/>
  <c r="K1756" i="4" a="1"/>
  <c r="K1756" i="4" s="1"/>
  <c r="K1763" i="4" a="1"/>
  <c r="K1763" i="4" s="1"/>
  <c r="K1735" i="4" a="1"/>
  <c r="K1735" i="4" s="1"/>
  <c r="K1738" i="4" a="1"/>
  <c r="K1738" i="4" s="1"/>
  <c r="K1741" i="4" a="1"/>
  <c r="K1741" i="4" s="1"/>
  <c r="K1744" i="4" a="1"/>
  <c r="K1744" i="4" s="1"/>
  <c r="K1751" i="4" a="1"/>
  <c r="K1751" i="4" s="1"/>
  <c r="K1754" i="4" a="1"/>
  <c r="K1754" i="4" s="1"/>
  <c r="K1757" i="4" a="1"/>
  <c r="K1757" i="4" s="1"/>
  <c r="K1760" i="4" a="1"/>
  <c r="K1760" i="4" s="1"/>
  <c r="K1739" i="4" a="1"/>
  <c r="K1739" i="4" s="1"/>
  <c r="K1742" i="4" a="1"/>
  <c r="K1742" i="4" s="1"/>
  <c r="K1745" i="4" a="1"/>
  <c r="K1745" i="4" s="1"/>
  <c r="K1748" i="4" a="1"/>
  <c r="K1748" i="4" s="1"/>
  <c r="K1755" i="4" a="1"/>
  <c r="K1755" i="4" s="1"/>
  <c r="K1758" i="4" a="1"/>
  <c r="K1758" i="4" s="1"/>
  <c r="K1761" i="4" a="1"/>
  <c r="K1761" i="4" s="1"/>
  <c r="K1764" i="4" a="1"/>
  <c r="K1764" i="4" s="1"/>
  <c r="K184" i="4" a="1"/>
  <c r="K184" i="4" s="1"/>
  <c r="K188" i="4" a="1"/>
  <c r="K188" i="4" s="1"/>
  <c r="K191" i="4" a="1"/>
  <c r="K191" i="4" s="1"/>
  <c r="K195" i="4" a="1"/>
  <c r="K195" i="4" s="1"/>
  <c r="K198" i="4" a="1"/>
  <c r="K198" i="4" s="1"/>
  <c r="K202" i="4" a="1"/>
  <c r="K202" i="4" s="1"/>
  <c r="K205" i="4" a="1"/>
  <c r="K205" i="4" s="1"/>
  <c r="K209" i="4" a="1"/>
  <c r="K209" i="4" s="1"/>
  <c r="K185" i="4" a="1"/>
  <c r="K185" i="4" s="1"/>
  <c r="K192" i="4" a="1"/>
  <c r="K192" i="4" s="1"/>
  <c r="K196" i="4" a="1"/>
  <c r="K196" i="4" s="1"/>
  <c r="K199" i="4" a="1"/>
  <c r="K199" i="4" s="1"/>
  <c r="K203" i="4" a="1"/>
  <c r="K203" i="4" s="1"/>
  <c r="K206" i="4" a="1"/>
  <c r="K206" i="4" s="1"/>
  <c r="K210" i="4" a="1"/>
  <c r="K210" i="4" s="1"/>
  <c r="K182" i="4" a="1"/>
  <c r="K182" i="4" s="1"/>
  <c r="K186" i="4" a="1"/>
  <c r="K186" i="4" s="1"/>
  <c r="K189" i="4" a="1"/>
  <c r="K189" i="4" s="1"/>
  <c r="K193" i="4" a="1"/>
  <c r="K193" i="4" s="1"/>
  <c r="K200" i="4" a="1"/>
  <c r="K200" i="4" s="1"/>
  <c r="K204" i="4" a="1"/>
  <c r="K204" i="4" s="1"/>
  <c r="K207" i="4" a="1"/>
  <c r="K207" i="4" s="1"/>
  <c r="K211" i="4" a="1"/>
  <c r="K211" i="4" s="1"/>
  <c r="K183" i="4" a="1"/>
  <c r="K183" i="4" s="1"/>
  <c r="K187" i="4" a="1"/>
  <c r="K187" i="4" s="1"/>
  <c r="K190" i="4" a="1"/>
  <c r="K190" i="4" s="1"/>
  <c r="K194" i="4" a="1"/>
  <c r="K194" i="4" s="1"/>
  <c r="K197" i="4" a="1"/>
  <c r="K197" i="4" s="1"/>
  <c r="K201" i="4" a="1"/>
  <c r="K201" i="4" s="1"/>
  <c r="K208" i="4" a="1"/>
  <c r="K208" i="4" s="1"/>
  <c r="K212" i="4" a="1"/>
  <c r="K212" i="4" s="1"/>
  <c r="K673" i="4" a="1"/>
  <c r="K673" i="4" s="1"/>
  <c r="K676" i="4" a="1"/>
  <c r="K676" i="4" s="1"/>
  <c r="K679" i="4" a="1"/>
  <c r="K679" i="4" s="1"/>
  <c r="K685" i="4" a="1"/>
  <c r="K685" i="4" s="1"/>
  <c r="K689" i="4" a="1"/>
  <c r="K689" i="4" s="1"/>
  <c r="K692" i="4" a="1"/>
  <c r="K692" i="4" s="1"/>
  <c r="K695" i="4" a="1"/>
  <c r="K695" i="4" s="1"/>
  <c r="K670" i="4" a="1"/>
  <c r="K670" i="4" s="1"/>
  <c r="K674" i="4" a="1"/>
  <c r="K674" i="4" s="1"/>
  <c r="K680" i="4" a="1"/>
  <c r="K680" i="4" s="1"/>
  <c r="K683" i="4" a="1"/>
  <c r="K683" i="4" s="1"/>
  <c r="K686" i="4" a="1"/>
  <c r="K686" i="4" s="1"/>
  <c r="K690" i="4" a="1"/>
  <c r="K690" i="4" s="1"/>
  <c r="K696" i="4" a="1"/>
  <c r="K696" i="4" s="1"/>
  <c r="K699" i="4" a="1"/>
  <c r="K699" i="4" s="1"/>
  <c r="K671" i="4" a="1"/>
  <c r="K671" i="4" s="1"/>
  <c r="K677" i="4" a="1"/>
  <c r="K677" i="4" s="1"/>
  <c r="K681" i="4" a="1"/>
  <c r="K681" i="4" s="1"/>
  <c r="K684" i="4" a="1"/>
  <c r="K684" i="4" s="1"/>
  <c r="K687" i="4" a="1"/>
  <c r="K687" i="4" s="1"/>
  <c r="K693" i="4" a="1"/>
  <c r="K693" i="4" s="1"/>
  <c r="K697" i="4" a="1"/>
  <c r="K697" i="4" s="1"/>
  <c r="K700" i="4" a="1"/>
  <c r="K700" i="4" s="1"/>
  <c r="K672" i="4" a="1"/>
  <c r="K672" i="4" s="1"/>
  <c r="K675" i="4" a="1"/>
  <c r="K675" i="4" s="1"/>
  <c r="K678" i="4" a="1"/>
  <c r="K678" i="4" s="1"/>
  <c r="K682" i="4" a="1"/>
  <c r="K682" i="4" s="1"/>
  <c r="K688" i="4" a="1"/>
  <c r="K688" i="4" s="1"/>
  <c r="K691" i="4" a="1"/>
  <c r="K691" i="4" s="1"/>
  <c r="K694" i="4" a="1"/>
  <c r="K694" i="4" s="1"/>
  <c r="K698" i="4" a="1"/>
  <c r="K698" i="4" s="1"/>
  <c r="K1160" i="4" a="1"/>
  <c r="K1160" i="4" s="1"/>
  <c r="K1165" i="4" a="1"/>
  <c r="K1165" i="4" s="1"/>
  <c r="K1171" i="4" a="1"/>
  <c r="K1171" i="4" s="1"/>
  <c r="K1174" i="4" a="1"/>
  <c r="K1174" i="4" s="1"/>
  <c r="K1177" i="4" a="1"/>
  <c r="K1177" i="4" s="1"/>
  <c r="K1180" i="4" a="1"/>
  <c r="K1180" i="4" s="1"/>
  <c r="K1183" i="4" a="1"/>
  <c r="K1183" i="4" s="1"/>
  <c r="K1157" i="4" a="1"/>
  <c r="K1157" i="4" s="1"/>
  <c r="K1163" i="4" a="1"/>
  <c r="K1163" i="4" s="1"/>
  <c r="K1166" i="4" a="1"/>
  <c r="K1166" i="4" s="1"/>
  <c r="K1169" i="4" a="1"/>
  <c r="K1169" i="4" s="1"/>
  <c r="K1172" i="4" a="1"/>
  <c r="K1172" i="4" s="1"/>
  <c r="K1175" i="4" a="1"/>
  <c r="K1175" i="4" s="1"/>
  <c r="K1178" i="4" a="1"/>
  <c r="K1178" i="4" s="1"/>
  <c r="K1184" i="4" a="1"/>
  <c r="K1184" i="4" s="1"/>
  <c r="K1158" i="4" a="1"/>
  <c r="K1158" i="4" s="1"/>
  <c r="K1161" i="4" a="1"/>
  <c r="K1161" i="4" s="1"/>
  <c r="K1164" i="4" a="1"/>
  <c r="K1164" i="4" s="1"/>
  <c r="K1167" i="4" a="1"/>
  <c r="K1167" i="4" s="1"/>
  <c r="K1170" i="4" a="1"/>
  <c r="K1170" i="4" s="1"/>
  <c r="K1176" i="4" a="1"/>
  <c r="K1176" i="4" s="1"/>
  <c r="K1181" i="4" a="1"/>
  <c r="K1181" i="4" s="1"/>
  <c r="K1156" i="4" a="1"/>
  <c r="K1156" i="4" s="1"/>
  <c r="K1159" i="4" a="1"/>
  <c r="K1159" i="4" s="1"/>
  <c r="K1162" i="4" a="1"/>
  <c r="K1162" i="4" s="1"/>
  <c r="K1168" i="4" a="1"/>
  <c r="K1168" i="4" s="1"/>
  <c r="K1173" i="4" a="1"/>
  <c r="K1173" i="4" s="1"/>
  <c r="K1179" i="4" a="1"/>
  <c r="K1179" i="4" s="1"/>
  <c r="K1182" i="4" a="1"/>
  <c r="K1182" i="4" s="1"/>
  <c r="K1185" i="4" a="1"/>
  <c r="K1185" i="4" s="1"/>
  <c r="K1646" i="4" a="1"/>
  <c r="K1646" i="4" s="1"/>
  <c r="K1644" i="4" a="1"/>
  <c r="K1644" i="4" s="1"/>
  <c r="K1647" i="4" a="1"/>
  <c r="K1647" i="4" s="1"/>
  <c r="K1650" i="4" a="1"/>
  <c r="K1650" i="4" s="1"/>
  <c r="K1653" i="4" a="1"/>
  <c r="K1653" i="4" s="1"/>
  <c r="K1643" i="4" a="1"/>
  <c r="K1643" i="4" s="1"/>
  <c r="K1648" i="4" a="1"/>
  <c r="K1648" i="4" s="1"/>
  <c r="K1652" i="4" a="1"/>
  <c r="K1652" i="4" s="1"/>
  <c r="K1656" i="4" a="1"/>
  <c r="K1656" i="4" s="1"/>
  <c r="K1662" i="4" a="1"/>
  <c r="K1662" i="4" s="1"/>
  <c r="K1665" i="4" a="1"/>
  <c r="K1665" i="4" s="1"/>
  <c r="K1668" i="4" a="1"/>
  <c r="K1668" i="4" s="1"/>
  <c r="K1671" i="4" a="1"/>
  <c r="K1671" i="4" s="1"/>
  <c r="K1645" i="4" a="1"/>
  <c r="K1645" i="4" s="1"/>
  <c r="K1649" i="4" a="1"/>
  <c r="K1649" i="4" s="1"/>
  <c r="K1657" i="4" a="1"/>
  <c r="K1657" i="4" s="1"/>
  <c r="K1660" i="4" a="1"/>
  <c r="K1660" i="4" s="1"/>
  <c r="K1663" i="4" a="1"/>
  <c r="K1663" i="4" s="1"/>
  <c r="K1666" i="4" a="1"/>
  <c r="K1666" i="4" s="1"/>
  <c r="K1669" i="4" a="1"/>
  <c r="K1669" i="4" s="1"/>
  <c r="K1651" i="4" a="1"/>
  <c r="K1651" i="4" s="1"/>
  <c r="K1654" i="4" a="1"/>
  <c r="K1654" i="4" s="1"/>
  <c r="K1658" i="4" a="1"/>
  <c r="K1658" i="4" s="1"/>
  <c r="K1661" i="4" a="1"/>
  <c r="K1661" i="4" s="1"/>
  <c r="K1667" i="4" a="1"/>
  <c r="K1667" i="4" s="1"/>
  <c r="K1672" i="4" a="1"/>
  <c r="K1672" i="4" s="1"/>
  <c r="K1655" i="4" a="1"/>
  <c r="K1655" i="4" s="1"/>
  <c r="K1659" i="4" a="1"/>
  <c r="K1659" i="4" s="1"/>
  <c r="K1664" i="4" a="1"/>
  <c r="K1664" i="4" s="1"/>
  <c r="K1670" i="4" a="1"/>
  <c r="K1670" i="4" s="1"/>
  <c r="K1673" i="4" a="1"/>
  <c r="K1673" i="4" s="1"/>
  <c r="K248" i="4" a="1"/>
  <c r="K248" i="4" s="1"/>
  <c r="K252" i="4" a="1"/>
  <c r="K252" i="4" s="1"/>
  <c r="K255" i="4" a="1"/>
  <c r="K255" i="4" s="1"/>
  <c r="K259" i="4" a="1"/>
  <c r="K259" i="4" s="1"/>
  <c r="K262" i="4" a="1"/>
  <c r="K262" i="4" s="1"/>
  <c r="K266" i="4" a="1"/>
  <c r="K266" i="4" s="1"/>
  <c r="K269" i="4" a="1"/>
  <c r="K269" i="4" s="1"/>
  <c r="K273" i="4" a="1"/>
  <c r="K273" i="4" s="1"/>
  <c r="K245" i="4" a="1"/>
  <c r="K245" i="4" s="1"/>
  <c r="K249" i="4" a="1"/>
  <c r="K249" i="4" s="1"/>
  <c r="K256" i="4" a="1"/>
  <c r="K256" i="4" s="1"/>
  <c r="K260" i="4" a="1"/>
  <c r="K260" i="4" s="1"/>
  <c r="K263" i="4" a="1"/>
  <c r="K263" i="4" s="1"/>
  <c r="K267" i="4" a="1"/>
  <c r="K267" i="4" s="1"/>
  <c r="K270" i="4" a="1"/>
  <c r="K270" i="4" s="1"/>
  <c r="K243" i="4" a="1"/>
  <c r="K243" i="4" s="1"/>
  <c r="K246" i="4" a="1"/>
  <c r="K246" i="4" s="1"/>
  <c r="K250" i="4" a="1"/>
  <c r="K250" i="4" s="1"/>
  <c r="K253" i="4" a="1"/>
  <c r="K253" i="4" s="1"/>
  <c r="K257" i="4" a="1"/>
  <c r="K257" i="4" s="1"/>
  <c r="K264" i="4" a="1"/>
  <c r="K264" i="4" s="1"/>
  <c r="K268" i="4" a="1"/>
  <c r="K268" i="4" s="1"/>
  <c r="K271" i="4" a="1"/>
  <c r="K271" i="4" s="1"/>
  <c r="K244" i="4" a="1"/>
  <c r="K244" i="4" s="1"/>
  <c r="K247" i="4" a="1"/>
  <c r="K247" i="4" s="1"/>
  <c r="K251" i="4" a="1"/>
  <c r="K251" i="4" s="1"/>
  <c r="K254" i="4" a="1"/>
  <c r="K254" i="4" s="1"/>
  <c r="K258" i="4" a="1"/>
  <c r="K258" i="4" s="1"/>
  <c r="K261" i="4" a="1"/>
  <c r="K261" i="4" s="1"/>
  <c r="K265" i="4" a="1"/>
  <c r="K265" i="4" s="1"/>
  <c r="K272" i="4" a="1"/>
  <c r="K272" i="4" s="1"/>
  <c r="K395" i="4" a="1"/>
  <c r="K395" i="4" s="1"/>
  <c r="K398" i="4" a="1"/>
  <c r="K398" i="4" s="1"/>
  <c r="K401" i="4" a="1"/>
  <c r="K401" i="4" s="1"/>
  <c r="K404" i="4" a="1"/>
  <c r="K404" i="4" s="1"/>
  <c r="K411" i="4" a="1"/>
  <c r="K411" i="4" s="1"/>
  <c r="K414" i="4" a="1"/>
  <c r="K414" i="4" s="1"/>
  <c r="K417" i="4" a="1"/>
  <c r="K417" i="4" s="1"/>
  <c r="K420" i="4" a="1"/>
  <c r="K420" i="4" s="1"/>
  <c r="K399" i="4" a="1"/>
  <c r="K399" i="4" s="1"/>
  <c r="K402" i="4" a="1"/>
  <c r="K402" i="4" s="1"/>
  <c r="K405" i="4" a="1"/>
  <c r="K405" i="4" s="1"/>
  <c r="K408" i="4" a="1"/>
  <c r="K408" i="4" s="1"/>
  <c r="K415" i="4" a="1"/>
  <c r="K415" i="4" s="1"/>
  <c r="K418" i="4" a="1"/>
  <c r="K418" i="4" s="1"/>
  <c r="K421" i="4" a="1"/>
  <c r="K421" i="4" s="1"/>
  <c r="K424" i="4" a="1"/>
  <c r="K424" i="4" s="1"/>
  <c r="K396" i="4" a="1"/>
  <c r="K396" i="4" s="1"/>
  <c r="K403" i="4" a="1"/>
  <c r="K403" i="4" s="1"/>
  <c r="K406" i="4" a="1"/>
  <c r="K406" i="4" s="1"/>
  <c r="K409" i="4" a="1"/>
  <c r="K409" i="4" s="1"/>
  <c r="K412" i="4" a="1"/>
  <c r="K412" i="4" s="1"/>
  <c r="K419" i="4" a="1"/>
  <c r="K419" i="4" s="1"/>
  <c r="K422" i="4" a="1"/>
  <c r="K422" i="4" s="1"/>
  <c r="K425" i="4" a="1"/>
  <c r="K425" i="4" s="1"/>
  <c r="K397" i="4" a="1"/>
  <c r="K397" i="4" s="1"/>
  <c r="K400" i="4" a="1"/>
  <c r="K400" i="4" s="1"/>
  <c r="K407" i="4" a="1"/>
  <c r="K407" i="4" s="1"/>
  <c r="K410" i="4" a="1"/>
  <c r="K410" i="4" s="1"/>
  <c r="K413" i="4" a="1"/>
  <c r="K413" i="4" s="1"/>
  <c r="K416" i="4" a="1"/>
  <c r="K416" i="4" s="1"/>
  <c r="K423" i="4" a="1"/>
  <c r="K423" i="4" s="1"/>
  <c r="K883" i="4" a="1"/>
  <c r="K883" i="4" s="1"/>
  <c r="K886" i="4" a="1"/>
  <c r="K886" i="4" s="1"/>
  <c r="K890" i="4" a="1"/>
  <c r="K890" i="4" s="1"/>
  <c r="K893" i="4" a="1"/>
  <c r="K893" i="4" s="1"/>
  <c r="K897" i="4" a="1"/>
  <c r="K897" i="4" s="1"/>
  <c r="K904" i="4" a="1"/>
  <c r="K904" i="4" s="1"/>
  <c r="K908" i="4" a="1"/>
  <c r="K908" i="4" s="1"/>
  <c r="K912" i="4" a="1"/>
  <c r="K912" i="4" s="1"/>
  <c r="K884" i="4" a="1"/>
  <c r="K884" i="4" s="1"/>
  <c r="K887" i="4" a="1"/>
  <c r="K887" i="4" s="1"/>
  <c r="K891" i="4" a="1"/>
  <c r="K891" i="4" s="1"/>
  <c r="K894" i="4" a="1"/>
  <c r="K894" i="4" s="1"/>
  <c r="K898" i="4" a="1"/>
  <c r="K898" i="4" s="1"/>
  <c r="K901" i="4" a="1"/>
  <c r="K901" i="4" s="1"/>
  <c r="K905" i="4" a="1"/>
  <c r="K905" i="4" s="1"/>
  <c r="K909" i="4" a="1"/>
  <c r="K909" i="4" s="1"/>
  <c r="K888" i="4" a="1"/>
  <c r="K888" i="4" s="1"/>
  <c r="K892" i="4" a="1"/>
  <c r="K892" i="4" s="1"/>
  <c r="K895" i="4" a="1"/>
  <c r="K895" i="4" s="1"/>
  <c r="K899" i="4" a="1"/>
  <c r="K899" i="4" s="1"/>
  <c r="K902" i="4" a="1"/>
  <c r="K902" i="4" s="1"/>
  <c r="K906" i="4" a="1"/>
  <c r="K906" i="4" s="1"/>
  <c r="K910" i="4" a="1"/>
  <c r="K910" i="4" s="1"/>
  <c r="K882" i="4" a="1"/>
  <c r="K882" i="4" s="1"/>
  <c r="K885" i="4" a="1"/>
  <c r="K885" i="4" s="1"/>
  <c r="K889" i="4" a="1"/>
  <c r="K889" i="4" s="1"/>
  <c r="K896" i="4" a="1"/>
  <c r="K896" i="4" s="1"/>
  <c r="K900" i="4" a="1"/>
  <c r="K900" i="4" s="1"/>
  <c r="K903" i="4" a="1"/>
  <c r="K903" i="4" s="1"/>
  <c r="K907" i="4" a="1"/>
  <c r="K907" i="4" s="1"/>
  <c r="K911" i="4" a="1"/>
  <c r="K911" i="4" s="1"/>
  <c r="K1370" i="4" a="1"/>
  <c r="K1370" i="4" s="1"/>
  <c r="K1373" i="4" a="1"/>
  <c r="K1373" i="4" s="1"/>
  <c r="K1377" i="4" a="1"/>
  <c r="K1377" i="4" s="1"/>
  <c r="K1384" i="4" a="1"/>
  <c r="K1384" i="4" s="1"/>
  <c r="K1388" i="4" a="1"/>
  <c r="K1388" i="4" s="1"/>
  <c r="K1391" i="4" a="1"/>
  <c r="K1391" i="4" s="1"/>
  <c r="K1395" i="4" a="1"/>
  <c r="K1395" i="4" s="1"/>
  <c r="K1398" i="4" a="1"/>
  <c r="K1398" i="4" s="1"/>
  <c r="K1371" i="4" a="1"/>
  <c r="K1371" i="4" s="1"/>
  <c r="K1374" i="4" a="1"/>
  <c r="K1374" i="4" s="1"/>
  <c r="K1378" i="4" a="1"/>
  <c r="K1378" i="4" s="1"/>
  <c r="K1381" i="4" a="1"/>
  <c r="K1381" i="4" s="1"/>
  <c r="K1385" i="4" a="1"/>
  <c r="K1385" i="4" s="1"/>
  <c r="K1392" i="4" a="1"/>
  <c r="K1392" i="4" s="1"/>
  <c r="K1396" i="4" a="1"/>
  <c r="K1396" i="4" s="1"/>
  <c r="K1399" i="4" a="1"/>
  <c r="K1399" i="4" s="1"/>
  <c r="K1372" i="4" a="1"/>
  <c r="K1372" i="4" s="1"/>
  <c r="K1375" i="4" a="1"/>
  <c r="K1375" i="4" s="1"/>
  <c r="K1379" i="4" a="1"/>
  <c r="K1379" i="4" s="1"/>
  <c r="K1382" i="4" a="1"/>
  <c r="K1382" i="4" s="1"/>
  <c r="K1386" i="4" a="1"/>
  <c r="K1386" i="4" s="1"/>
  <c r="K1389" i="4" a="1"/>
  <c r="K1389" i="4" s="1"/>
  <c r="K1393" i="4" a="1"/>
  <c r="K1393" i="4" s="1"/>
  <c r="K1376" i="4" a="1"/>
  <c r="K1376" i="4" s="1"/>
  <c r="K1380" i="4" a="1"/>
  <c r="K1380" i="4" s="1"/>
  <c r="K1383" i="4" a="1"/>
  <c r="K1383" i="4" s="1"/>
  <c r="K1387" i="4" a="1"/>
  <c r="K1387" i="4" s="1"/>
  <c r="K1390" i="4" a="1"/>
  <c r="K1390" i="4" s="1"/>
  <c r="K1394" i="4" a="1"/>
  <c r="K1394" i="4" s="1"/>
  <c r="K1397" i="4" a="1"/>
  <c r="K1397" i="4" s="1"/>
  <c r="K305" i="4" a="1"/>
  <c r="K305" i="4" s="1"/>
  <c r="K308" i="4" a="1"/>
  <c r="K308" i="4" s="1"/>
  <c r="K312" i="4" a="1"/>
  <c r="K312" i="4" s="1"/>
  <c r="K319" i="4" a="1"/>
  <c r="K319" i="4" s="1"/>
  <c r="K323" i="4" a="1"/>
  <c r="K323" i="4" s="1"/>
  <c r="K326" i="4" a="1"/>
  <c r="K326" i="4" s="1"/>
  <c r="K330" i="4" a="1"/>
  <c r="K330" i="4" s="1"/>
  <c r="K333" i="4" a="1"/>
  <c r="K333" i="4" s="1"/>
  <c r="K306" i="4" a="1"/>
  <c r="K306" i="4" s="1"/>
  <c r="K309" i="4" a="1"/>
  <c r="K309" i="4" s="1"/>
  <c r="K313" i="4" a="1"/>
  <c r="K313" i="4" s="1"/>
  <c r="K316" i="4" a="1"/>
  <c r="K316" i="4" s="1"/>
  <c r="K320" i="4" a="1"/>
  <c r="K320" i="4" s="1"/>
  <c r="K327" i="4" a="1"/>
  <c r="K327" i="4" s="1"/>
  <c r="K331" i="4" a="1"/>
  <c r="K331" i="4" s="1"/>
  <c r="K334" i="4" a="1"/>
  <c r="K334" i="4" s="1"/>
  <c r="K307" i="4" a="1"/>
  <c r="K307" i="4" s="1"/>
  <c r="K310" i="4" a="1"/>
  <c r="K310" i="4" s="1"/>
  <c r="K314" i="4" a="1"/>
  <c r="K314" i="4" s="1"/>
  <c r="K317" i="4" a="1"/>
  <c r="K317" i="4" s="1"/>
  <c r="K321" i="4" a="1"/>
  <c r="K321" i="4" s="1"/>
  <c r="K324" i="4" a="1"/>
  <c r="K324" i="4" s="1"/>
  <c r="K328" i="4" a="1"/>
  <c r="K328" i="4" s="1"/>
  <c r="K304" i="4" a="1"/>
  <c r="K304" i="4" s="1"/>
  <c r="K311" i="4" a="1"/>
  <c r="K311" i="4" s="1"/>
  <c r="K315" i="4" a="1"/>
  <c r="K315" i="4" s="1"/>
  <c r="K318" i="4" a="1"/>
  <c r="K318" i="4" s="1"/>
  <c r="K322" i="4" a="1"/>
  <c r="K322" i="4" s="1"/>
  <c r="K325" i="4" a="1"/>
  <c r="K325" i="4" s="1"/>
  <c r="K329" i="4" a="1"/>
  <c r="K329" i="4" s="1"/>
  <c r="K332" i="4" a="1"/>
  <c r="K332" i="4" s="1"/>
  <c r="K793" i="4" a="1"/>
  <c r="K793" i="4" s="1"/>
  <c r="K797" i="4" a="1"/>
  <c r="K797" i="4" s="1"/>
  <c r="K804" i="4" a="1"/>
  <c r="K804" i="4" s="1"/>
  <c r="K807" i="4" a="1"/>
  <c r="K807" i="4" s="1"/>
  <c r="K811" i="4" a="1"/>
  <c r="K811" i="4" s="1"/>
  <c r="K814" i="4" a="1"/>
  <c r="K814" i="4" s="1"/>
  <c r="K818" i="4" a="1"/>
  <c r="K818" i="4" s="1"/>
  <c r="K791" i="4" a="1"/>
  <c r="K791" i="4" s="1"/>
  <c r="K794" i="4" a="1"/>
  <c r="K794" i="4" s="1"/>
  <c r="K798" i="4" a="1"/>
  <c r="K798" i="4" s="1"/>
  <c r="K801" i="4" a="1"/>
  <c r="K801" i="4" s="1"/>
  <c r="K808" i="4" a="1"/>
  <c r="K808" i="4" s="1"/>
  <c r="K812" i="4" a="1"/>
  <c r="K812" i="4" s="1"/>
  <c r="K815" i="4" a="1"/>
  <c r="K815" i="4" s="1"/>
  <c r="K819" i="4" a="1"/>
  <c r="K819" i="4" s="1"/>
  <c r="K792" i="4" a="1"/>
  <c r="K792" i="4" s="1"/>
  <c r="K795" i="4" a="1"/>
  <c r="K795" i="4" s="1"/>
  <c r="K799" i="4" a="1"/>
  <c r="K799" i="4" s="1"/>
  <c r="K802" i="4" a="1"/>
  <c r="K802" i="4" s="1"/>
  <c r="K805" i="4" a="1"/>
  <c r="K805" i="4" s="1"/>
  <c r="K809" i="4" a="1"/>
  <c r="K809" i="4" s="1"/>
  <c r="K816" i="4" a="1"/>
  <c r="K816" i="4" s="1"/>
  <c r="K820" i="4" a="1"/>
  <c r="K820" i="4" s="1"/>
  <c r="K796" i="4" a="1"/>
  <c r="K796" i="4" s="1"/>
  <c r="K800" i="4" a="1"/>
  <c r="K800" i="4" s="1"/>
  <c r="K803" i="4" a="1"/>
  <c r="K803" i="4" s="1"/>
  <c r="K806" i="4" a="1"/>
  <c r="K806" i="4" s="1"/>
  <c r="K810" i="4" a="1"/>
  <c r="K810" i="4" s="1"/>
  <c r="K813" i="4" a="1"/>
  <c r="K813" i="4" s="1"/>
  <c r="K817" i="4" a="1"/>
  <c r="K817" i="4" s="1"/>
  <c r="K1280" i="4" a="1"/>
  <c r="K1280" i="4" s="1"/>
  <c r="K1284" i="4" a="1"/>
  <c r="K1284" i="4" s="1"/>
  <c r="K1287" i="4" a="1"/>
  <c r="K1287" i="4" s="1"/>
  <c r="K1291" i="4" a="1"/>
  <c r="K1291" i="4" s="1"/>
  <c r="K1294" i="4" a="1"/>
  <c r="K1294" i="4" s="1"/>
  <c r="K1297" i="4" a="1"/>
  <c r="K1297" i="4" s="1"/>
  <c r="K1303" i="4" a="1"/>
  <c r="K1303" i="4" s="1"/>
  <c r="K1307" i="4" a="1"/>
  <c r="K1307" i="4" s="1"/>
  <c r="K1281" i="4" a="1"/>
  <c r="K1281" i="4" s="1"/>
  <c r="K1288" i="4" a="1"/>
  <c r="K1288" i="4" s="1"/>
  <c r="K1292" i="4" a="1"/>
  <c r="K1292" i="4" s="1"/>
  <c r="K1298" i="4" a="1"/>
  <c r="K1298" i="4" s="1"/>
  <c r="K1301" i="4" a="1"/>
  <c r="K1301" i="4" s="1"/>
  <c r="K1304" i="4" a="1"/>
  <c r="K1304" i="4" s="1"/>
  <c r="K1308" i="4" a="1"/>
  <c r="K1308" i="4" s="1"/>
  <c r="K1278" i="4" a="1"/>
  <c r="K1278" i="4" s="1"/>
  <c r="K1282" i="4" a="1"/>
  <c r="K1282" i="4" s="1"/>
  <c r="K1285" i="4" a="1"/>
  <c r="K1285" i="4" s="1"/>
  <c r="K1289" i="4" a="1"/>
  <c r="K1289" i="4" s="1"/>
  <c r="K1295" i="4" a="1"/>
  <c r="K1295" i="4" s="1"/>
  <c r="K1299" i="4" a="1"/>
  <c r="K1299" i="4" s="1"/>
  <c r="K1302" i="4" a="1"/>
  <c r="K1302" i="4" s="1"/>
  <c r="K1305" i="4" a="1"/>
  <c r="K1305" i="4" s="1"/>
  <c r="K1279" i="4" a="1"/>
  <c r="K1279" i="4" s="1"/>
  <c r="K1283" i="4" a="1"/>
  <c r="K1283" i="4" s="1"/>
  <c r="K1286" i="4" a="1"/>
  <c r="K1286" i="4" s="1"/>
  <c r="K1290" i="4" a="1"/>
  <c r="K1290" i="4" s="1"/>
  <c r="K1293" i="4" a="1"/>
  <c r="K1293" i="4" s="1"/>
  <c r="K1296" i="4" a="1"/>
  <c r="K1296" i="4" s="1"/>
  <c r="K1300" i="4" a="1"/>
  <c r="K1300" i="4" s="1"/>
  <c r="K1306" i="4" a="1"/>
  <c r="K1306" i="4" s="1"/>
  <c r="K1765" i="4" a="1"/>
  <c r="K1765" i="4" s="1"/>
  <c r="K1768" i="4" a="1"/>
  <c r="K1768" i="4" s="1"/>
  <c r="K1775" i="4" a="1"/>
  <c r="K1775" i="4" s="1"/>
  <c r="K1778" i="4" a="1"/>
  <c r="K1778" i="4" s="1"/>
  <c r="K1781" i="4" a="1"/>
  <c r="K1781" i="4" s="1"/>
  <c r="K1784" i="4" a="1"/>
  <c r="K1784" i="4" s="1"/>
  <c r="K1791" i="4" a="1"/>
  <c r="K1791" i="4" s="1"/>
  <c r="K1793" i="4" a="1"/>
  <c r="K1793" i="4" s="1"/>
  <c r="K1795" i="4" a="1"/>
  <c r="K1795" i="4" s="1"/>
  <c r="K1766" i="4" a="1"/>
  <c r="K1766" i="4" s="1"/>
  <c r="K1769" i="4" a="1"/>
  <c r="K1769" i="4" s="1"/>
  <c r="K1772" i="4" a="1"/>
  <c r="K1772" i="4" s="1"/>
  <c r="K1779" i="4" a="1"/>
  <c r="K1779" i="4" s="1"/>
  <c r="K1782" i="4" a="1"/>
  <c r="K1782" i="4" s="1"/>
  <c r="K1785" i="4" a="1"/>
  <c r="K1785" i="4" s="1"/>
  <c r="K1788" i="4" a="1"/>
  <c r="K1788" i="4" s="1"/>
  <c r="K1767" i="4" a="1"/>
  <c r="K1767" i="4" s="1"/>
  <c r="K1770" i="4" a="1"/>
  <c r="K1770" i="4" s="1"/>
  <c r="K1773" i="4" a="1"/>
  <c r="K1773" i="4" s="1"/>
  <c r="K1776" i="4" a="1"/>
  <c r="K1776" i="4" s="1"/>
  <c r="K1783" i="4" a="1"/>
  <c r="K1783" i="4" s="1"/>
  <c r="K1786" i="4" a="1"/>
  <c r="K1786" i="4" s="1"/>
  <c r="K1789" i="4" a="1"/>
  <c r="K1789" i="4" s="1"/>
  <c r="K1792" i="4" a="1"/>
  <c r="K1792" i="4" s="1"/>
  <c r="K1794" i="4" a="1"/>
  <c r="K1794" i="4" s="1"/>
  <c r="K1771" i="4" a="1"/>
  <c r="K1771" i="4" s="1"/>
  <c r="K1774" i="4" a="1"/>
  <c r="K1774" i="4" s="1"/>
  <c r="K1777" i="4" a="1"/>
  <c r="K1777" i="4" s="1"/>
  <c r="K1780" i="4" a="1"/>
  <c r="K1780" i="4" s="1"/>
  <c r="K1787" i="4" a="1"/>
  <c r="K1787" i="4" s="1"/>
  <c r="K1790" i="4" a="1"/>
  <c r="K1790" i="4" s="1"/>
  <c r="K92" i="4" a="1"/>
  <c r="K92" i="4" s="1"/>
  <c r="K96" i="4" a="1"/>
  <c r="K96" i="4" s="1"/>
  <c r="K103" i="4" a="1"/>
  <c r="K103" i="4" s="1"/>
  <c r="K107" i="4" a="1"/>
  <c r="K107" i="4" s="1"/>
  <c r="K110" i="4" a="1"/>
  <c r="K110" i="4" s="1"/>
  <c r="K114" i="4" a="1"/>
  <c r="K114" i="4" s="1"/>
  <c r="K117" i="4" a="1"/>
  <c r="K117" i="4" s="1"/>
  <c r="K90" i="4" a="1"/>
  <c r="K90" i="4" s="1"/>
  <c r="K93" i="4" a="1"/>
  <c r="K93" i="4" s="1"/>
  <c r="K97" i="4" a="1"/>
  <c r="K97" i="4" s="1"/>
  <c r="K100" i="4" a="1"/>
  <c r="K100" i="4" s="1"/>
  <c r="K104" i="4" a="1"/>
  <c r="K104" i="4" s="1"/>
  <c r="K111" i="4" a="1"/>
  <c r="K111" i="4" s="1"/>
  <c r="K115" i="4" a="1"/>
  <c r="K115" i="4" s="1"/>
  <c r="K118" i="4" a="1"/>
  <c r="K118" i="4" s="1"/>
  <c r="K91" i="4" a="1"/>
  <c r="K91" i="4" s="1"/>
  <c r="K94" i="4" a="1"/>
  <c r="K94" i="4" s="1"/>
  <c r="K98" i="4" a="1"/>
  <c r="K98" i="4" s="1"/>
  <c r="K101" i="4" a="1"/>
  <c r="K101" i="4" s="1"/>
  <c r="K105" i="4" a="1"/>
  <c r="K105" i="4" s="1"/>
  <c r="K108" i="4" a="1"/>
  <c r="K108" i="4" s="1"/>
  <c r="K112" i="4" a="1"/>
  <c r="K112" i="4" s="1"/>
  <c r="K119" i="4" a="1"/>
  <c r="K119" i="4" s="1"/>
  <c r="K95" i="4" a="1"/>
  <c r="K95" i="4" s="1"/>
  <c r="K99" i="4" a="1"/>
  <c r="K99" i="4" s="1"/>
  <c r="K102" i="4" a="1"/>
  <c r="K102" i="4" s="1"/>
  <c r="K106" i="4" a="1"/>
  <c r="K106" i="4" s="1"/>
  <c r="K109" i="4" a="1"/>
  <c r="K109" i="4" s="1"/>
  <c r="K113" i="4" a="1"/>
  <c r="K113" i="4" s="1"/>
  <c r="K116" i="4" a="1"/>
  <c r="K116" i="4" s="1"/>
  <c r="K120" i="4" a="1"/>
  <c r="K120" i="4" s="1"/>
  <c r="K32" i="4" a="1"/>
  <c r="K32" i="4" s="1"/>
  <c r="K35" i="4" a="1"/>
  <c r="K35" i="4" s="1"/>
  <c r="K39" i="4" a="1"/>
  <c r="K39" i="4" s="1"/>
  <c r="K42" i="4" a="1"/>
  <c r="K42" i="4" s="1"/>
  <c r="K46" i="4" a="1"/>
  <c r="K46" i="4" s="1"/>
  <c r="K53" i="4" a="1"/>
  <c r="K53" i="4" s="1"/>
  <c r="K57" i="4" a="1"/>
  <c r="K57" i="4" s="1"/>
  <c r="K29" i="4" a="1"/>
  <c r="K29" i="4" s="1"/>
  <c r="K33" i="4" a="1"/>
  <c r="K33" i="4" s="1"/>
  <c r="K36" i="4" a="1"/>
  <c r="K36" i="4" s="1"/>
  <c r="K40" i="4" a="1"/>
  <c r="K40" i="4" s="1"/>
  <c r="K43" i="4" a="1"/>
  <c r="K43" i="4" s="1"/>
  <c r="K47" i="4" a="1"/>
  <c r="K47" i="4" s="1"/>
  <c r="K50" i="4" a="1"/>
  <c r="K50" i="4" s="1"/>
  <c r="K54" i="4" a="1"/>
  <c r="K54" i="4" s="1"/>
  <c r="K30" i="4" a="1"/>
  <c r="K30" i="4" s="1"/>
  <c r="K37" i="4" a="1"/>
  <c r="K37" i="4" s="1"/>
  <c r="K41" i="4" a="1"/>
  <c r="K41" i="4" s="1"/>
  <c r="K44" i="4" a="1"/>
  <c r="K44" i="4" s="1"/>
  <c r="K48" i="4" a="1"/>
  <c r="K48" i="4" s="1"/>
  <c r="K51" i="4" a="1"/>
  <c r="K51" i="4" s="1"/>
  <c r="K55" i="4" a="1"/>
  <c r="K55" i="4" s="1"/>
  <c r="K58" i="4" a="1"/>
  <c r="K58" i="4" s="1"/>
  <c r="K31" i="4" a="1"/>
  <c r="K31" i="4" s="1"/>
  <c r="K34" i="4" a="1"/>
  <c r="K34" i="4" s="1"/>
  <c r="K38" i="4" a="1"/>
  <c r="K38" i="4" s="1"/>
  <c r="K45" i="4" a="1"/>
  <c r="K45" i="4" s="1"/>
  <c r="K49" i="4" a="1"/>
  <c r="K49" i="4" s="1"/>
  <c r="K52" i="4" a="1"/>
  <c r="K52" i="4" s="1"/>
  <c r="K56" i="4" a="1"/>
  <c r="K56" i="4" s="1"/>
  <c r="K59" i="4" a="1"/>
  <c r="K59" i="4" s="1"/>
  <c r="K517" i="4" a="1"/>
  <c r="K517" i="4" s="1"/>
  <c r="K521" i="4" a="1"/>
  <c r="K521" i="4" s="1"/>
  <c r="K524" i="4" a="1"/>
  <c r="K524" i="4" s="1"/>
  <c r="K527" i="4" a="1"/>
  <c r="K527" i="4" s="1"/>
  <c r="K533" i="4" a="1"/>
  <c r="K533" i="4" s="1"/>
  <c r="K537" i="4" a="1"/>
  <c r="K537" i="4" s="1"/>
  <c r="K540" i="4" a="1"/>
  <c r="K540" i="4" s="1"/>
  <c r="K543" i="4" a="1"/>
  <c r="K543" i="4" s="1"/>
  <c r="K518" i="4" a="1"/>
  <c r="K518" i="4" s="1"/>
  <c r="K522" i="4" a="1"/>
  <c r="K522" i="4" s="1"/>
  <c r="K528" i="4" a="1"/>
  <c r="K528" i="4" s="1"/>
  <c r="K531" i="4" a="1"/>
  <c r="K531" i="4" s="1"/>
  <c r="K534" i="4" a="1"/>
  <c r="K534" i="4" s="1"/>
  <c r="K538" i="4" a="1"/>
  <c r="K538" i="4" s="1"/>
  <c r="K544" i="4" a="1"/>
  <c r="K544" i="4" s="1"/>
  <c r="K547" i="4" a="1"/>
  <c r="K547" i="4" s="1"/>
  <c r="K519" i="4" a="1"/>
  <c r="K519" i="4" s="1"/>
  <c r="K525" i="4" a="1"/>
  <c r="K525" i="4" s="1"/>
  <c r="K529" i="4" a="1"/>
  <c r="K529" i="4" s="1"/>
  <c r="K532" i="4" a="1"/>
  <c r="K532" i="4" s="1"/>
  <c r="K535" i="4" a="1"/>
  <c r="K535" i="4" s="1"/>
  <c r="K541" i="4" a="1"/>
  <c r="K541" i="4" s="1"/>
  <c r="K545" i="4" a="1"/>
  <c r="K545" i="4" s="1"/>
  <c r="K520" i="4" a="1"/>
  <c r="K520" i="4" s="1"/>
  <c r="K523" i="4" a="1"/>
  <c r="K523" i="4" s="1"/>
  <c r="K526" i="4" a="1"/>
  <c r="K526" i="4" s="1"/>
  <c r="K530" i="4" a="1"/>
  <c r="K530" i="4" s="1"/>
  <c r="K536" i="4" a="1"/>
  <c r="K536" i="4" s="1"/>
  <c r="K539" i="4" a="1"/>
  <c r="K539" i="4" s="1"/>
  <c r="K542" i="4" a="1"/>
  <c r="K542" i="4" s="1"/>
  <c r="K546" i="4" a="1"/>
  <c r="K546" i="4" s="1"/>
  <c r="K1008" i="4" a="1"/>
  <c r="K1008" i="4" s="1"/>
  <c r="K1011" i="4" a="1"/>
  <c r="K1011" i="4" s="1"/>
  <c r="K1014" i="4" a="1"/>
  <c r="K1014" i="4" s="1"/>
  <c r="K1018" i="4" a="1"/>
  <c r="K1018" i="4" s="1"/>
  <c r="K1024" i="4" a="1"/>
  <c r="K1024" i="4" s="1"/>
  <c r="K1029" i="4" a="1"/>
  <c r="K1029" i="4" s="1"/>
  <c r="K1005" i="4" a="1"/>
  <c r="K1005" i="4" s="1"/>
  <c r="K1009" i="4" a="1"/>
  <c r="K1009" i="4" s="1"/>
  <c r="K1012" i="4" a="1"/>
  <c r="K1012" i="4" s="1"/>
  <c r="K1015" i="4" a="1"/>
  <c r="K1015" i="4" s="1"/>
  <c r="K1021" i="4" a="1"/>
  <c r="K1021" i="4" s="1"/>
  <c r="K1027" i="4" a="1"/>
  <c r="K1027" i="4" s="1"/>
  <c r="K1030" i="4" a="1"/>
  <c r="K1030" i="4" s="1"/>
  <c r="K1033" i="4" a="1"/>
  <c r="K1033" i="4" s="1"/>
  <c r="K1006" i="4" a="1"/>
  <c r="K1006" i="4" s="1"/>
  <c r="K1010" i="4" a="1"/>
  <c r="K1010" i="4" s="1"/>
  <c r="K1016" i="4" a="1"/>
  <c r="K1016" i="4" s="1"/>
  <c r="K1019" i="4" a="1"/>
  <c r="K1019" i="4" s="1"/>
  <c r="K1022" i="4" a="1"/>
  <c r="K1022" i="4" s="1"/>
  <c r="K1025" i="4" a="1"/>
  <c r="K1025" i="4" s="1"/>
  <c r="K1028" i="4" a="1"/>
  <c r="K1028" i="4" s="1"/>
  <c r="K1031" i="4" a="1"/>
  <c r="K1031" i="4" s="1"/>
  <c r="K1034" i="4" a="1"/>
  <c r="K1034" i="4" s="1"/>
  <c r="K1007" i="4" a="1"/>
  <c r="K1007" i="4" s="1"/>
  <c r="K1013" i="4" a="1"/>
  <c r="K1013" i="4" s="1"/>
  <c r="K1017" i="4" a="1"/>
  <c r="K1017" i="4" s="1"/>
  <c r="K1020" i="4" a="1"/>
  <c r="K1020" i="4" s="1"/>
  <c r="K1023" i="4" a="1"/>
  <c r="K1023" i="4" s="1"/>
  <c r="K1026" i="4" a="1"/>
  <c r="K1026" i="4" s="1"/>
  <c r="K1032" i="4" a="1"/>
  <c r="K1032" i="4" s="1"/>
  <c r="K1491" i="4" a="1"/>
  <c r="K1491" i="4" s="1"/>
  <c r="K1494" i="4" a="1"/>
  <c r="K1494" i="4" s="1"/>
  <c r="K1498" i="4" a="1"/>
  <c r="K1498" i="4" s="1"/>
  <c r="K1501" i="4" a="1"/>
  <c r="K1501" i="4" s="1"/>
  <c r="K1505" i="4" a="1"/>
  <c r="K1505" i="4" s="1"/>
  <c r="K1512" i="4" a="1"/>
  <c r="K1512" i="4" s="1"/>
  <c r="K1515" i="4" a="1"/>
  <c r="K1515" i="4" s="1"/>
  <c r="K1518" i="4" a="1"/>
  <c r="K1518" i="4" s="1"/>
  <c r="K1492" i="4" a="1"/>
  <c r="K1492" i="4" s="1"/>
  <c r="K1495" i="4" a="1"/>
  <c r="K1495" i="4" s="1"/>
  <c r="K1499" i="4" a="1"/>
  <c r="K1499" i="4" s="1"/>
  <c r="K1502" i="4" a="1"/>
  <c r="K1502" i="4" s="1"/>
  <c r="K1506" i="4" a="1"/>
  <c r="K1506" i="4" s="1"/>
  <c r="K1509" i="4" a="1"/>
  <c r="K1509" i="4" s="1"/>
  <c r="K1513" i="4" a="1"/>
  <c r="K1513" i="4" s="1"/>
  <c r="K1516" i="4" a="1"/>
  <c r="K1516" i="4" s="1"/>
  <c r="K1519" i="4" a="1"/>
  <c r="K1519" i="4" s="1"/>
  <c r="K1496" i="4" a="1"/>
  <c r="K1496" i="4" s="1"/>
  <c r="K1500" i="4" a="1"/>
  <c r="K1500" i="4" s="1"/>
  <c r="K1503" i="4" a="1"/>
  <c r="K1503" i="4" s="1"/>
  <c r="K1507" i="4" a="1"/>
  <c r="K1507" i="4" s="1"/>
  <c r="K1510" i="4" a="1"/>
  <c r="K1510" i="4" s="1"/>
  <c r="K1514" i="4" a="1"/>
  <c r="K1514" i="4" s="1"/>
  <c r="K1520" i="4" a="1"/>
  <c r="K1520" i="4" s="1"/>
  <c r="K1490" i="4" a="1"/>
  <c r="K1490" i="4" s="1"/>
  <c r="K1493" i="4" a="1"/>
  <c r="K1493" i="4" s="1"/>
  <c r="K1497" i="4" a="1"/>
  <c r="K1497" i="4" s="1"/>
  <c r="K1504" i="4" a="1"/>
  <c r="K1504" i="4" s="1"/>
  <c r="K1508" i="4" a="1"/>
  <c r="K1508" i="4" s="1"/>
  <c r="K1511" i="4" a="1"/>
  <c r="K1511" i="4" s="1"/>
  <c r="K1517" i="4" a="1"/>
  <c r="K1517" i="4" s="1"/>
  <c r="K427" i="4" a="1"/>
  <c r="K427" i="4" s="1"/>
  <c r="K430" i="4" a="1"/>
  <c r="K430" i="4" s="1"/>
  <c r="K433" i="4" a="1"/>
  <c r="K433" i="4" s="1"/>
  <c r="K436" i="4" a="1"/>
  <c r="K436" i="4" s="1"/>
  <c r="K446" i="4" a="1"/>
  <c r="K446" i="4" s="1"/>
  <c r="K449" i="4" a="1"/>
  <c r="K449" i="4" s="1"/>
  <c r="K454" i="4" a="1"/>
  <c r="K454" i="4" s="1"/>
  <c r="K431" i="4" a="1"/>
  <c r="K431" i="4" s="1"/>
  <c r="K434" i="4" a="1"/>
  <c r="K434" i="4" s="1"/>
  <c r="K437" i="4" a="1"/>
  <c r="K437" i="4" s="1"/>
  <c r="K440" i="4" a="1"/>
  <c r="K440" i="4" s="1"/>
  <c r="K442" i="4" a="1"/>
  <c r="K442" i="4" s="1"/>
  <c r="K444" i="4" a="1"/>
  <c r="K444" i="4" s="1"/>
  <c r="K447" i="4" a="1"/>
  <c r="K447" i="4" s="1"/>
  <c r="K452" i="4" a="1"/>
  <c r="K452" i="4" s="1"/>
  <c r="K455" i="4" a="1"/>
  <c r="K455" i="4" s="1"/>
  <c r="K428" i="4" a="1"/>
  <c r="K428" i="4" s="1"/>
  <c r="K435" i="4" a="1"/>
  <c r="K435" i="4" s="1"/>
  <c r="K438" i="4" a="1"/>
  <c r="K438" i="4" s="1"/>
  <c r="K445" i="4" a="1"/>
  <c r="K445" i="4" s="1"/>
  <c r="K450" i="4" a="1"/>
  <c r="K450" i="4" s="1"/>
  <c r="K453" i="4" a="1"/>
  <c r="K453" i="4" s="1"/>
  <c r="K426" i="4" a="1"/>
  <c r="K426" i="4" s="1"/>
  <c r="K429" i="4" a="1"/>
  <c r="K429" i="4" s="1"/>
  <c r="K432" i="4" a="1"/>
  <c r="K432" i="4" s="1"/>
  <c r="K439" i="4" a="1"/>
  <c r="K439" i="4" s="1"/>
  <c r="K441" i="4" a="1"/>
  <c r="K441" i="4" s="1"/>
  <c r="K443" i="4" a="1"/>
  <c r="K443" i="4" s="1"/>
  <c r="K448" i="4" a="1"/>
  <c r="K448" i="4" s="1"/>
  <c r="K451" i="4" a="1"/>
  <c r="K451" i="4" s="1"/>
  <c r="K916" i="4" a="1"/>
  <c r="K916" i="4" s="1"/>
  <c r="K919" i="4" a="1"/>
  <c r="K919" i="4" s="1"/>
  <c r="K923" i="4" a="1"/>
  <c r="K923" i="4" s="1"/>
  <c r="K930" i="4" a="1"/>
  <c r="K930" i="4" s="1"/>
  <c r="K934" i="4" a="1"/>
  <c r="K934" i="4" s="1"/>
  <c r="K937" i="4" a="1"/>
  <c r="K937" i="4" s="1"/>
  <c r="K941" i="4" a="1"/>
  <c r="K941" i="4" s="1"/>
  <c r="K913" i="4" a="1"/>
  <c r="K913" i="4" s="1"/>
  <c r="K917" i="4" a="1"/>
  <c r="K917" i="4" s="1"/>
  <c r="K920" i="4" a="1"/>
  <c r="K920" i="4" s="1"/>
  <c r="K924" i="4" a="1"/>
  <c r="K924" i="4" s="1"/>
  <c r="K927" i="4" a="1"/>
  <c r="K927" i="4" s="1"/>
  <c r="K931" i="4" a="1"/>
  <c r="K931" i="4" s="1"/>
  <c r="K938" i="4" a="1"/>
  <c r="K938" i="4" s="1"/>
  <c r="K942" i="4" a="1"/>
  <c r="K942" i="4" s="1"/>
  <c r="K914" i="4" a="1"/>
  <c r="K914" i="4" s="1"/>
  <c r="K918" i="4" a="1"/>
  <c r="K918" i="4" s="1"/>
  <c r="K921" i="4" a="1"/>
  <c r="K921" i="4" s="1"/>
  <c r="K925" i="4" a="1"/>
  <c r="K925" i="4" s="1"/>
  <c r="K928" i="4" a="1"/>
  <c r="K928" i="4" s="1"/>
  <c r="K932" i="4" a="1"/>
  <c r="K932" i="4" s="1"/>
  <c r="K935" i="4" a="1"/>
  <c r="K935" i="4" s="1"/>
  <c r="K939" i="4" a="1"/>
  <c r="K939" i="4" s="1"/>
  <c r="K915" i="4" a="1"/>
  <c r="K915" i="4" s="1"/>
  <c r="K922" i="4" a="1"/>
  <c r="K922" i="4" s="1"/>
  <c r="K926" i="4" a="1"/>
  <c r="K926" i="4" s="1"/>
  <c r="K929" i="4" a="1"/>
  <c r="K929" i="4" s="1"/>
  <c r="K933" i="4" a="1"/>
  <c r="K933" i="4" s="1"/>
  <c r="K936" i="4" a="1"/>
  <c r="K936" i="4" s="1"/>
  <c r="K940" i="4" a="1"/>
  <c r="K940" i="4" s="1"/>
  <c r="K943" i="4" a="1"/>
  <c r="K943" i="4" s="1"/>
  <c r="K1402" i="4" a="1"/>
  <c r="K1402" i="4" s="1"/>
  <c r="K1405" i="4" a="1"/>
  <c r="K1405" i="4" s="1"/>
  <c r="K1409" i="4" a="1"/>
  <c r="K1409" i="4" s="1"/>
  <c r="K1416" i="4" a="1"/>
  <c r="K1416" i="4" s="1"/>
  <c r="K1420" i="4" a="1"/>
  <c r="K1420" i="4" s="1"/>
  <c r="K1423" i="4" a="1"/>
  <c r="K1423" i="4" s="1"/>
  <c r="K1427" i="4" a="1"/>
  <c r="K1427" i="4" s="1"/>
  <c r="K1430" i="4" a="1"/>
  <c r="K1430" i="4" s="1"/>
  <c r="K1403" i="4" a="1"/>
  <c r="K1403" i="4" s="1"/>
  <c r="K1406" i="4" a="1"/>
  <c r="K1406" i="4" s="1"/>
  <c r="K1410" i="4" a="1"/>
  <c r="K1410" i="4" s="1"/>
  <c r="K1413" i="4" a="1"/>
  <c r="K1413" i="4" s="1"/>
  <c r="K1417" i="4" a="1"/>
  <c r="K1417" i="4" s="1"/>
  <c r="K1424" i="4" a="1"/>
  <c r="K1424" i="4" s="1"/>
  <c r="K1428" i="4" a="1"/>
  <c r="K1428" i="4" s="1"/>
  <c r="K1400" i="4" a="1"/>
  <c r="K1400" i="4" s="1"/>
  <c r="K1404" i="4" a="1"/>
  <c r="K1404" i="4" s="1"/>
  <c r="K1407" i="4" a="1"/>
  <c r="K1407" i="4" s="1"/>
  <c r="K1411" i="4" a="1"/>
  <c r="K1411" i="4" s="1"/>
  <c r="K1414" i="4" a="1"/>
  <c r="K1414" i="4" s="1"/>
  <c r="K1418" i="4" a="1"/>
  <c r="K1418" i="4" s="1"/>
  <c r="K1421" i="4" a="1"/>
  <c r="K1421" i="4" s="1"/>
  <c r="K1425" i="4" a="1"/>
  <c r="K1425" i="4" s="1"/>
  <c r="K1401" i="4" a="1"/>
  <c r="K1401" i="4" s="1"/>
  <c r="K1408" i="4" a="1"/>
  <c r="K1408" i="4" s="1"/>
  <c r="K1412" i="4" a="1"/>
  <c r="K1412" i="4" s="1"/>
  <c r="K1415" i="4" a="1"/>
  <c r="K1415" i="4" s="1"/>
  <c r="K1419" i="4" a="1"/>
  <c r="K1419" i="4" s="1"/>
  <c r="K1422" i="4" a="1"/>
  <c r="K1422" i="4" s="1"/>
  <c r="K1426" i="4" a="1"/>
  <c r="K1426" i="4" s="1"/>
  <c r="K1429" i="4" a="1"/>
  <c r="K1429" i="4" s="1"/>
  <c r="K216" i="4" a="1"/>
  <c r="K216" i="4" s="1"/>
  <c r="K220" i="4" a="1"/>
  <c r="K220" i="4" s="1"/>
  <c r="K223" i="4" a="1"/>
  <c r="K223" i="4" s="1"/>
  <c r="K227" i="4" a="1"/>
  <c r="K227" i="4" s="1"/>
  <c r="K230" i="4" a="1"/>
  <c r="K230" i="4" s="1"/>
  <c r="K234" i="4" a="1"/>
  <c r="K234" i="4" s="1"/>
  <c r="K237" i="4" a="1"/>
  <c r="K237" i="4" s="1"/>
  <c r="K241" i="4" a="1"/>
  <c r="K241" i="4" s="1"/>
  <c r="K213" i="4" a="1"/>
  <c r="K213" i="4" s="1"/>
  <c r="K217" i="4" a="1"/>
  <c r="K217" i="4" s="1"/>
  <c r="K224" i="4" a="1"/>
  <c r="K224" i="4" s="1"/>
  <c r="K228" i="4" a="1"/>
  <c r="K228" i="4" s="1"/>
  <c r="K231" i="4" a="1"/>
  <c r="K231" i="4" s="1"/>
  <c r="K235" i="4" a="1"/>
  <c r="K235" i="4" s="1"/>
  <c r="K238" i="4" a="1"/>
  <c r="K238" i="4" s="1"/>
  <c r="K242" i="4" a="1"/>
  <c r="K242" i="4" s="1"/>
  <c r="K214" i="4" a="1"/>
  <c r="K214" i="4" s="1"/>
  <c r="K218" i="4" a="1"/>
  <c r="K218" i="4" s="1"/>
  <c r="K221" i="4" a="1"/>
  <c r="K221" i="4" s="1"/>
  <c r="K225" i="4" a="1"/>
  <c r="K225" i="4" s="1"/>
  <c r="K232" i="4" a="1"/>
  <c r="K232" i="4" s="1"/>
  <c r="K236" i="4" a="1"/>
  <c r="K236" i="4" s="1"/>
  <c r="K239" i="4" a="1"/>
  <c r="K239" i="4" s="1"/>
  <c r="K215" i="4" a="1"/>
  <c r="K215" i="4" s="1"/>
  <c r="K219" i="4" a="1"/>
  <c r="K219" i="4" s="1"/>
  <c r="K222" i="4" a="1"/>
  <c r="K222" i="4" s="1"/>
  <c r="K226" i="4" a="1"/>
  <c r="K226" i="4" s="1"/>
  <c r="K229" i="4" a="1"/>
  <c r="K229" i="4" s="1"/>
  <c r="K233" i="4" a="1"/>
  <c r="K233" i="4" s="1"/>
  <c r="K240" i="4" a="1"/>
  <c r="K240" i="4" s="1"/>
</calcChain>
</file>

<file path=xl/sharedStrings.xml><?xml version="1.0" encoding="utf-8"?>
<sst xmlns="http://schemas.openxmlformats.org/spreadsheetml/2006/main" count="70" uniqueCount="66">
  <si>
    <t>Date</t>
  </si>
  <si>
    <t>BELUGA_RIVER 222-24</t>
  </si>
  <si>
    <t>1PDP</t>
  </si>
  <si>
    <t>BELUGA_RIVER 244-23</t>
  </si>
  <si>
    <t>BELUGA_RIVER 212-26</t>
  </si>
  <si>
    <t>BELUGA_RIVER 241-34T</t>
  </si>
  <si>
    <t>BELUGA_RIVER 212-35</t>
  </si>
  <si>
    <t>BELUGA_RIVER 214-26</t>
  </si>
  <si>
    <t>BELUGA_RIVER 232-23</t>
  </si>
  <si>
    <t>BELUGA_RIVER 243-34</t>
  </si>
  <si>
    <t>BELUGA_RIVER 211-26</t>
  </si>
  <si>
    <t>BELUGA_RIVER 224-23T</t>
  </si>
  <si>
    <t>BELUGA_RIVER 242-04</t>
  </si>
  <si>
    <t>BRU 223-24 BP1 (formerly BR E6 BP1)</t>
  </si>
  <si>
    <t>BELUGA_RIVER 232-26</t>
  </si>
  <si>
    <t>BELUGA_RIVER 212-35T</t>
  </si>
  <si>
    <t>BELUGA_RIVER 241-34T (formerly 241-34)</t>
  </si>
  <si>
    <t>2PNP</t>
  </si>
  <si>
    <t>BR E5 BP1</t>
  </si>
  <si>
    <t>3PUD</t>
  </si>
  <si>
    <t>BR J3 BP1</t>
  </si>
  <si>
    <t>BR G5 BP1</t>
  </si>
  <si>
    <t>BELUGA_RIVER 214-26 VS</t>
  </si>
  <si>
    <t>BELUGA_RIVER 211-26 VS</t>
  </si>
  <si>
    <t>BELUGA_RIVER 224-13 VS</t>
  </si>
  <si>
    <t>BELUGA_RIVER 224-34 VS</t>
  </si>
  <si>
    <t>BELUGA_RIVER 243-34 VS</t>
  </si>
  <si>
    <t>BR E5 BP2 (formerly 244-23 Offset)</t>
  </si>
  <si>
    <t>BRU 223-24 BP2 (BR formerly E6 BP2)</t>
  </si>
  <si>
    <t>BELUGA_RIVER 212-24T</t>
  </si>
  <si>
    <t>BRU 211-03</t>
  </si>
  <si>
    <t>BRU 232-23</t>
  </si>
  <si>
    <t>BR G5 BP2</t>
  </si>
  <si>
    <t>BR J3 BP2</t>
  </si>
  <si>
    <t>BR E5 BP3</t>
  </si>
  <si>
    <t>BRU 223-24 BP3 (formerly BR E6 BP3)</t>
  </si>
  <si>
    <t>Row Labels</t>
  </si>
  <si>
    <t>Grand Total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</si>
  <si>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</si>
  <si>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</si>
  <si>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</si>
  <si>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</si>
  <si>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</si>
  <si>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</si>
  <si>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</si>
  <si>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</si>
  <si>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</si>
  <si>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Column Labels</t>
  </si>
  <si>
    <t>1PDP Total</t>
  </si>
  <si>
    <t>2PNP Total</t>
  </si>
  <si>
    <t>3PUD Total</t>
  </si>
  <si>
    <t>2031</t>
  </si>
  <si>
    <t>2032</t>
  </si>
  <si>
    <t>2033</t>
  </si>
  <si>
    <t>2034</t>
  </si>
  <si>
    <t>2035</t>
  </si>
  <si>
    <t>Sum of Gas</t>
  </si>
  <si>
    <t>PDP</t>
  </si>
  <si>
    <t>Total</t>
  </si>
  <si>
    <t>Daily Data</t>
  </si>
  <si>
    <t>PDP_Query</t>
  </si>
  <si>
    <t>Other_pdp</t>
  </si>
  <si>
    <t>BRU_pdp</t>
  </si>
  <si>
    <t>Other_proj</t>
  </si>
  <si>
    <t>BRU_proj</t>
  </si>
  <si>
    <t>Aries Daily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</si>
</sst>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31750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Sheet1!$H$4:$H$2000</c:f>
              <c:numCache>
                <c:formatCode>General</c:formatCode>
                <c:ptCount val="199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  <c:pt idx="301">
                  <c:v>303</c:v>
                </c:pt>
                <c:pt idx="302">
                  <c:v>304</c:v>
                </c:pt>
                <c:pt idx="303">
                  <c:v>305</c:v>
                </c:pt>
                <c:pt idx="304">
                  <c:v>306</c:v>
                </c:pt>
                <c:pt idx="305">
                  <c:v>307</c:v>
                </c:pt>
                <c:pt idx="306">
                  <c:v>308</c:v>
                </c:pt>
                <c:pt idx="307">
                  <c:v>309</c:v>
                </c:pt>
                <c:pt idx="308">
                  <c:v>310</c:v>
                </c:pt>
                <c:pt idx="309">
                  <c:v>311</c:v>
                </c:pt>
                <c:pt idx="310">
                  <c:v>312</c:v>
                </c:pt>
                <c:pt idx="311">
                  <c:v>313</c:v>
                </c:pt>
                <c:pt idx="312">
                  <c:v>314</c:v>
                </c:pt>
                <c:pt idx="313">
                  <c:v>315</c:v>
                </c:pt>
                <c:pt idx="314">
                  <c:v>316</c:v>
                </c:pt>
                <c:pt idx="315">
                  <c:v>317</c:v>
                </c:pt>
                <c:pt idx="316">
                  <c:v>318</c:v>
                </c:pt>
                <c:pt idx="317">
                  <c:v>319</c:v>
                </c:pt>
                <c:pt idx="318">
                  <c:v>320</c:v>
                </c:pt>
                <c:pt idx="319">
                  <c:v>321</c:v>
                </c:pt>
                <c:pt idx="320">
                  <c:v>322</c:v>
                </c:pt>
                <c:pt idx="321">
                  <c:v>323</c:v>
                </c:pt>
                <c:pt idx="322">
                  <c:v>324</c:v>
                </c:pt>
                <c:pt idx="323">
                  <c:v>325</c:v>
                </c:pt>
                <c:pt idx="324">
                  <c:v>326</c:v>
                </c:pt>
                <c:pt idx="325">
                  <c:v>327</c:v>
                </c:pt>
                <c:pt idx="326">
                  <c:v>328</c:v>
                </c:pt>
                <c:pt idx="327">
                  <c:v>329</c:v>
                </c:pt>
                <c:pt idx="328">
                  <c:v>330</c:v>
                </c:pt>
                <c:pt idx="329">
                  <c:v>331</c:v>
                </c:pt>
                <c:pt idx="330">
                  <c:v>332</c:v>
                </c:pt>
                <c:pt idx="331">
                  <c:v>333</c:v>
                </c:pt>
                <c:pt idx="332">
                  <c:v>334</c:v>
                </c:pt>
                <c:pt idx="333">
                  <c:v>335</c:v>
                </c:pt>
                <c:pt idx="334">
                  <c:v>336</c:v>
                </c:pt>
                <c:pt idx="335">
                  <c:v>337</c:v>
                </c:pt>
                <c:pt idx="336">
                  <c:v>338</c:v>
                </c:pt>
                <c:pt idx="337">
                  <c:v>339</c:v>
                </c:pt>
                <c:pt idx="338">
                  <c:v>340</c:v>
                </c:pt>
                <c:pt idx="339">
                  <c:v>341</c:v>
                </c:pt>
                <c:pt idx="340">
                  <c:v>342</c:v>
                </c:pt>
                <c:pt idx="341">
                  <c:v>343</c:v>
                </c:pt>
                <c:pt idx="342">
                  <c:v>344</c:v>
                </c:pt>
                <c:pt idx="343">
                  <c:v>345</c:v>
                </c:pt>
                <c:pt idx="344">
                  <c:v>346</c:v>
                </c:pt>
                <c:pt idx="345">
                  <c:v>347</c:v>
                </c:pt>
                <c:pt idx="346">
                  <c:v>348</c:v>
                </c:pt>
                <c:pt idx="347">
                  <c:v>349</c:v>
                </c:pt>
                <c:pt idx="348">
                  <c:v>350</c:v>
                </c:pt>
                <c:pt idx="349">
                  <c:v>351</c:v>
                </c:pt>
                <c:pt idx="350">
                  <c:v>352</c:v>
                </c:pt>
                <c:pt idx="351">
                  <c:v>353</c:v>
                </c:pt>
                <c:pt idx="352">
                  <c:v>354</c:v>
                </c:pt>
                <c:pt idx="353">
                  <c:v>355</c:v>
                </c:pt>
                <c:pt idx="354">
                  <c:v>356</c:v>
                </c:pt>
                <c:pt idx="355">
                  <c:v>357</c:v>
                </c:pt>
                <c:pt idx="356">
                  <c:v>358</c:v>
                </c:pt>
                <c:pt idx="357">
                  <c:v>359</c:v>
                </c:pt>
                <c:pt idx="358">
                  <c:v>360</c:v>
                </c:pt>
                <c:pt idx="359">
                  <c:v>361</c:v>
                </c:pt>
                <c:pt idx="360">
                  <c:v>362</c:v>
                </c:pt>
                <c:pt idx="361">
                  <c:v>363</c:v>
                </c:pt>
                <c:pt idx="362">
                  <c:v>364</c:v>
                </c:pt>
                <c:pt idx="363">
                  <c:v>365</c:v>
                </c:pt>
                <c:pt idx="364">
                  <c:v>366</c:v>
                </c:pt>
                <c:pt idx="365">
                  <c:v>367</c:v>
                </c:pt>
                <c:pt idx="366">
                  <c:v>368</c:v>
                </c:pt>
                <c:pt idx="367">
                  <c:v>369</c:v>
                </c:pt>
                <c:pt idx="368">
                  <c:v>370</c:v>
                </c:pt>
                <c:pt idx="369">
                  <c:v>371</c:v>
                </c:pt>
                <c:pt idx="370">
                  <c:v>372</c:v>
                </c:pt>
                <c:pt idx="371">
                  <c:v>373</c:v>
                </c:pt>
                <c:pt idx="372">
                  <c:v>374</c:v>
                </c:pt>
                <c:pt idx="373">
                  <c:v>375</c:v>
                </c:pt>
                <c:pt idx="374">
                  <c:v>376</c:v>
                </c:pt>
                <c:pt idx="375">
                  <c:v>377</c:v>
                </c:pt>
                <c:pt idx="376">
                  <c:v>378</c:v>
                </c:pt>
                <c:pt idx="377">
                  <c:v>379</c:v>
                </c:pt>
                <c:pt idx="378">
                  <c:v>380</c:v>
                </c:pt>
                <c:pt idx="379">
                  <c:v>381</c:v>
                </c:pt>
                <c:pt idx="380">
                  <c:v>382</c:v>
                </c:pt>
                <c:pt idx="381">
                  <c:v>383</c:v>
                </c:pt>
                <c:pt idx="382">
                  <c:v>384</c:v>
                </c:pt>
                <c:pt idx="383">
                  <c:v>385</c:v>
                </c:pt>
                <c:pt idx="384">
                  <c:v>386</c:v>
                </c:pt>
                <c:pt idx="385">
                  <c:v>387</c:v>
                </c:pt>
                <c:pt idx="386">
                  <c:v>388</c:v>
                </c:pt>
                <c:pt idx="387">
                  <c:v>389</c:v>
                </c:pt>
                <c:pt idx="388">
                  <c:v>390</c:v>
                </c:pt>
                <c:pt idx="389">
                  <c:v>391</c:v>
                </c:pt>
                <c:pt idx="390">
                  <c:v>392</c:v>
                </c:pt>
                <c:pt idx="391">
                  <c:v>393</c:v>
                </c:pt>
                <c:pt idx="392">
                  <c:v>394</c:v>
                </c:pt>
                <c:pt idx="393">
                  <c:v>395</c:v>
                </c:pt>
                <c:pt idx="394">
                  <c:v>396</c:v>
                </c:pt>
                <c:pt idx="395">
                  <c:v>397</c:v>
                </c:pt>
                <c:pt idx="396">
                  <c:v>398</c:v>
                </c:pt>
                <c:pt idx="397">
                  <c:v>399</c:v>
                </c:pt>
                <c:pt idx="398">
                  <c:v>400</c:v>
                </c:pt>
                <c:pt idx="399">
                  <c:v>401</c:v>
                </c:pt>
                <c:pt idx="400">
                  <c:v>402</c:v>
                </c:pt>
                <c:pt idx="401">
                  <c:v>403</c:v>
                </c:pt>
                <c:pt idx="402">
                  <c:v>404</c:v>
                </c:pt>
                <c:pt idx="403">
                  <c:v>405</c:v>
                </c:pt>
                <c:pt idx="404">
                  <c:v>406</c:v>
                </c:pt>
                <c:pt idx="405">
                  <c:v>407</c:v>
                </c:pt>
                <c:pt idx="406">
                  <c:v>408</c:v>
                </c:pt>
                <c:pt idx="407">
                  <c:v>409</c:v>
                </c:pt>
                <c:pt idx="408">
                  <c:v>410</c:v>
                </c:pt>
                <c:pt idx="409">
                  <c:v>411</c:v>
                </c:pt>
                <c:pt idx="410">
                  <c:v>412</c:v>
                </c:pt>
                <c:pt idx="411">
                  <c:v>413</c:v>
                </c:pt>
                <c:pt idx="412">
                  <c:v>414</c:v>
                </c:pt>
                <c:pt idx="413">
                  <c:v>415</c:v>
                </c:pt>
                <c:pt idx="414">
                  <c:v>416</c:v>
                </c:pt>
                <c:pt idx="415">
                  <c:v>417</c:v>
                </c:pt>
                <c:pt idx="416">
                  <c:v>418</c:v>
                </c:pt>
                <c:pt idx="417">
                  <c:v>419</c:v>
                </c:pt>
                <c:pt idx="418">
                  <c:v>420</c:v>
                </c:pt>
                <c:pt idx="419">
                  <c:v>421</c:v>
                </c:pt>
                <c:pt idx="420">
                  <c:v>422</c:v>
                </c:pt>
                <c:pt idx="421">
                  <c:v>423</c:v>
                </c:pt>
                <c:pt idx="422">
                  <c:v>424</c:v>
                </c:pt>
                <c:pt idx="423">
                  <c:v>425</c:v>
                </c:pt>
                <c:pt idx="424">
                  <c:v>426</c:v>
                </c:pt>
                <c:pt idx="425">
                  <c:v>427</c:v>
                </c:pt>
                <c:pt idx="426">
                  <c:v>428</c:v>
                </c:pt>
                <c:pt idx="427">
                  <c:v>429</c:v>
                </c:pt>
                <c:pt idx="428">
                  <c:v>430</c:v>
                </c:pt>
                <c:pt idx="429">
                  <c:v>431</c:v>
                </c:pt>
                <c:pt idx="430">
                  <c:v>432</c:v>
                </c:pt>
                <c:pt idx="431">
                  <c:v>433</c:v>
                </c:pt>
                <c:pt idx="432">
                  <c:v>434</c:v>
                </c:pt>
                <c:pt idx="433">
                  <c:v>435</c:v>
                </c:pt>
                <c:pt idx="434">
                  <c:v>436</c:v>
                </c:pt>
                <c:pt idx="435">
                  <c:v>437</c:v>
                </c:pt>
                <c:pt idx="436">
                  <c:v>438</c:v>
                </c:pt>
                <c:pt idx="437">
                  <c:v>439</c:v>
                </c:pt>
                <c:pt idx="438">
                  <c:v>440</c:v>
                </c:pt>
                <c:pt idx="439">
                  <c:v>441</c:v>
                </c:pt>
                <c:pt idx="440">
                  <c:v>442</c:v>
                </c:pt>
                <c:pt idx="441">
                  <c:v>443</c:v>
                </c:pt>
                <c:pt idx="442">
                  <c:v>444</c:v>
                </c:pt>
                <c:pt idx="443">
                  <c:v>445</c:v>
                </c:pt>
                <c:pt idx="444">
                  <c:v>446</c:v>
                </c:pt>
                <c:pt idx="445">
                  <c:v>447</c:v>
                </c:pt>
                <c:pt idx="446">
                  <c:v>448</c:v>
                </c:pt>
                <c:pt idx="447">
                  <c:v>449</c:v>
                </c:pt>
                <c:pt idx="448">
                  <c:v>450</c:v>
                </c:pt>
                <c:pt idx="449">
                  <c:v>451</c:v>
                </c:pt>
                <c:pt idx="450">
                  <c:v>452</c:v>
                </c:pt>
                <c:pt idx="451">
                  <c:v>453</c:v>
                </c:pt>
                <c:pt idx="452">
                  <c:v>454</c:v>
                </c:pt>
                <c:pt idx="453">
                  <c:v>455</c:v>
                </c:pt>
                <c:pt idx="454">
                  <c:v>456</c:v>
                </c:pt>
                <c:pt idx="455">
                  <c:v>457</c:v>
                </c:pt>
                <c:pt idx="456">
                  <c:v>458</c:v>
                </c:pt>
                <c:pt idx="457">
                  <c:v>459</c:v>
                </c:pt>
                <c:pt idx="458">
                  <c:v>460</c:v>
                </c:pt>
                <c:pt idx="459">
                  <c:v>461</c:v>
                </c:pt>
                <c:pt idx="460">
                  <c:v>462</c:v>
                </c:pt>
                <c:pt idx="461">
                  <c:v>463</c:v>
                </c:pt>
                <c:pt idx="462">
                  <c:v>464</c:v>
                </c:pt>
                <c:pt idx="463">
                  <c:v>465</c:v>
                </c:pt>
                <c:pt idx="464">
                  <c:v>466</c:v>
                </c:pt>
                <c:pt idx="465">
                  <c:v>467</c:v>
                </c:pt>
                <c:pt idx="466">
                  <c:v>468</c:v>
                </c:pt>
                <c:pt idx="467">
                  <c:v>469</c:v>
                </c:pt>
                <c:pt idx="468">
                  <c:v>470</c:v>
                </c:pt>
                <c:pt idx="469">
                  <c:v>471</c:v>
                </c:pt>
                <c:pt idx="470">
                  <c:v>472</c:v>
                </c:pt>
                <c:pt idx="471">
                  <c:v>473</c:v>
                </c:pt>
                <c:pt idx="472">
                  <c:v>474</c:v>
                </c:pt>
                <c:pt idx="473">
                  <c:v>475</c:v>
                </c:pt>
                <c:pt idx="474">
                  <c:v>476</c:v>
                </c:pt>
                <c:pt idx="475">
                  <c:v>477</c:v>
                </c:pt>
                <c:pt idx="476">
                  <c:v>478</c:v>
                </c:pt>
                <c:pt idx="477">
                  <c:v>479</c:v>
                </c:pt>
                <c:pt idx="478">
                  <c:v>480</c:v>
                </c:pt>
                <c:pt idx="479">
                  <c:v>481</c:v>
                </c:pt>
                <c:pt idx="480">
                  <c:v>482</c:v>
                </c:pt>
                <c:pt idx="481">
                  <c:v>483</c:v>
                </c:pt>
                <c:pt idx="482">
                  <c:v>484</c:v>
                </c:pt>
                <c:pt idx="483">
                  <c:v>485</c:v>
                </c:pt>
                <c:pt idx="484">
                  <c:v>486</c:v>
                </c:pt>
                <c:pt idx="485">
                  <c:v>487</c:v>
                </c:pt>
                <c:pt idx="486">
                  <c:v>488</c:v>
                </c:pt>
                <c:pt idx="487">
                  <c:v>489</c:v>
                </c:pt>
                <c:pt idx="488">
                  <c:v>490</c:v>
                </c:pt>
                <c:pt idx="489">
                  <c:v>491</c:v>
                </c:pt>
                <c:pt idx="490">
                  <c:v>492</c:v>
                </c:pt>
                <c:pt idx="491">
                  <c:v>493</c:v>
                </c:pt>
                <c:pt idx="492">
                  <c:v>494</c:v>
                </c:pt>
                <c:pt idx="493">
                  <c:v>495</c:v>
                </c:pt>
                <c:pt idx="494">
                  <c:v>496</c:v>
                </c:pt>
                <c:pt idx="495">
                  <c:v>497</c:v>
                </c:pt>
                <c:pt idx="496">
                  <c:v>498</c:v>
                </c:pt>
                <c:pt idx="497">
                  <c:v>499</c:v>
                </c:pt>
                <c:pt idx="498">
                  <c:v>500</c:v>
                </c:pt>
                <c:pt idx="499">
                  <c:v>501</c:v>
                </c:pt>
                <c:pt idx="500">
                  <c:v>502</c:v>
                </c:pt>
                <c:pt idx="501">
                  <c:v>503</c:v>
                </c:pt>
                <c:pt idx="502">
                  <c:v>504</c:v>
                </c:pt>
                <c:pt idx="503">
                  <c:v>505</c:v>
                </c:pt>
                <c:pt idx="504">
                  <c:v>506</c:v>
                </c:pt>
                <c:pt idx="505">
                  <c:v>507</c:v>
                </c:pt>
                <c:pt idx="506">
                  <c:v>508</c:v>
                </c:pt>
                <c:pt idx="507">
                  <c:v>509</c:v>
                </c:pt>
                <c:pt idx="508">
                  <c:v>510</c:v>
                </c:pt>
                <c:pt idx="509">
                  <c:v>511</c:v>
                </c:pt>
                <c:pt idx="510">
                  <c:v>512</c:v>
                </c:pt>
                <c:pt idx="511">
                  <c:v>513</c:v>
                </c:pt>
                <c:pt idx="512">
                  <c:v>514</c:v>
                </c:pt>
                <c:pt idx="513">
                  <c:v>515</c:v>
                </c:pt>
                <c:pt idx="514">
                  <c:v>516</c:v>
                </c:pt>
                <c:pt idx="515">
                  <c:v>517</c:v>
                </c:pt>
                <c:pt idx="516">
                  <c:v>518</c:v>
                </c:pt>
                <c:pt idx="517">
                  <c:v>519</c:v>
                </c:pt>
                <c:pt idx="518">
                  <c:v>520</c:v>
                </c:pt>
                <c:pt idx="519">
                  <c:v>521</c:v>
                </c:pt>
                <c:pt idx="520">
                  <c:v>522</c:v>
                </c:pt>
                <c:pt idx="521">
                  <c:v>523</c:v>
                </c:pt>
                <c:pt idx="522">
                  <c:v>524</c:v>
                </c:pt>
                <c:pt idx="523">
                  <c:v>525</c:v>
                </c:pt>
                <c:pt idx="524">
                  <c:v>526</c:v>
                </c:pt>
                <c:pt idx="525">
                  <c:v>527</c:v>
                </c:pt>
                <c:pt idx="526">
                  <c:v>528</c:v>
                </c:pt>
                <c:pt idx="527">
                  <c:v>529</c:v>
                </c:pt>
                <c:pt idx="528">
                  <c:v>530</c:v>
                </c:pt>
                <c:pt idx="529">
                  <c:v>531</c:v>
                </c:pt>
                <c:pt idx="530">
                  <c:v>532</c:v>
                </c:pt>
                <c:pt idx="531">
                  <c:v>533</c:v>
                </c:pt>
                <c:pt idx="532">
                  <c:v>534</c:v>
                </c:pt>
                <c:pt idx="533">
                  <c:v>535</c:v>
                </c:pt>
                <c:pt idx="534">
                  <c:v>536</c:v>
                </c:pt>
                <c:pt idx="535">
                  <c:v>537</c:v>
                </c:pt>
                <c:pt idx="536">
                  <c:v>538</c:v>
                </c:pt>
                <c:pt idx="537">
                  <c:v>539</c:v>
                </c:pt>
                <c:pt idx="538">
                  <c:v>540</c:v>
                </c:pt>
                <c:pt idx="539">
                  <c:v>541</c:v>
                </c:pt>
                <c:pt idx="540">
                  <c:v>542</c:v>
                </c:pt>
                <c:pt idx="541">
                  <c:v>543</c:v>
                </c:pt>
                <c:pt idx="542">
                  <c:v>544</c:v>
                </c:pt>
                <c:pt idx="543">
                  <c:v>545</c:v>
                </c:pt>
                <c:pt idx="544">
                  <c:v>546</c:v>
                </c:pt>
                <c:pt idx="545">
                  <c:v>547</c:v>
                </c:pt>
                <c:pt idx="546">
                  <c:v>548</c:v>
                </c:pt>
                <c:pt idx="547">
                  <c:v>549</c:v>
                </c:pt>
                <c:pt idx="548">
                  <c:v>550</c:v>
                </c:pt>
                <c:pt idx="549">
                  <c:v>551</c:v>
                </c:pt>
                <c:pt idx="550">
                  <c:v>552</c:v>
                </c:pt>
                <c:pt idx="551">
                  <c:v>553</c:v>
                </c:pt>
                <c:pt idx="552">
                  <c:v>554</c:v>
                </c:pt>
                <c:pt idx="553">
                  <c:v>555</c:v>
                </c:pt>
                <c:pt idx="554">
                  <c:v>556</c:v>
                </c:pt>
                <c:pt idx="555">
                  <c:v>557</c:v>
                </c:pt>
                <c:pt idx="556">
                  <c:v>558</c:v>
                </c:pt>
                <c:pt idx="557">
                  <c:v>559</c:v>
                </c:pt>
                <c:pt idx="558">
                  <c:v>560</c:v>
                </c:pt>
                <c:pt idx="559">
                  <c:v>561</c:v>
                </c:pt>
                <c:pt idx="560">
                  <c:v>562</c:v>
                </c:pt>
                <c:pt idx="561">
                  <c:v>563</c:v>
                </c:pt>
                <c:pt idx="562">
                  <c:v>564</c:v>
                </c:pt>
                <c:pt idx="563">
                  <c:v>565</c:v>
                </c:pt>
                <c:pt idx="564">
                  <c:v>566</c:v>
                </c:pt>
                <c:pt idx="565">
                  <c:v>567</c:v>
                </c:pt>
                <c:pt idx="566">
                  <c:v>568</c:v>
                </c:pt>
                <c:pt idx="567">
                  <c:v>569</c:v>
                </c:pt>
                <c:pt idx="568">
                  <c:v>570</c:v>
                </c:pt>
                <c:pt idx="569">
                  <c:v>571</c:v>
                </c:pt>
                <c:pt idx="570">
                  <c:v>572</c:v>
                </c:pt>
                <c:pt idx="571">
                  <c:v>573</c:v>
                </c:pt>
                <c:pt idx="572">
                  <c:v>574</c:v>
                </c:pt>
                <c:pt idx="573">
                  <c:v>575</c:v>
                </c:pt>
                <c:pt idx="574">
                  <c:v>576</c:v>
                </c:pt>
                <c:pt idx="575">
                  <c:v>577</c:v>
                </c:pt>
                <c:pt idx="576">
                  <c:v>578</c:v>
                </c:pt>
                <c:pt idx="577">
                  <c:v>579</c:v>
                </c:pt>
                <c:pt idx="578">
                  <c:v>580</c:v>
                </c:pt>
                <c:pt idx="579">
                  <c:v>581</c:v>
                </c:pt>
                <c:pt idx="580">
                  <c:v>582</c:v>
                </c:pt>
                <c:pt idx="581">
                  <c:v>583</c:v>
                </c:pt>
                <c:pt idx="582">
                  <c:v>584</c:v>
                </c:pt>
                <c:pt idx="583">
                  <c:v>585</c:v>
                </c:pt>
                <c:pt idx="584">
                  <c:v>586</c:v>
                </c:pt>
                <c:pt idx="585">
                  <c:v>587</c:v>
                </c:pt>
                <c:pt idx="586">
                  <c:v>588</c:v>
                </c:pt>
                <c:pt idx="587">
                  <c:v>589</c:v>
                </c:pt>
                <c:pt idx="588">
                  <c:v>590</c:v>
                </c:pt>
                <c:pt idx="589">
                  <c:v>591</c:v>
                </c:pt>
                <c:pt idx="590">
                  <c:v>592</c:v>
                </c:pt>
                <c:pt idx="591">
                  <c:v>593</c:v>
                </c:pt>
                <c:pt idx="592">
                  <c:v>594</c:v>
                </c:pt>
                <c:pt idx="593">
                  <c:v>595</c:v>
                </c:pt>
                <c:pt idx="594">
                  <c:v>596</c:v>
                </c:pt>
                <c:pt idx="595">
                  <c:v>597</c:v>
                </c:pt>
                <c:pt idx="596">
                  <c:v>598</c:v>
                </c:pt>
                <c:pt idx="597">
                  <c:v>599</c:v>
                </c:pt>
                <c:pt idx="598">
                  <c:v>600</c:v>
                </c:pt>
                <c:pt idx="599">
                  <c:v>601</c:v>
                </c:pt>
                <c:pt idx="600">
                  <c:v>602</c:v>
                </c:pt>
                <c:pt idx="601">
                  <c:v>603</c:v>
                </c:pt>
                <c:pt idx="602">
                  <c:v>604</c:v>
                </c:pt>
                <c:pt idx="603">
                  <c:v>605</c:v>
                </c:pt>
                <c:pt idx="604">
                  <c:v>606</c:v>
                </c:pt>
                <c:pt idx="605">
                  <c:v>607</c:v>
                </c:pt>
                <c:pt idx="606">
                  <c:v>608</c:v>
                </c:pt>
                <c:pt idx="607">
                  <c:v>609</c:v>
                </c:pt>
                <c:pt idx="608">
                  <c:v>610</c:v>
                </c:pt>
                <c:pt idx="609">
                  <c:v>611</c:v>
                </c:pt>
                <c:pt idx="610">
                  <c:v>612</c:v>
                </c:pt>
                <c:pt idx="611">
                  <c:v>613</c:v>
                </c:pt>
                <c:pt idx="612">
                  <c:v>614</c:v>
                </c:pt>
                <c:pt idx="613">
                  <c:v>615</c:v>
                </c:pt>
                <c:pt idx="614">
                  <c:v>616</c:v>
                </c:pt>
                <c:pt idx="615">
                  <c:v>617</c:v>
                </c:pt>
                <c:pt idx="616">
                  <c:v>618</c:v>
                </c:pt>
                <c:pt idx="617">
                  <c:v>619</c:v>
                </c:pt>
                <c:pt idx="618">
                  <c:v>620</c:v>
                </c:pt>
                <c:pt idx="619">
                  <c:v>621</c:v>
                </c:pt>
                <c:pt idx="620">
                  <c:v>622</c:v>
                </c:pt>
                <c:pt idx="621">
                  <c:v>623</c:v>
                </c:pt>
                <c:pt idx="622">
                  <c:v>624</c:v>
                </c:pt>
                <c:pt idx="623">
                  <c:v>625</c:v>
                </c:pt>
                <c:pt idx="624">
                  <c:v>626</c:v>
                </c:pt>
                <c:pt idx="625">
                  <c:v>627</c:v>
                </c:pt>
                <c:pt idx="626">
                  <c:v>628</c:v>
                </c:pt>
                <c:pt idx="627">
                  <c:v>629</c:v>
                </c:pt>
                <c:pt idx="628">
                  <c:v>630</c:v>
                </c:pt>
                <c:pt idx="629">
                  <c:v>631</c:v>
                </c:pt>
                <c:pt idx="630">
                  <c:v>632</c:v>
                </c:pt>
                <c:pt idx="631">
                  <c:v>633</c:v>
                </c:pt>
                <c:pt idx="632">
                  <c:v>634</c:v>
                </c:pt>
                <c:pt idx="633">
                  <c:v>635</c:v>
                </c:pt>
                <c:pt idx="634">
                  <c:v>636</c:v>
                </c:pt>
                <c:pt idx="635">
                  <c:v>637</c:v>
                </c:pt>
                <c:pt idx="636">
                  <c:v>638</c:v>
                </c:pt>
                <c:pt idx="637">
                  <c:v>639</c:v>
                </c:pt>
                <c:pt idx="638">
                  <c:v>640</c:v>
                </c:pt>
                <c:pt idx="639">
                  <c:v>641</c:v>
                </c:pt>
                <c:pt idx="640">
                  <c:v>642</c:v>
                </c:pt>
                <c:pt idx="641">
                  <c:v>643</c:v>
                </c:pt>
                <c:pt idx="642">
                  <c:v>644</c:v>
                </c:pt>
                <c:pt idx="643">
                  <c:v>645</c:v>
                </c:pt>
                <c:pt idx="644">
                  <c:v>646</c:v>
                </c:pt>
                <c:pt idx="645">
                  <c:v>647</c:v>
                </c:pt>
                <c:pt idx="646">
                  <c:v>648</c:v>
                </c:pt>
                <c:pt idx="647">
                  <c:v>649</c:v>
                </c:pt>
                <c:pt idx="648">
                  <c:v>650</c:v>
                </c:pt>
                <c:pt idx="649">
                  <c:v>651</c:v>
                </c:pt>
                <c:pt idx="650">
                  <c:v>652</c:v>
                </c:pt>
                <c:pt idx="651">
                  <c:v>653</c:v>
                </c:pt>
                <c:pt idx="652">
                  <c:v>654</c:v>
                </c:pt>
                <c:pt idx="653">
                  <c:v>655</c:v>
                </c:pt>
                <c:pt idx="654">
                  <c:v>656</c:v>
                </c:pt>
                <c:pt idx="655">
                  <c:v>657</c:v>
                </c:pt>
                <c:pt idx="656">
                  <c:v>658</c:v>
                </c:pt>
                <c:pt idx="657">
                  <c:v>659</c:v>
                </c:pt>
                <c:pt idx="658">
                  <c:v>660</c:v>
                </c:pt>
                <c:pt idx="659">
                  <c:v>661</c:v>
                </c:pt>
                <c:pt idx="660">
                  <c:v>662</c:v>
                </c:pt>
                <c:pt idx="661">
                  <c:v>663</c:v>
                </c:pt>
                <c:pt idx="662">
                  <c:v>664</c:v>
                </c:pt>
                <c:pt idx="663">
                  <c:v>665</c:v>
                </c:pt>
                <c:pt idx="664">
                  <c:v>666</c:v>
                </c:pt>
                <c:pt idx="665">
                  <c:v>667</c:v>
                </c:pt>
                <c:pt idx="666">
                  <c:v>668</c:v>
                </c:pt>
                <c:pt idx="667">
                  <c:v>669</c:v>
                </c:pt>
                <c:pt idx="668">
                  <c:v>670</c:v>
                </c:pt>
                <c:pt idx="669">
                  <c:v>671</c:v>
                </c:pt>
                <c:pt idx="670">
                  <c:v>672</c:v>
                </c:pt>
                <c:pt idx="671">
                  <c:v>673</c:v>
                </c:pt>
                <c:pt idx="672">
                  <c:v>674</c:v>
                </c:pt>
                <c:pt idx="673">
                  <c:v>675</c:v>
                </c:pt>
                <c:pt idx="674">
                  <c:v>676</c:v>
                </c:pt>
                <c:pt idx="675">
                  <c:v>677</c:v>
                </c:pt>
                <c:pt idx="676">
                  <c:v>678</c:v>
                </c:pt>
                <c:pt idx="677">
                  <c:v>679</c:v>
                </c:pt>
                <c:pt idx="678">
                  <c:v>680</c:v>
                </c:pt>
                <c:pt idx="679">
                  <c:v>681</c:v>
                </c:pt>
                <c:pt idx="680">
                  <c:v>682</c:v>
                </c:pt>
                <c:pt idx="681">
                  <c:v>683</c:v>
                </c:pt>
                <c:pt idx="682">
                  <c:v>684</c:v>
                </c:pt>
                <c:pt idx="683">
                  <c:v>685</c:v>
                </c:pt>
                <c:pt idx="684">
                  <c:v>686</c:v>
                </c:pt>
                <c:pt idx="685">
                  <c:v>687</c:v>
                </c:pt>
                <c:pt idx="686">
                  <c:v>688</c:v>
                </c:pt>
                <c:pt idx="687">
                  <c:v>689</c:v>
                </c:pt>
                <c:pt idx="688">
                  <c:v>690</c:v>
                </c:pt>
                <c:pt idx="689">
                  <c:v>691</c:v>
                </c:pt>
                <c:pt idx="690">
                  <c:v>692</c:v>
                </c:pt>
                <c:pt idx="691">
                  <c:v>693</c:v>
                </c:pt>
                <c:pt idx="692">
                  <c:v>694</c:v>
                </c:pt>
                <c:pt idx="693">
                  <c:v>695</c:v>
                </c:pt>
                <c:pt idx="694">
                  <c:v>696</c:v>
                </c:pt>
                <c:pt idx="695">
                  <c:v>697</c:v>
                </c:pt>
                <c:pt idx="696">
                  <c:v>698</c:v>
                </c:pt>
                <c:pt idx="697">
                  <c:v>699</c:v>
                </c:pt>
                <c:pt idx="698">
                  <c:v>700</c:v>
                </c:pt>
                <c:pt idx="699">
                  <c:v>701</c:v>
                </c:pt>
                <c:pt idx="700">
                  <c:v>702</c:v>
                </c:pt>
                <c:pt idx="701">
                  <c:v>703</c:v>
                </c:pt>
                <c:pt idx="702">
                  <c:v>704</c:v>
                </c:pt>
                <c:pt idx="703">
                  <c:v>705</c:v>
                </c:pt>
                <c:pt idx="704">
                  <c:v>706</c:v>
                </c:pt>
                <c:pt idx="705">
                  <c:v>707</c:v>
                </c:pt>
                <c:pt idx="706">
                  <c:v>708</c:v>
                </c:pt>
                <c:pt idx="707">
                  <c:v>709</c:v>
                </c:pt>
                <c:pt idx="708">
                  <c:v>710</c:v>
                </c:pt>
                <c:pt idx="709">
                  <c:v>711</c:v>
                </c:pt>
                <c:pt idx="710">
                  <c:v>712</c:v>
                </c:pt>
                <c:pt idx="711">
                  <c:v>713</c:v>
                </c:pt>
                <c:pt idx="712">
                  <c:v>714</c:v>
                </c:pt>
                <c:pt idx="713">
                  <c:v>715</c:v>
                </c:pt>
                <c:pt idx="714">
                  <c:v>716</c:v>
                </c:pt>
                <c:pt idx="715">
                  <c:v>717</c:v>
                </c:pt>
                <c:pt idx="716">
                  <c:v>718</c:v>
                </c:pt>
                <c:pt idx="717">
                  <c:v>719</c:v>
                </c:pt>
                <c:pt idx="718">
                  <c:v>720</c:v>
                </c:pt>
                <c:pt idx="719">
                  <c:v>721</c:v>
                </c:pt>
                <c:pt idx="720">
                  <c:v>722</c:v>
                </c:pt>
                <c:pt idx="721">
                  <c:v>723</c:v>
                </c:pt>
                <c:pt idx="722">
                  <c:v>724</c:v>
                </c:pt>
                <c:pt idx="723">
                  <c:v>725</c:v>
                </c:pt>
                <c:pt idx="724">
                  <c:v>726</c:v>
                </c:pt>
                <c:pt idx="725">
                  <c:v>727</c:v>
                </c:pt>
                <c:pt idx="726">
                  <c:v>728</c:v>
                </c:pt>
                <c:pt idx="727">
                  <c:v>729</c:v>
                </c:pt>
                <c:pt idx="728">
                  <c:v>730</c:v>
                </c:pt>
                <c:pt idx="729">
                  <c:v>731</c:v>
                </c:pt>
                <c:pt idx="730">
                  <c:v>732</c:v>
                </c:pt>
                <c:pt idx="731">
                  <c:v>733</c:v>
                </c:pt>
                <c:pt idx="732">
                  <c:v>734</c:v>
                </c:pt>
                <c:pt idx="733">
                  <c:v>735</c:v>
                </c:pt>
                <c:pt idx="734">
                  <c:v>736</c:v>
                </c:pt>
                <c:pt idx="735">
                  <c:v>737</c:v>
                </c:pt>
                <c:pt idx="736">
                  <c:v>738</c:v>
                </c:pt>
                <c:pt idx="737">
                  <c:v>739</c:v>
                </c:pt>
                <c:pt idx="738">
                  <c:v>740</c:v>
                </c:pt>
                <c:pt idx="739">
                  <c:v>741</c:v>
                </c:pt>
                <c:pt idx="740">
                  <c:v>742</c:v>
                </c:pt>
                <c:pt idx="741">
                  <c:v>743</c:v>
                </c:pt>
                <c:pt idx="742">
                  <c:v>744</c:v>
                </c:pt>
                <c:pt idx="743">
                  <c:v>745</c:v>
                </c:pt>
                <c:pt idx="744">
                  <c:v>746</c:v>
                </c:pt>
                <c:pt idx="745">
                  <c:v>747</c:v>
                </c:pt>
                <c:pt idx="746">
                  <c:v>748</c:v>
                </c:pt>
                <c:pt idx="747">
                  <c:v>749</c:v>
                </c:pt>
                <c:pt idx="748">
                  <c:v>750</c:v>
                </c:pt>
                <c:pt idx="749">
                  <c:v>751</c:v>
                </c:pt>
                <c:pt idx="750">
                  <c:v>752</c:v>
                </c:pt>
                <c:pt idx="751">
                  <c:v>753</c:v>
                </c:pt>
                <c:pt idx="752">
                  <c:v>754</c:v>
                </c:pt>
                <c:pt idx="753">
                  <c:v>755</c:v>
                </c:pt>
                <c:pt idx="754">
                  <c:v>756</c:v>
                </c:pt>
                <c:pt idx="755">
                  <c:v>757</c:v>
                </c:pt>
                <c:pt idx="756">
                  <c:v>758</c:v>
                </c:pt>
                <c:pt idx="757">
                  <c:v>759</c:v>
                </c:pt>
                <c:pt idx="758">
                  <c:v>760</c:v>
                </c:pt>
                <c:pt idx="759">
                  <c:v>761</c:v>
                </c:pt>
                <c:pt idx="760">
                  <c:v>762</c:v>
                </c:pt>
                <c:pt idx="761">
                  <c:v>763</c:v>
                </c:pt>
                <c:pt idx="762">
                  <c:v>764</c:v>
                </c:pt>
                <c:pt idx="763">
                  <c:v>765</c:v>
                </c:pt>
                <c:pt idx="764">
                  <c:v>766</c:v>
                </c:pt>
                <c:pt idx="765">
                  <c:v>767</c:v>
                </c:pt>
                <c:pt idx="766">
                  <c:v>768</c:v>
                </c:pt>
                <c:pt idx="767">
                  <c:v>769</c:v>
                </c:pt>
                <c:pt idx="768">
                  <c:v>770</c:v>
                </c:pt>
                <c:pt idx="769">
                  <c:v>771</c:v>
                </c:pt>
                <c:pt idx="770">
                  <c:v>772</c:v>
                </c:pt>
                <c:pt idx="771">
                  <c:v>773</c:v>
                </c:pt>
                <c:pt idx="772">
                  <c:v>774</c:v>
                </c:pt>
                <c:pt idx="773">
                  <c:v>775</c:v>
                </c:pt>
                <c:pt idx="774">
                  <c:v>776</c:v>
                </c:pt>
                <c:pt idx="775">
                  <c:v>777</c:v>
                </c:pt>
                <c:pt idx="776">
                  <c:v>778</c:v>
                </c:pt>
                <c:pt idx="777">
                  <c:v>779</c:v>
                </c:pt>
                <c:pt idx="778">
                  <c:v>780</c:v>
                </c:pt>
                <c:pt idx="779">
                  <c:v>781</c:v>
                </c:pt>
                <c:pt idx="780">
                  <c:v>782</c:v>
                </c:pt>
                <c:pt idx="781">
                  <c:v>783</c:v>
                </c:pt>
                <c:pt idx="782">
                  <c:v>784</c:v>
                </c:pt>
                <c:pt idx="783">
                  <c:v>785</c:v>
                </c:pt>
                <c:pt idx="784">
                  <c:v>786</c:v>
                </c:pt>
                <c:pt idx="785">
                  <c:v>787</c:v>
                </c:pt>
                <c:pt idx="786">
                  <c:v>788</c:v>
                </c:pt>
                <c:pt idx="787">
                  <c:v>789</c:v>
                </c:pt>
                <c:pt idx="788">
                  <c:v>790</c:v>
                </c:pt>
                <c:pt idx="789">
                  <c:v>791</c:v>
                </c:pt>
                <c:pt idx="790">
                  <c:v>792</c:v>
                </c:pt>
                <c:pt idx="791">
                  <c:v>793</c:v>
                </c:pt>
                <c:pt idx="792">
                  <c:v>794</c:v>
                </c:pt>
                <c:pt idx="793">
                  <c:v>795</c:v>
                </c:pt>
                <c:pt idx="794">
                  <c:v>796</c:v>
                </c:pt>
                <c:pt idx="795">
                  <c:v>797</c:v>
                </c:pt>
                <c:pt idx="796">
                  <c:v>798</c:v>
                </c:pt>
                <c:pt idx="797">
                  <c:v>799</c:v>
                </c:pt>
                <c:pt idx="798">
                  <c:v>800</c:v>
                </c:pt>
                <c:pt idx="799">
                  <c:v>801</c:v>
                </c:pt>
                <c:pt idx="800">
                  <c:v>802</c:v>
                </c:pt>
                <c:pt idx="801">
                  <c:v>803</c:v>
                </c:pt>
                <c:pt idx="802">
                  <c:v>804</c:v>
                </c:pt>
                <c:pt idx="803">
                  <c:v>805</c:v>
                </c:pt>
                <c:pt idx="804">
                  <c:v>806</c:v>
                </c:pt>
                <c:pt idx="805">
                  <c:v>807</c:v>
                </c:pt>
                <c:pt idx="806">
                  <c:v>808</c:v>
                </c:pt>
                <c:pt idx="807">
                  <c:v>809</c:v>
                </c:pt>
                <c:pt idx="808">
                  <c:v>810</c:v>
                </c:pt>
                <c:pt idx="809">
                  <c:v>811</c:v>
                </c:pt>
                <c:pt idx="810">
                  <c:v>812</c:v>
                </c:pt>
                <c:pt idx="811">
                  <c:v>813</c:v>
                </c:pt>
                <c:pt idx="812">
                  <c:v>814</c:v>
                </c:pt>
                <c:pt idx="813">
                  <c:v>815</c:v>
                </c:pt>
                <c:pt idx="814">
                  <c:v>816</c:v>
                </c:pt>
                <c:pt idx="815">
                  <c:v>817</c:v>
                </c:pt>
                <c:pt idx="816">
                  <c:v>818</c:v>
                </c:pt>
                <c:pt idx="817">
                  <c:v>819</c:v>
                </c:pt>
                <c:pt idx="818">
                  <c:v>820</c:v>
                </c:pt>
                <c:pt idx="819">
                  <c:v>821</c:v>
                </c:pt>
                <c:pt idx="820">
                  <c:v>822</c:v>
                </c:pt>
                <c:pt idx="821">
                  <c:v>823</c:v>
                </c:pt>
                <c:pt idx="822">
                  <c:v>824</c:v>
                </c:pt>
                <c:pt idx="823">
                  <c:v>825</c:v>
                </c:pt>
                <c:pt idx="824">
                  <c:v>826</c:v>
                </c:pt>
                <c:pt idx="825">
                  <c:v>827</c:v>
                </c:pt>
                <c:pt idx="826">
                  <c:v>828</c:v>
                </c:pt>
                <c:pt idx="827">
                  <c:v>829</c:v>
                </c:pt>
                <c:pt idx="828">
                  <c:v>830</c:v>
                </c:pt>
                <c:pt idx="829">
                  <c:v>831</c:v>
                </c:pt>
                <c:pt idx="830">
                  <c:v>832</c:v>
                </c:pt>
                <c:pt idx="831">
                  <c:v>833</c:v>
                </c:pt>
                <c:pt idx="832">
                  <c:v>834</c:v>
                </c:pt>
                <c:pt idx="833">
                  <c:v>835</c:v>
                </c:pt>
                <c:pt idx="834">
                  <c:v>836</c:v>
                </c:pt>
                <c:pt idx="835">
                  <c:v>837</c:v>
                </c:pt>
                <c:pt idx="836">
                  <c:v>838</c:v>
                </c:pt>
                <c:pt idx="837">
                  <c:v>839</c:v>
                </c:pt>
                <c:pt idx="838">
                  <c:v>840</c:v>
                </c:pt>
                <c:pt idx="839">
                  <c:v>841</c:v>
                </c:pt>
                <c:pt idx="840">
                  <c:v>842</c:v>
                </c:pt>
                <c:pt idx="841">
                  <c:v>843</c:v>
                </c:pt>
                <c:pt idx="842">
                  <c:v>844</c:v>
                </c:pt>
                <c:pt idx="843">
                  <c:v>845</c:v>
                </c:pt>
                <c:pt idx="844">
                  <c:v>846</c:v>
                </c:pt>
                <c:pt idx="845">
                  <c:v>847</c:v>
                </c:pt>
                <c:pt idx="846">
                  <c:v>848</c:v>
                </c:pt>
                <c:pt idx="847">
                  <c:v>849</c:v>
                </c:pt>
                <c:pt idx="848">
                  <c:v>850</c:v>
                </c:pt>
                <c:pt idx="849">
                  <c:v>851</c:v>
                </c:pt>
                <c:pt idx="850">
                  <c:v>852</c:v>
                </c:pt>
                <c:pt idx="851">
                  <c:v>853</c:v>
                </c:pt>
                <c:pt idx="852">
                  <c:v>854</c:v>
                </c:pt>
                <c:pt idx="853">
                  <c:v>855</c:v>
                </c:pt>
                <c:pt idx="854">
                  <c:v>856</c:v>
                </c:pt>
                <c:pt idx="855">
                  <c:v>857</c:v>
                </c:pt>
                <c:pt idx="856">
                  <c:v>858</c:v>
                </c:pt>
                <c:pt idx="857">
                  <c:v>859</c:v>
                </c:pt>
                <c:pt idx="858">
                  <c:v>860</c:v>
                </c:pt>
                <c:pt idx="859">
                  <c:v>861</c:v>
                </c:pt>
                <c:pt idx="860">
                  <c:v>862</c:v>
                </c:pt>
                <c:pt idx="861">
                  <c:v>863</c:v>
                </c:pt>
                <c:pt idx="862">
                  <c:v>864</c:v>
                </c:pt>
                <c:pt idx="863">
                  <c:v>865</c:v>
                </c:pt>
                <c:pt idx="864">
                  <c:v>866</c:v>
                </c:pt>
                <c:pt idx="865">
                  <c:v>867</c:v>
                </c:pt>
                <c:pt idx="866">
                  <c:v>868</c:v>
                </c:pt>
                <c:pt idx="867">
                  <c:v>869</c:v>
                </c:pt>
                <c:pt idx="868">
                  <c:v>870</c:v>
                </c:pt>
                <c:pt idx="869">
                  <c:v>871</c:v>
                </c:pt>
                <c:pt idx="870">
                  <c:v>872</c:v>
                </c:pt>
                <c:pt idx="871">
                  <c:v>873</c:v>
                </c:pt>
                <c:pt idx="872">
                  <c:v>874</c:v>
                </c:pt>
                <c:pt idx="873">
                  <c:v>875</c:v>
                </c:pt>
                <c:pt idx="874">
                  <c:v>876</c:v>
                </c:pt>
                <c:pt idx="875">
                  <c:v>877</c:v>
                </c:pt>
                <c:pt idx="876">
                  <c:v>878</c:v>
                </c:pt>
                <c:pt idx="877">
                  <c:v>879</c:v>
                </c:pt>
                <c:pt idx="878">
                  <c:v>880</c:v>
                </c:pt>
                <c:pt idx="879">
                  <c:v>881</c:v>
                </c:pt>
                <c:pt idx="880">
                  <c:v>882</c:v>
                </c:pt>
                <c:pt idx="881">
                  <c:v>883</c:v>
                </c:pt>
                <c:pt idx="882">
                  <c:v>884</c:v>
                </c:pt>
                <c:pt idx="883">
                  <c:v>885</c:v>
                </c:pt>
                <c:pt idx="884">
                  <c:v>886</c:v>
                </c:pt>
                <c:pt idx="885">
                  <c:v>887</c:v>
                </c:pt>
                <c:pt idx="886">
                  <c:v>888</c:v>
                </c:pt>
                <c:pt idx="887">
                  <c:v>889</c:v>
                </c:pt>
                <c:pt idx="888">
                  <c:v>890</c:v>
                </c:pt>
                <c:pt idx="889">
                  <c:v>891</c:v>
                </c:pt>
                <c:pt idx="890">
                  <c:v>892</c:v>
                </c:pt>
                <c:pt idx="891">
                  <c:v>893</c:v>
                </c:pt>
                <c:pt idx="892">
                  <c:v>894</c:v>
                </c:pt>
                <c:pt idx="893">
                  <c:v>895</c:v>
                </c:pt>
                <c:pt idx="894">
                  <c:v>896</c:v>
                </c:pt>
                <c:pt idx="895">
                  <c:v>897</c:v>
                </c:pt>
                <c:pt idx="896">
                  <c:v>898</c:v>
                </c:pt>
                <c:pt idx="897">
                  <c:v>899</c:v>
                </c:pt>
                <c:pt idx="898">
                  <c:v>900</c:v>
                </c:pt>
                <c:pt idx="899">
                  <c:v>901</c:v>
                </c:pt>
                <c:pt idx="900">
                  <c:v>902</c:v>
                </c:pt>
                <c:pt idx="901">
                  <c:v>903</c:v>
                </c:pt>
                <c:pt idx="902">
                  <c:v>904</c:v>
                </c:pt>
                <c:pt idx="903">
                  <c:v>905</c:v>
                </c:pt>
                <c:pt idx="904">
                  <c:v>906</c:v>
                </c:pt>
                <c:pt idx="905">
                  <c:v>907</c:v>
                </c:pt>
                <c:pt idx="906">
                  <c:v>908</c:v>
                </c:pt>
                <c:pt idx="907">
                  <c:v>909</c:v>
                </c:pt>
                <c:pt idx="908">
                  <c:v>910</c:v>
                </c:pt>
                <c:pt idx="909">
                  <c:v>911</c:v>
                </c:pt>
                <c:pt idx="910">
                  <c:v>912</c:v>
                </c:pt>
                <c:pt idx="911">
                  <c:v>913</c:v>
                </c:pt>
                <c:pt idx="912">
                  <c:v>914</c:v>
                </c:pt>
                <c:pt idx="913">
                  <c:v>915</c:v>
                </c:pt>
                <c:pt idx="914">
                  <c:v>916</c:v>
                </c:pt>
                <c:pt idx="915">
                  <c:v>917</c:v>
                </c:pt>
                <c:pt idx="916">
                  <c:v>918</c:v>
                </c:pt>
                <c:pt idx="917">
                  <c:v>919</c:v>
                </c:pt>
                <c:pt idx="918">
                  <c:v>920</c:v>
                </c:pt>
                <c:pt idx="919">
                  <c:v>921</c:v>
                </c:pt>
                <c:pt idx="920">
                  <c:v>922</c:v>
                </c:pt>
                <c:pt idx="921">
                  <c:v>923</c:v>
                </c:pt>
                <c:pt idx="922">
                  <c:v>924</c:v>
                </c:pt>
                <c:pt idx="923">
                  <c:v>925</c:v>
                </c:pt>
                <c:pt idx="924">
                  <c:v>926</c:v>
                </c:pt>
                <c:pt idx="925">
                  <c:v>927</c:v>
                </c:pt>
                <c:pt idx="926">
                  <c:v>928</c:v>
                </c:pt>
                <c:pt idx="927">
                  <c:v>929</c:v>
                </c:pt>
                <c:pt idx="928">
                  <c:v>930</c:v>
                </c:pt>
                <c:pt idx="929">
                  <c:v>931</c:v>
                </c:pt>
                <c:pt idx="930">
                  <c:v>932</c:v>
                </c:pt>
                <c:pt idx="931">
                  <c:v>933</c:v>
                </c:pt>
                <c:pt idx="932">
                  <c:v>934</c:v>
                </c:pt>
                <c:pt idx="933">
                  <c:v>935</c:v>
                </c:pt>
                <c:pt idx="934">
                  <c:v>936</c:v>
                </c:pt>
                <c:pt idx="935">
                  <c:v>937</c:v>
                </c:pt>
                <c:pt idx="936">
                  <c:v>938</c:v>
                </c:pt>
                <c:pt idx="937">
                  <c:v>939</c:v>
                </c:pt>
                <c:pt idx="938">
                  <c:v>940</c:v>
                </c:pt>
                <c:pt idx="939">
                  <c:v>941</c:v>
                </c:pt>
                <c:pt idx="940">
                  <c:v>942</c:v>
                </c:pt>
                <c:pt idx="941">
                  <c:v>943</c:v>
                </c:pt>
                <c:pt idx="942">
                  <c:v>944</c:v>
                </c:pt>
                <c:pt idx="943">
                  <c:v>945</c:v>
                </c:pt>
                <c:pt idx="944">
                  <c:v>946</c:v>
                </c:pt>
                <c:pt idx="945">
                  <c:v>947</c:v>
                </c:pt>
                <c:pt idx="946">
                  <c:v>948</c:v>
                </c:pt>
                <c:pt idx="947">
                  <c:v>949</c:v>
                </c:pt>
                <c:pt idx="948">
                  <c:v>950</c:v>
                </c:pt>
                <c:pt idx="949">
                  <c:v>951</c:v>
                </c:pt>
                <c:pt idx="950">
                  <c:v>952</c:v>
                </c:pt>
                <c:pt idx="951">
                  <c:v>953</c:v>
                </c:pt>
                <c:pt idx="952">
                  <c:v>954</c:v>
                </c:pt>
                <c:pt idx="953">
                  <c:v>955</c:v>
                </c:pt>
                <c:pt idx="954">
                  <c:v>956</c:v>
                </c:pt>
                <c:pt idx="955">
                  <c:v>957</c:v>
                </c:pt>
                <c:pt idx="956">
                  <c:v>958</c:v>
                </c:pt>
                <c:pt idx="957">
                  <c:v>959</c:v>
                </c:pt>
                <c:pt idx="958">
                  <c:v>960</c:v>
                </c:pt>
                <c:pt idx="959">
                  <c:v>961</c:v>
                </c:pt>
                <c:pt idx="960">
                  <c:v>962</c:v>
                </c:pt>
                <c:pt idx="961">
                  <c:v>963</c:v>
                </c:pt>
                <c:pt idx="962">
                  <c:v>964</c:v>
                </c:pt>
                <c:pt idx="963">
                  <c:v>965</c:v>
                </c:pt>
                <c:pt idx="964">
                  <c:v>966</c:v>
                </c:pt>
                <c:pt idx="965">
                  <c:v>967</c:v>
                </c:pt>
                <c:pt idx="966">
                  <c:v>968</c:v>
                </c:pt>
                <c:pt idx="967">
                  <c:v>969</c:v>
                </c:pt>
                <c:pt idx="968">
                  <c:v>970</c:v>
                </c:pt>
                <c:pt idx="969">
                  <c:v>971</c:v>
                </c:pt>
                <c:pt idx="970">
                  <c:v>972</c:v>
                </c:pt>
                <c:pt idx="971">
                  <c:v>973</c:v>
                </c:pt>
                <c:pt idx="972">
                  <c:v>974</c:v>
                </c:pt>
                <c:pt idx="973">
                  <c:v>975</c:v>
                </c:pt>
                <c:pt idx="974">
                  <c:v>976</c:v>
                </c:pt>
                <c:pt idx="975">
                  <c:v>977</c:v>
                </c:pt>
                <c:pt idx="976">
                  <c:v>978</c:v>
                </c:pt>
                <c:pt idx="977">
                  <c:v>979</c:v>
                </c:pt>
                <c:pt idx="978">
                  <c:v>980</c:v>
                </c:pt>
                <c:pt idx="979">
                  <c:v>981</c:v>
                </c:pt>
                <c:pt idx="980">
                  <c:v>982</c:v>
                </c:pt>
                <c:pt idx="981">
                  <c:v>983</c:v>
                </c:pt>
                <c:pt idx="982">
                  <c:v>984</c:v>
                </c:pt>
                <c:pt idx="983">
                  <c:v>985</c:v>
                </c:pt>
                <c:pt idx="984">
                  <c:v>986</c:v>
                </c:pt>
                <c:pt idx="985">
                  <c:v>987</c:v>
                </c:pt>
                <c:pt idx="986">
                  <c:v>988</c:v>
                </c:pt>
                <c:pt idx="987">
                  <c:v>989</c:v>
                </c:pt>
                <c:pt idx="988">
                  <c:v>990</c:v>
                </c:pt>
                <c:pt idx="989">
                  <c:v>991</c:v>
                </c:pt>
                <c:pt idx="990">
                  <c:v>992</c:v>
                </c:pt>
                <c:pt idx="991">
                  <c:v>993</c:v>
                </c:pt>
                <c:pt idx="992">
                  <c:v>994</c:v>
                </c:pt>
                <c:pt idx="993">
                  <c:v>995</c:v>
                </c:pt>
                <c:pt idx="994">
                  <c:v>996</c:v>
                </c:pt>
                <c:pt idx="995">
                  <c:v>997</c:v>
                </c:pt>
                <c:pt idx="996">
                  <c:v>998</c:v>
                </c:pt>
                <c:pt idx="997">
                  <c:v>999</c:v>
                </c:pt>
                <c:pt idx="998">
                  <c:v>1000</c:v>
                </c:pt>
                <c:pt idx="999">
                  <c:v>1001</c:v>
                </c:pt>
                <c:pt idx="1000">
                  <c:v>1002</c:v>
                </c:pt>
                <c:pt idx="1001">
                  <c:v>1003</c:v>
                </c:pt>
                <c:pt idx="1002">
                  <c:v>1004</c:v>
                </c:pt>
                <c:pt idx="1003">
                  <c:v>1005</c:v>
                </c:pt>
                <c:pt idx="1004">
                  <c:v>1006</c:v>
                </c:pt>
                <c:pt idx="1005">
                  <c:v>1007</c:v>
                </c:pt>
                <c:pt idx="1006">
                  <c:v>1008</c:v>
                </c:pt>
                <c:pt idx="1007">
                  <c:v>1009</c:v>
                </c:pt>
                <c:pt idx="1008">
                  <c:v>1010</c:v>
                </c:pt>
                <c:pt idx="1009">
                  <c:v>1011</c:v>
                </c:pt>
                <c:pt idx="1010">
                  <c:v>1012</c:v>
                </c:pt>
                <c:pt idx="1011">
                  <c:v>1013</c:v>
                </c:pt>
                <c:pt idx="1012">
                  <c:v>1014</c:v>
                </c:pt>
                <c:pt idx="1013">
                  <c:v>1015</c:v>
                </c:pt>
                <c:pt idx="1014">
                  <c:v>1016</c:v>
                </c:pt>
                <c:pt idx="1015">
                  <c:v>1017</c:v>
                </c:pt>
                <c:pt idx="1016">
                  <c:v>1018</c:v>
                </c:pt>
                <c:pt idx="1017">
                  <c:v>1019</c:v>
                </c:pt>
                <c:pt idx="1018">
                  <c:v>1020</c:v>
                </c:pt>
                <c:pt idx="1019">
                  <c:v>1021</c:v>
                </c:pt>
                <c:pt idx="1020">
                  <c:v>1022</c:v>
                </c:pt>
                <c:pt idx="1021">
                  <c:v>1023</c:v>
                </c:pt>
                <c:pt idx="1022">
                  <c:v>1024</c:v>
                </c:pt>
                <c:pt idx="1023">
                  <c:v>1025</c:v>
                </c:pt>
                <c:pt idx="1024">
                  <c:v>1026</c:v>
                </c:pt>
                <c:pt idx="1025">
                  <c:v>1027</c:v>
                </c:pt>
                <c:pt idx="1026">
                  <c:v>1028</c:v>
                </c:pt>
                <c:pt idx="1027">
                  <c:v>1029</c:v>
                </c:pt>
                <c:pt idx="1028">
                  <c:v>1030</c:v>
                </c:pt>
                <c:pt idx="1029">
                  <c:v>1031</c:v>
                </c:pt>
                <c:pt idx="1030">
                  <c:v>1032</c:v>
                </c:pt>
                <c:pt idx="1031">
                  <c:v>1033</c:v>
                </c:pt>
                <c:pt idx="1032">
                  <c:v>1034</c:v>
                </c:pt>
                <c:pt idx="1033">
                  <c:v>1035</c:v>
                </c:pt>
                <c:pt idx="1034">
                  <c:v>1036</c:v>
                </c:pt>
                <c:pt idx="1035">
                  <c:v>1037</c:v>
                </c:pt>
                <c:pt idx="1036">
                  <c:v>1038</c:v>
                </c:pt>
                <c:pt idx="1037">
                  <c:v>1039</c:v>
                </c:pt>
                <c:pt idx="1038">
                  <c:v>1040</c:v>
                </c:pt>
                <c:pt idx="1039">
                  <c:v>1041</c:v>
                </c:pt>
                <c:pt idx="1040">
                  <c:v>1042</c:v>
                </c:pt>
                <c:pt idx="1041">
                  <c:v>1043</c:v>
                </c:pt>
                <c:pt idx="1042">
                  <c:v>1044</c:v>
                </c:pt>
                <c:pt idx="1043">
                  <c:v>1045</c:v>
                </c:pt>
                <c:pt idx="1044">
                  <c:v>1046</c:v>
                </c:pt>
                <c:pt idx="1045">
                  <c:v>1047</c:v>
                </c:pt>
                <c:pt idx="1046">
                  <c:v>1048</c:v>
                </c:pt>
                <c:pt idx="1047">
                  <c:v>1049</c:v>
                </c:pt>
                <c:pt idx="1048">
                  <c:v>1050</c:v>
                </c:pt>
                <c:pt idx="1049">
                  <c:v>1051</c:v>
                </c:pt>
                <c:pt idx="1050">
                  <c:v>1052</c:v>
                </c:pt>
                <c:pt idx="1051">
                  <c:v>1053</c:v>
                </c:pt>
                <c:pt idx="1052">
                  <c:v>1054</c:v>
                </c:pt>
                <c:pt idx="1053">
                  <c:v>1055</c:v>
                </c:pt>
                <c:pt idx="1054">
                  <c:v>1056</c:v>
                </c:pt>
                <c:pt idx="1055">
                  <c:v>1057</c:v>
                </c:pt>
                <c:pt idx="1056">
                  <c:v>1058</c:v>
                </c:pt>
                <c:pt idx="1057">
                  <c:v>1059</c:v>
                </c:pt>
                <c:pt idx="1058">
                  <c:v>1060</c:v>
                </c:pt>
                <c:pt idx="1059">
                  <c:v>1061</c:v>
                </c:pt>
                <c:pt idx="1060">
                  <c:v>1062</c:v>
                </c:pt>
                <c:pt idx="1061">
                  <c:v>1063</c:v>
                </c:pt>
                <c:pt idx="1062">
                  <c:v>1064</c:v>
                </c:pt>
                <c:pt idx="1063">
                  <c:v>1065</c:v>
                </c:pt>
                <c:pt idx="1064">
                  <c:v>1066</c:v>
                </c:pt>
                <c:pt idx="1065">
                  <c:v>1067</c:v>
                </c:pt>
                <c:pt idx="1066">
                  <c:v>1068</c:v>
                </c:pt>
                <c:pt idx="1067">
                  <c:v>1069</c:v>
                </c:pt>
                <c:pt idx="1068">
                  <c:v>1070</c:v>
                </c:pt>
                <c:pt idx="1069">
                  <c:v>1071</c:v>
                </c:pt>
                <c:pt idx="1070">
                  <c:v>1072</c:v>
                </c:pt>
                <c:pt idx="1071">
                  <c:v>1073</c:v>
                </c:pt>
                <c:pt idx="1072">
                  <c:v>1074</c:v>
                </c:pt>
                <c:pt idx="1073">
                  <c:v>1075</c:v>
                </c:pt>
                <c:pt idx="1074">
                  <c:v>1076</c:v>
                </c:pt>
                <c:pt idx="1075">
                  <c:v>1077</c:v>
                </c:pt>
                <c:pt idx="1076">
                  <c:v>1078</c:v>
                </c:pt>
                <c:pt idx="1077">
                  <c:v>1079</c:v>
                </c:pt>
                <c:pt idx="1078">
                  <c:v>1080</c:v>
                </c:pt>
                <c:pt idx="1079">
                  <c:v>1081</c:v>
                </c:pt>
                <c:pt idx="1080">
                  <c:v>1082</c:v>
                </c:pt>
                <c:pt idx="1081">
                  <c:v>1083</c:v>
                </c:pt>
                <c:pt idx="1082">
                  <c:v>1084</c:v>
                </c:pt>
                <c:pt idx="1083">
                  <c:v>1085</c:v>
                </c:pt>
                <c:pt idx="1084">
                  <c:v>1086</c:v>
                </c:pt>
                <c:pt idx="1085">
                  <c:v>1087</c:v>
                </c:pt>
                <c:pt idx="1086">
                  <c:v>1088</c:v>
                </c:pt>
                <c:pt idx="1087">
                  <c:v>1089</c:v>
                </c:pt>
                <c:pt idx="1088">
                  <c:v>1090</c:v>
                </c:pt>
                <c:pt idx="1089">
                  <c:v>1091</c:v>
                </c:pt>
                <c:pt idx="1090">
                  <c:v>1092</c:v>
                </c:pt>
                <c:pt idx="1091">
                  <c:v>1093</c:v>
                </c:pt>
                <c:pt idx="1092">
                  <c:v>1094</c:v>
                </c:pt>
                <c:pt idx="1093">
                  <c:v>1095</c:v>
                </c:pt>
                <c:pt idx="1094">
                  <c:v>1096</c:v>
                </c:pt>
                <c:pt idx="1095">
                  <c:v>1097</c:v>
                </c:pt>
                <c:pt idx="1096">
                  <c:v>1098</c:v>
                </c:pt>
                <c:pt idx="1097">
                  <c:v>1099</c:v>
                </c:pt>
                <c:pt idx="1098">
                  <c:v>1100</c:v>
                </c:pt>
                <c:pt idx="1099">
                  <c:v>1101</c:v>
                </c:pt>
                <c:pt idx="1100">
                  <c:v>1102</c:v>
                </c:pt>
                <c:pt idx="1101">
                  <c:v>1103</c:v>
                </c:pt>
                <c:pt idx="1102">
                  <c:v>1104</c:v>
                </c:pt>
                <c:pt idx="1103">
                  <c:v>1105</c:v>
                </c:pt>
                <c:pt idx="1104">
                  <c:v>1106</c:v>
                </c:pt>
                <c:pt idx="1105">
                  <c:v>1107</c:v>
                </c:pt>
                <c:pt idx="1106">
                  <c:v>1108</c:v>
                </c:pt>
                <c:pt idx="1107">
                  <c:v>1109</c:v>
                </c:pt>
                <c:pt idx="1108">
                  <c:v>1110</c:v>
                </c:pt>
                <c:pt idx="1109">
                  <c:v>1111</c:v>
                </c:pt>
                <c:pt idx="1110">
                  <c:v>1112</c:v>
                </c:pt>
                <c:pt idx="1111">
                  <c:v>1113</c:v>
                </c:pt>
                <c:pt idx="1112">
                  <c:v>1114</c:v>
                </c:pt>
                <c:pt idx="1113">
                  <c:v>1115</c:v>
                </c:pt>
                <c:pt idx="1114">
                  <c:v>1116</c:v>
                </c:pt>
                <c:pt idx="1115">
                  <c:v>1117</c:v>
                </c:pt>
                <c:pt idx="1116">
                  <c:v>1118</c:v>
                </c:pt>
                <c:pt idx="1117">
                  <c:v>1119</c:v>
                </c:pt>
                <c:pt idx="1118">
                  <c:v>1120</c:v>
                </c:pt>
                <c:pt idx="1119">
                  <c:v>1121</c:v>
                </c:pt>
                <c:pt idx="1120">
                  <c:v>1122</c:v>
                </c:pt>
                <c:pt idx="1121">
                  <c:v>1123</c:v>
                </c:pt>
                <c:pt idx="1122">
                  <c:v>1124</c:v>
                </c:pt>
                <c:pt idx="1123">
                  <c:v>1125</c:v>
                </c:pt>
                <c:pt idx="1124">
                  <c:v>1126</c:v>
                </c:pt>
                <c:pt idx="1125">
                  <c:v>1127</c:v>
                </c:pt>
                <c:pt idx="1126">
                  <c:v>1128</c:v>
                </c:pt>
                <c:pt idx="1127">
                  <c:v>1129</c:v>
                </c:pt>
                <c:pt idx="1128">
                  <c:v>1130</c:v>
                </c:pt>
                <c:pt idx="1129">
                  <c:v>1131</c:v>
                </c:pt>
                <c:pt idx="1130">
                  <c:v>1132</c:v>
                </c:pt>
                <c:pt idx="1131">
                  <c:v>1133</c:v>
                </c:pt>
                <c:pt idx="1132">
                  <c:v>1134</c:v>
                </c:pt>
                <c:pt idx="1133">
                  <c:v>1135</c:v>
                </c:pt>
                <c:pt idx="1134">
                  <c:v>1136</c:v>
                </c:pt>
                <c:pt idx="1135">
                  <c:v>1137</c:v>
                </c:pt>
                <c:pt idx="1136">
                  <c:v>1138</c:v>
                </c:pt>
                <c:pt idx="1137">
                  <c:v>1139</c:v>
                </c:pt>
                <c:pt idx="1138">
                  <c:v>1140</c:v>
                </c:pt>
                <c:pt idx="1139">
                  <c:v>1141</c:v>
                </c:pt>
                <c:pt idx="1140">
                  <c:v>1142</c:v>
                </c:pt>
                <c:pt idx="1141">
                  <c:v>1143</c:v>
                </c:pt>
                <c:pt idx="1142">
                  <c:v>1144</c:v>
                </c:pt>
                <c:pt idx="1143">
                  <c:v>1145</c:v>
                </c:pt>
                <c:pt idx="1144">
                  <c:v>1146</c:v>
                </c:pt>
                <c:pt idx="1145">
                  <c:v>1147</c:v>
                </c:pt>
                <c:pt idx="1146">
                  <c:v>1148</c:v>
                </c:pt>
                <c:pt idx="1147">
                  <c:v>1149</c:v>
                </c:pt>
                <c:pt idx="1148">
                  <c:v>1150</c:v>
                </c:pt>
                <c:pt idx="1149">
                  <c:v>1151</c:v>
                </c:pt>
                <c:pt idx="1150">
                  <c:v>1152</c:v>
                </c:pt>
                <c:pt idx="1151">
                  <c:v>1153</c:v>
                </c:pt>
                <c:pt idx="1152">
                  <c:v>1154</c:v>
                </c:pt>
                <c:pt idx="1153">
                  <c:v>1155</c:v>
                </c:pt>
                <c:pt idx="1154">
                  <c:v>1156</c:v>
                </c:pt>
                <c:pt idx="1155">
                  <c:v>1157</c:v>
                </c:pt>
                <c:pt idx="1156">
                  <c:v>1158</c:v>
                </c:pt>
                <c:pt idx="1157">
                  <c:v>1159</c:v>
                </c:pt>
                <c:pt idx="1158">
                  <c:v>1160</c:v>
                </c:pt>
                <c:pt idx="1159">
                  <c:v>1161</c:v>
                </c:pt>
                <c:pt idx="1160">
                  <c:v>1162</c:v>
                </c:pt>
                <c:pt idx="1161">
                  <c:v>1163</c:v>
                </c:pt>
                <c:pt idx="1162">
                  <c:v>1164</c:v>
                </c:pt>
                <c:pt idx="1163">
                  <c:v>1165</c:v>
                </c:pt>
                <c:pt idx="1164">
                  <c:v>1166</c:v>
                </c:pt>
                <c:pt idx="1165">
                  <c:v>1167</c:v>
                </c:pt>
                <c:pt idx="1166">
                  <c:v>1168</c:v>
                </c:pt>
                <c:pt idx="1167">
                  <c:v>1169</c:v>
                </c:pt>
                <c:pt idx="1168">
                  <c:v>1170</c:v>
                </c:pt>
                <c:pt idx="1169">
                  <c:v>1171</c:v>
                </c:pt>
                <c:pt idx="1170">
                  <c:v>1172</c:v>
                </c:pt>
                <c:pt idx="1171">
                  <c:v>1173</c:v>
                </c:pt>
                <c:pt idx="1172">
                  <c:v>1174</c:v>
                </c:pt>
                <c:pt idx="1173">
                  <c:v>1175</c:v>
                </c:pt>
                <c:pt idx="1174">
                  <c:v>1176</c:v>
                </c:pt>
                <c:pt idx="1175">
                  <c:v>1177</c:v>
                </c:pt>
                <c:pt idx="1176">
                  <c:v>1178</c:v>
                </c:pt>
                <c:pt idx="1177">
                  <c:v>1179</c:v>
                </c:pt>
                <c:pt idx="1178">
                  <c:v>1180</c:v>
                </c:pt>
                <c:pt idx="1179">
                  <c:v>1181</c:v>
                </c:pt>
                <c:pt idx="1180">
                  <c:v>1182</c:v>
                </c:pt>
                <c:pt idx="1181">
                  <c:v>1183</c:v>
                </c:pt>
                <c:pt idx="1182">
                  <c:v>1184</c:v>
                </c:pt>
                <c:pt idx="1183">
                  <c:v>1185</c:v>
                </c:pt>
                <c:pt idx="1184">
                  <c:v>1186</c:v>
                </c:pt>
                <c:pt idx="1185">
                  <c:v>1187</c:v>
                </c:pt>
                <c:pt idx="1186">
                  <c:v>1188</c:v>
                </c:pt>
                <c:pt idx="1187">
                  <c:v>1189</c:v>
                </c:pt>
                <c:pt idx="1188">
                  <c:v>1190</c:v>
                </c:pt>
                <c:pt idx="1189">
                  <c:v>1191</c:v>
                </c:pt>
                <c:pt idx="1190">
                  <c:v>1192</c:v>
                </c:pt>
                <c:pt idx="1191">
                  <c:v>1193</c:v>
                </c:pt>
                <c:pt idx="1192">
                  <c:v>1194</c:v>
                </c:pt>
                <c:pt idx="1193">
                  <c:v>1195</c:v>
                </c:pt>
                <c:pt idx="1194">
                  <c:v>1196</c:v>
                </c:pt>
                <c:pt idx="1195">
                  <c:v>1197</c:v>
                </c:pt>
                <c:pt idx="1196">
                  <c:v>1198</c:v>
                </c:pt>
                <c:pt idx="1197">
                  <c:v>1199</c:v>
                </c:pt>
                <c:pt idx="1198">
                  <c:v>1200</c:v>
                </c:pt>
                <c:pt idx="1199">
                  <c:v>1201</c:v>
                </c:pt>
                <c:pt idx="1200">
                  <c:v>1202</c:v>
                </c:pt>
                <c:pt idx="1201">
                  <c:v>1203</c:v>
                </c:pt>
                <c:pt idx="1202">
                  <c:v>1204</c:v>
                </c:pt>
                <c:pt idx="1203">
                  <c:v>1205</c:v>
                </c:pt>
                <c:pt idx="1204">
                  <c:v>1206</c:v>
                </c:pt>
                <c:pt idx="1205">
                  <c:v>1207</c:v>
                </c:pt>
                <c:pt idx="1206">
                  <c:v>1208</c:v>
                </c:pt>
                <c:pt idx="1207">
                  <c:v>1209</c:v>
                </c:pt>
                <c:pt idx="1208">
                  <c:v>1210</c:v>
                </c:pt>
                <c:pt idx="1209">
                  <c:v>1211</c:v>
                </c:pt>
                <c:pt idx="1210">
                  <c:v>1212</c:v>
                </c:pt>
                <c:pt idx="1211">
                  <c:v>1213</c:v>
                </c:pt>
                <c:pt idx="1212">
                  <c:v>1214</c:v>
                </c:pt>
                <c:pt idx="1213">
                  <c:v>1215</c:v>
                </c:pt>
                <c:pt idx="1214">
                  <c:v>1216</c:v>
                </c:pt>
                <c:pt idx="1215">
                  <c:v>1217</c:v>
                </c:pt>
                <c:pt idx="1216">
                  <c:v>1218</c:v>
                </c:pt>
                <c:pt idx="1217">
                  <c:v>1219</c:v>
                </c:pt>
                <c:pt idx="1218">
                  <c:v>1220</c:v>
                </c:pt>
                <c:pt idx="1219">
                  <c:v>1221</c:v>
                </c:pt>
                <c:pt idx="1220">
                  <c:v>1222</c:v>
                </c:pt>
                <c:pt idx="1221">
                  <c:v>1223</c:v>
                </c:pt>
                <c:pt idx="1222">
                  <c:v>1224</c:v>
                </c:pt>
                <c:pt idx="1223">
                  <c:v>1225</c:v>
                </c:pt>
                <c:pt idx="1224">
                  <c:v>1226</c:v>
                </c:pt>
                <c:pt idx="1225">
                  <c:v>1227</c:v>
                </c:pt>
                <c:pt idx="1226">
                  <c:v>1228</c:v>
                </c:pt>
                <c:pt idx="1227">
                  <c:v>1229</c:v>
                </c:pt>
                <c:pt idx="1228">
                  <c:v>1230</c:v>
                </c:pt>
                <c:pt idx="1229">
                  <c:v>1231</c:v>
                </c:pt>
                <c:pt idx="1230">
                  <c:v>1232</c:v>
                </c:pt>
                <c:pt idx="1231">
                  <c:v>1233</c:v>
                </c:pt>
                <c:pt idx="1232">
                  <c:v>1234</c:v>
                </c:pt>
                <c:pt idx="1233">
                  <c:v>1235</c:v>
                </c:pt>
                <c:pt idx="1234">
                  <c:v>1236</c:v>
                </c:pt>
                <c:pt idx="1235">
                  <c:v>1237</c:v>
                </c:pt>
                <c:pt idx="1236">
                  <c:v>1238</c:v>
                </c:pt>
                <c:pt idx="1237">
                  <c:v>1239</c:v>
                </c:pt>
                <c:pt idx="1238">
                  <c:v>1240</c:v>
                </c:pt>
                <c:pt idx="1239">
                  <c:v>1241</c:v>
                </c:pt>
                <c:pt idx="1240">
                  <c:v>1242</c:v>
                </c:pt>
                <c:pt idx="1241">
                  <c:v>1243</c:v>
                </c:pt>
                <c:pt idx="1242">
                  <c:v>1244</c:v>
                </c:pt>
                <c:pt idx="1243">
                  <c:v>1245</c:v>
                </c:pt>
                <c:pt idx="1244">
                  <c:v>1246</c:v>
                </c:pt>
                <c:pt idx="1245">
                  <c:v>1247</c:v>
                </c:pt>
                <c:pt idx="1246">
                  <c:v>1248</c:v>
                </c:pt>
                <c:pt idx="1247">
                  <c:v>1249</c:v>
                </c:pt>
                <c:pt idx="1248">
                  <c:v>1250</c:v>
                </c:pt>
                <c:pt idx="1249">
                  <c:v>1251</c:v>
                </c:pt>
                <c:pt idx="1250">
                  <c:v>1252</c:v>
                </c:pt>
                <c:pt idx="1251">
                  <c:v>1253</c:v>
                </c:pt>
                <c:pt idx="1252">
                  <c:v>1254</c:v>
                </c:pt>
                <c:pt idx="1253">
                  <c:v>1255</c:v>
                </c:pt>
                <c:pt idx="1254">
                  <c:v>1256</c:v>
                </c:pt>
                <c:pt idx="1255">
                  <c:v>1257</c:v>
                </c:pt>
                <c:pt idx="1256">
                  <c:v>1258</c:v>
                </c:pt>
                <c:pt idx="1257">
                  <c:v>1259</c:v>
                </c:pt>
                <c:pt idx="1258">
                  <c:v>1260</c:v>
                </c:pt>
                <c:pt idx="1259">
                  <c:v>1261</c:v>
                </c:pt>
                <c:pt idx="1260">
                  <c:v>1262</c:v>
                </c:pt>
                <c:pt idx="1261">
                  <c:v>1263</c:v>
                </c:pt>
                <c:pt idx="1262">
                  <c:v>1264</c:v>
                </c:pt>
                <c:pt idx="1263">
                  <c:v>1265</c:v>
                </c:pt>
                <c:pt idx="1264">
                  <c:v>1266</c:v>
                </c:pt>
                <c:pt idx="1265">
                  <c:v>1267</c:v>
                </c:pt>
                <c:pt idx="1266">
                  <c:v>1268</c:v>
                </c:pt>
                <c:pt idx="1267">
                  <c:v>1269</c:v>
                </c:pt>
                <c:pt idx="1268">
                  <c:v>1270</c:v>
                </c:pt>
                <c:pt idx="1269">
                  <c:v>1271</c:v>
                </c:pt>
                <c:pt idx="1270">
                  <c:v>1272</c:v>
                </c:pt>
                <c:pt idx="1271">
                  <c:v>1273</c:v>
                </c:pt>
                <c:pt idx="1272">
                  <c:v>1274</c:v>
                </c:pt>
                <c:pt idx="1273">
                  <c:v>1275</c:v>
                </c:pt>
                <c:pt idx="1274">
                  <c:v>1276</c:v>
                </c:pt>
                <c:pt idx="1275">
                  <c:v>1277</c:v>
                </c:pt>
                <c:pt idx="1276">
                  <c:v>1278</c:v>
                </c:pt>
                <c:pt idx="1277">
                  <c:v>1279</c:v>
                </c:pt>
                <c:pt idx="1278">
                  <c:v>1280</c:v>
                </c:pt>
                <c:pt idx="1279">
                  <c:v>1281</c:v>
                </c:pt>
                <c:pt idx="1280">
                  <c:v>1282</c:v>
                </c:pt>
                <c:pt idx="1281">
                  <c:v>1283</c:v>
                </c:pt>
                <c:pt idx="1282">
                  <c:v>1284</c:v>
                </c:pt>
                <c:pt idx="1283">
                  <c:v>1285</c:v>
                </c:pt>
                <c:pt idx="1284">
                  <c:v>1286</c:v>
                </c:pt>
                <c:pt idx="1285">
                  <c:v>1287</c:v>
                </c:pt>
                <c:pt idx="1286">
                  <c:v>1288</c:v>
                </c:pt>
                <c:pt idx="1287">
                  <c:v>1289</c:v>
                </c:pt>
                <c:pt idx="1288">
                  <c:v>1290</c:v>
                </c:pt>
                <c:pt idx="1289">
                  <c:v>1291</c:v>
                </c:pt>
                <c:pt idx="1290">
                  <c:v>1292</c:v>
                </c:pt>
                <c:pt idx="1291">
                  <c:v>1293</c:v>
                </c:pt>
                <c:pt idx="1292">
                  <c:v>1294</c:v>
                </c:pt>
                <c:pt idx="1293">
                  <c:v>1295</c:v>
                </c:pt>
                <c:pt idx="1294">
                  <c:v>1296</c:v>
                </c:pt>
                <c:pt idx="1295">
                  <c:v>1297</c:v>
                </c:pt>
                <c:pt idx="1296">
                  <c:v>1298</c:v>
                </c:pt>
                <c:pt idx="1297">
                  <c:v>1299</c:v>
                </c:pt>
                <c:pt idx="1298">
                  <c:v>1300</c:v>
                </c:pt>
                <c:pt idx="1299">
                  <c:v>1301</c:v>
                </c:pt>
                <c:pt idx="1300">
                  <c:v>1302</c:v>
                </c:pt>
                <c:pt idx="1301">
                  <c:v>1303</c:v>
                </c:pt>
                <c:pt idx="1302">
                  <c:v>1304</c:v>
                </c:pt>
                <c:pt idx="1303">
                  <c:v>1305</c:v>
                </c:pt>
                <c:pt idx="1304">
                  <c:v>1306</c:v>
                </c:pt>
                <c:pt idx="1305">
                  <c:v>1307</c:v>
                </c:pt>
                <c:pt idx="1306">
                  <c:v>1308</c:v>
                </c:pt>
                <c:pt idx="1307">
                  <c:v>1309</c:v>
                </c:pt>
                <c:pt idx="1308">
                  <c:v>1310</c:v>
                </c:pt>
                <c:pt idx="1309">
                  <c:v>1311</c:v>
                </c:pt>
                <c:pt idx="1310">
                  <c:v>1312</c:v>
                </c:pt>
                <c:pt idx="1311">
                  <c:v>1313</c:v>
                </c:pt>
                <c:pt idx="1312">
                  <c:v>1314</c:v>
                </c:pt>
                <c:pt idx="1313">
                  <c:v>1315</c:v>
                </c:pt>
                <c:pt idx="1314">
                  <c:v>1316</c:v>
                </c:pt>
                <c:pt idx="1315">
                  <c:v>1317</c:v>
                </c:pt>
                <c:pt idx="1316">
                  <c:v>1318</c:v>
                </c:pt>
                <c:pt idx="1317">
                  <c:v>1319</c:v>
                </c:pt>
                <c:pt idx="1318">
                  <c:v>1320</c:v>
                </c:pt>
                <c:pt idx="1319">
                  <c:v>1321</c:v>
                </c:pt>
                <c:pt idx="1320">
                  <c:v>1322</c:v>
                </c:pt>
                <c:pt idx="1321">
                  <c:v>1323</c:v>
                </c:pt>
                <c:pt idx="1322">
                  <c:v>1324</c:v>
                </c:pt>
                <c:pt idx="1323">
                  <c:v>1325</c:v>
                </c:pt>
                <c:pt idx="1324">
                  <c:v>1326</c:v>
                </c:pt>
                <c:pt idx="1325">
                  <c:v>1327</c:v>
                </c:pt>
                <c:pt idx="1326">
                  <c:v>1328</c:v>
                </c:pt>
                <c:pt idx="1327">
                  <c:v>1329</c:v>
                </c:pt>
                <c:pt idx="1328">
                  <c:v>1330</c:v>
                </c:pt>
                <c:pt idx="1329">
                  <c:v>1331</c:v>
                </c:pt>
                <c:pt idx="1330">
                  <c:v>1332</c:v>
                </c:pt>
                <c:pt idx="1331">
                  <c:v>1333</c:v>
                </c:pt>
                <c:pt idx="1332">
                  <c:v>1334</c:v>
                </c:pt>
                <c:pt idx="1333">
                  <c:v>1335</c:v>
                </c:pt>
                <c:pt idx="1334">
                  <c:v>1336</c:v>
                </c:pt>
                <c:pt idx="1335">
                  <c:v>1337</c:v>
                </c:pt>
                <c:pt idx="1336">
                  <c:v>1338</c:v>
                </c:pt>
                <c:pt idx="1337">
                  <c:v>1339</c:v>
                </c:pt>
                <c:pt idx="1338">
                  <c:v>1340</c:v>
                </c:pt>
                <c:pt idx="1339">
                  <c:v>1341</c:v>
                </c:pt>
                <c:pt idx="1340">
                  <c:v>1342</c:v>
                </c:pt>
                <c:pt idx="1341">
                  <c:v>1343</c:v>
                </c:pt>
                <c:pt idx="1342">
                  <c:v>1344</c:v>
                </c:pt>
                <c:pt idx="1343">
                  <c:v>1345</c:v>
                </c:pt>
                <c:pt idx="1344">
                  <c:v>1346</c:v>
                </c:pt>
                <c:pt idx="1345">
                  <c:v>1347</c:v>
                </c:pt>
                <c:pt idx="1346">
                  <c:v>1348</c:v>
                </c:pt>
                <c:pt idx="1347">
                  <c:v>1349</c:v>
                </c:pt>
                <c:pt idx="1348">
                  <c:v>1350</c:v>
                </c:pt>
                <c:pt idx="1349">
                  <c:v>1351</c:v>
                </c:pt>
                <c:pt idx="1350">
                  <c:v>1352</c:v>
                </c:pt>
                <c:pt idx="1351">
                  <c:v>1353</c:v>
                </c:pt>
                <c:pt idx="1352">
                  <c:v>1354</c:v>
                </c:pt>
                <c:pt idx="1353">
                  <c:v>1355</c:v>
                </c:pt>
                <c:pt idx="1354">
                  <c:v>1356</c:v>
                </c:pt>
                <c:pt idx="1355">
                  <c:v>1357</c:v>
                </c:pt>
                <c:pt idx="1356">
                  <c:v>1358</c:v>
                </c:pt>
                <c:pt idx="1357">
                  <c:v>1359</c:v>
                </c:pt>
                <c:pt idx="1358">
                  <c:v>1360</c:v>
                </c:pt>
                <c:pt idx="1359">
                  <c:v>1361</c:v>
                </c:pt>
                <c:pt idx="1360">
                  <c:v>1362</c:v>
                </c:pt>
                <c:pt idx="1361">
                  <c:v>1363</c:v>
                </c:pt>
                <c:pt idx="1362">
                  <c:v>1364</c:v>
                </c:pt>
                <c:pt idx="1363">
                  <c:v>1365</c:v>
                </c:pt>
                <c:pt idx="1364">
                  <c:v>1366</c:v>
                </c:pt>
                <c:pt idx="1365">
                  <c:v>1367</c:v>
                </c:pt>
                <c:pt idx="1366">
                  <c:v>1368</c:v>
                </c:pt>
                <c:pt idx="1367">
                  <c:v>1369</c:v>
                </c:pt>
                <c:pt idx="1368">
                  <c:v>1370</c:v>
                </c:pt>
                <c:pt idx="1369">
                  <c:v>1371</c:v>
                </c:pt>
                <c:pt idx="1370">
                  <c:v>1372</c:v>
                </c:pt>
                <c:pt idx="1371">
                  <c:v>1373</c:v>
                </c:pt>
                <c:pt idx="1372">
                  <c:v>1374</c:v>
                </c:pt>
                <c:pt idx="1373">
                  <c:v>1375</c:v>
                </c:pt>
                <c:pt idx="1374">
                  <c:v>1376</c:v>
                </c:pt>
                <c:pt idx="1375">
                  <c:v>1377</c:v>
                </c:pt>
                <c:pt idx="1376">
                  <c:v>1378</c:v>
                </c:pt>
                <c:pt idx="1377">
                  <c:v>1379</c:v>
                </c:pt>
                <c:pt idx="1378">
                  <c:v>1380</c:v>
                </c:pt>
                <c:pt idx="1379">
                  <c:v>1381</c:v>
                </c:pt>
                <c:pt idx="1380">
                  <c:v>1382</c:v>
                </c:pt>
                <c:pt idx="1381">
                  <c:v>1383</c:v>
                </c:pt>
                <c:pt idx="1382">
                  <c:v>1384</c:v>
                </c:pt>
                <c:pt idx="1383">
                  <c:v>1385</c:v>
                </c:pt>
                <c:pt idx="1384">
                  <c:v>1386</c:v>
                </c:pt>
                <c:pt idx="1385">
                  <c:v>1387</c:v>
                </c:pt>
                <c:pt idx="1386">
                  <c:v>1388</c:v>
                </c:pt>
                <c:pt idx="1387">
                  <c:v>1389</c:v>
                </c:pt>
                <c:pt idx="1388">
                  <c:v>1390</c:v>
                </c:pt>
                <c:pt idx="1389">
                  <c:v>1391</c:v>
                </c:pt>
                <c:pt idx="1390">
                  <c:v>1392</c:v>
                </c:pt>
                <c:pt idx="1391">
                  <c:v>1393</c:v>
                </c:pt>
                <c:pt idx="1392">
                  <c:v>1394</c:v>
                </c:pt>
                <c:pt idx="1393">
                  <c:v>1395</c:v>
                </c:pt>
                <c:pt idx="1394">
                  <c:v>1396</c:v>
                </c:pt>
                <c:pt idx="1395">
                  <c:v>1397</c:v>
                </c:pt>
                <c:pt idx="1396">
                  <c:v>1398</c:v>
                </c:pt>
                <c:pt idx="1397">
                  <c:v>1399</c:v>
                </c:pt>
                <c:pt idx="1398">
                  <c:v>1400</c:v>
                </c:pt>
                <c:pt idx="1399">
                  <c:v>1401</c:v>
                </c:pt>
                <c:pt idx="1400">
                  <c:v>1402</c:v>
                </c:pt>
                <c:pt idx="1401">
                  <c:v>1403</c:v>
                </c:pt>
                <c:pt idx="1402">
                  <c:v>1404</c:v>
                </c:pt>
                <c:pt idx="1403">
                  <c:v>1405</c:v>
                </c:pt>
                <c:pt idx="1404">
                  <c:v>1406</c:v>
                </c:pt>
                <c:pt idx="1405">
                  <c:v>1407</c:v>
                </c:pt>
                <c:pt idx="1406">
                  <c:v>1408</c:v>
                </c:pt>
                <c:pt idx="1407">
                  <c:v>1409</c:v>
                </c:pt>
                <c:pt idx="1408">
                  <c:v>1410</c:v>
                </c:pt>
                <c:pt idx="1409">
                  <c:v>1411</c:v>
                </c:pt>
                <c:pt idx="1410">
                  <c:v>1412</c:v>
                </c:pt>
                <c:pt idx="1411">
                  <c:v>1413</c:v>
                </c:pt>
                <c:pt idx="1412">
                  <c:v>1414</c:v>
                </c:pt>
                <c:pt idx="1413">
                  <c:v>1415</c:v>
                </c:pt>
                <c:pt idx="1414">
                  <c:v>1416</c:v>
                </c:pt>
                <c:pt idx="1415">
                  <c:v>1417</c:v>
                </c:pt>
                <c:pt idx="1416">
                  <c:v>1418</c:v>
                </c:pt>
                <c:pt idx="1417">
                  <c:v>1419</c:v>
                </c:pt>
                <c:pt idx="1418">
                  <c:v>1420</c:v>
                </c:pt>
                <c:pt idx="1419">
                  <c:v>1421</c:v>
                </c:pt>
                <c:pt idx="1420">
                  <c:v>1422</c:v>
                </c:pt>
                <c:pt idx="1421">
                  <c:v>1423</c:v>
                </c:pt>
                <c:pt idx="1422">
                  <c:v>1424</c:v>
                </c:pt>
                <c:pt idx="1423">
                  <c:v>1425</c:v>
                </c:pt>
                <c:pt idx="1424">
                  <c:v>1426</c:v>
                </c:pt>
                <c:pt idx="1425">
                  <c:v>1427</c:v>
                </c:pt>
                <c:pt idx="1426">
                  <c:v>1428</c:v>
                </c:pt>
                <c:pt idx="1427">
                  <c:v>1429</c:v>
                </c:pt>
                <c:pt idx="1428">
                  <c:v>1430</c:v>
                </c:pt>
                <c:pt idx="1429">
                  <c:v>1431</c:v>
                </c:pt>
                <c:pt idx="1430">
                  <c:v>1432</c:v>
                </c:pt>
                <c:pt idx="1431">
                  <c:v>1433</c:v>
                </c:pt>
                <c:pt idx="1432">
                  <c:v>1434</c:v>
                </c:pt>
                <c:pt idx="1433">
                  <c:v>1435</c:v>
                </c:pt>
                <c:pt idx="1434">
                  <c:v>1436</c:v>
                </c:pt>
                <c:pt idx="1435">
                  <c:v>1437</c:v>
                </c:pt>
                <c:pt idx="1436">
                  <c:v>1438</c:v>
                </c:pt>
                <c:pt idx="1437">
                  <c:v>1439</c:v>
                </c:pt>
                <c:pt idx="1438">
                  <c:v>1440</c:v>
                </c:pt>
                <c:pt idx="1439">
                  <c:v>1441</c:v>
                </c:pt>
                <c:pt idx="1440">
                  <c:v>1442</c:v>
                </c:pt>
                <c:pt idx="1441">
                  <c:v>1443</c:v>
                </c:pt>
                <c:pt idx="1442">
                  <c:v>1444</c:v>
                </c:pt>
                <c:pt idx="1443">
                  <c:v>1445</c:v>
                </c:pt>
                <c:pt idx="1444">
                  <c:v>1446</c:v>
                </c:pt>
                <c:pt idx="1445">
                  <c:v>1447</c:v>
                </c:pt>
                <c:pt idx="1446">
                  <c:v>1448</c:v>
                </c:pt>
                <c:pt idx="1447">
                  <c:v>1449</c:v>
                </c:pt>
                <c:pt idx="1448">
                  <c:v>1450</c:v>
                </c:pt>
                <c:pt idx="1449">
                  <c:v>1451</c:v>
                </c:pt>
                <c:pt idx="1450">
                  <c:v>1452</c:v>
                </c:pt>
                <c:pt idx="1451">
                  <c:v>1453</c:v>
                </c:pt>
                <c:pt idx="1452">
                  <c:v>1454</c:v>
                </c:pt>
                <c:pt idx="1453">
                  <c:v>1455</c:v>
                </c:pt>
                <c:pt idx="1454">
                  <c:v>1456</c:v>
                </c:pt>
                <c:pt idx="1455">
                  <c:v>1457</c:v>
                </c:pt>
                <c:pt idx="1456">
                  <c:v>1458</c:v>
                </c:pt>
                <c:pt idx="1457">
                  <c:v>1459</c:v>
                </c:pt>
                <c:pt idx="1458">
                  <c:v>1460</c:v>
                </c:pt>
                <c:pt idx="1459">
                  <c:v>1461</c:v>
                </c:pt>
                <c:pt idx="1460">
                  <c:v>1462</c:v>
                </c:pt>
                <c:pt idx="1461">
                  <c:v>1463</c:v>
                </c:pt>
                <c:pt idx="1462">
                  <c:v>1464</c:v>
                </c:pt>
                <c:pt idx="1463">
                  <c:v>1465</c:v>
                </c:pt>
                <c:pt idx="1464">
                  <c:v>1466</c:v>
                </c:pt>
                <c:pt idx="1465">
                  <c:v>1467</c:v>
                </c:pt>
                <c:pt idx="1466">
                  <c:v>1468</c:v>
                </c:pt>
                <c:pt idx="1467">
                  <c:v>1469</c:v>
                </c:pt>
                <c:pt idx="1468">
                  <c:v>1470</c:v>
                </c:pt>
                <c:pt idx="1469">
                  <c:v>1471</c:v>
                </c:pt>
                <c:pt idx="1470">
                  <c:v>1472</c:v>
                </c:pt>
                <c:pt idx="1471">
                  <c:v>1473</c:v>
                </c:pt>
                <c:pt idx="1472">
                  <c:v>1474</c:v>
                </c:pt>
                <c:pt idx="1473">
                  <c:v>1475</c:v>
                </c:pt>
                <c:pt idx="1474">
                  <c:v>1476</c:v>
                </c:pt>
                <c:pt idx="1475">
                  <c:v>1477</c:v>
                </c:pt>
                <c:pt idx="1476">
                  <c:v>1478</c:v>
                </c:pt>
                <c:pt idx="1477">
                  <c:v>1479</c:v>
                </c:pt>
                <c:pt idx="1478">
                  <c:v>1480</c:v>
                </c:pt>
                <c:pt idx="1479">
                  <c:v>1481</c:v>
                </c:pt>
                <c:pt idx="1480">
                  <c:v>1482</c:v>
                </c:pt>
                <c:pt idx="1481">
                  <c:v>1483</c:v>
                </c:pt>
                <c:pt idx="1482">
                  <c:v>1484</c:v>
                </c:pt>
                <c:pt idx="1483">
                  <c:v>1485</c:v>
                </c:pt>
                <c:pt idx="1484">
                  <c:v>1486</c:v>
                </c:pt>
                <c:pt idx="1485">
                  <c:v>1487</c:v>
                </c:pt>
                <c:pt idx="1486">
                  <c:v>1488</c:v>
                </c:pt>
                <c:pt idx="1487">
                  <c:v>1489</c:v>
                </c:pt>
                <c:pt idx="1488">
                  <c:v>1490</c:v>
                </c:pt>
                <c:pt idx="1489">
                  <c:v>1491</c:v>
                </c:pt>
                <c:pt idx="1490">
                  <c:v>1492</c:v>
                </c:pt>
                <c:pt idx="1491">
                  <c:v>1493</c:v>
                </c:pt>
                <c:pt idx="1492">
                  <c:v>1494</c:v>
                </c:pt>
                <c:pt idx="1493">
                  <c:v>1495</c:v>
                </c:pt>
                <c:pt idx="1494">
                  <c:v>1496</c:v>
                </c:pt>
                <c:pt idx="1495">
                  <c:v>1497</c:v>
                </c:pt>
                <c:pt idx="1496">
                  <c:v>1498</c:v>
                </c:pt>
                <c:pt idx="1497">
                  <c:v>1499</c:v>
                </c:pt>
                <c:pt idx="1498">
                  <c:v>1500</c:v>
                </c:pt>
                <c:pt idx="1499">
                  <c:v>1501</c:v>
                </c:pt>
                <c:pt idx="1500">
                  <c:v>1502</c:v>
                </c:pt>
                <c:pt idx="1501">
                  <c:v>1503</c:v>
                </c:pt>
                <c:pt idx="1502">
                  <c:v>1504</c:v>
                </c:pt>
                <c:pt idx="1503">
                  <c:v>1505</c:v>
                </c:pt>
                <c:pt idx="1504">
                  <c:v>1506</c:v>
                </c:pt>
                <c:pt idx="1505">
                  <c:v>1507</c:v>
                </c:pt>
                <c:pt idx="1506">
                  <c:v>1508</c:v>
                </c:pt>
                <c:pt idx="1507">
                  <c:v>1509</c:v>
                </c:pt>
                <c:pt idx="1508">
                  <c:v>1510</c:v>
                </c:pt>
                <c:pt idx="1509">
                  <c:v>1511</c:v>
                </c:pt>
                <c:pt idx="1510">
                  <c:v>1512</c:v>
                </c:pt>
                <c:pt idx="1511">
                  <c:v>1513</c:v>
                </c:pt>
                <c:pt idx="1512">
                  <c:v>1514</c:v>
                </c:pt>
                <c:pt idx="1513">
                  <c:v>1515</c:v>
                </c:pt>
                <c:pt idx="1514">
                  <c:v>1516</c:v>
                </c:pt>
                <c:pt idx="1515">
                  <c:v>1517</c:v>
                </c:pt>
                <c:pt idx="1516">
                  <c:v>1518</c:v>
                </c:pt>
                <c:pt idx="1517">
                  <c:v>1519</c:v>
                </c:pt>
                <c:pt idx="1518">
                  <c:v>1520</c:v>
                </c:pt>
                <c:pt idx="1519">
                  <c:v>1521</c:v>
                </c:pt>
                <c:pt idx="1520">
                  <c:v>1522</c:v>
                </c:pt>
                <c:pt idx="1521">
                  <c:v>1523</c:v>
                </c:pt>
                <c:pt idx="1522">
                  <c:v>1524</c:v>
                </c:pt>
                <c:pt idx="1523">
                  <c:v>1525</c:v>
                </c:pt>
                <c:pt idx="1524">
                  <c:v>1526</c:v>
                </c:pt>
                <c:pt idx="1525">
                  <c:v>1527</c:v>
                </c:pt>
                <c:pt idx="1526">
                  <c:v>1528</c:v>
                </c:pt>
                <c:pt idx="1527">
                  <c:v>1529</c:v>
                </c:pt>
                <c:pt idx="1528">
                  <c:v>1530</c:v>
                </c:pt>
                <c:pt idx="1529">
                  <c:v>1531</c:v>
                </c:pt>
                <c:pt idx="1530">
                  <c:v>1532</c:v>
                </c:pt>
                <c:pt idx="1531">
                  <c:v>1533</c:v>
                </c:pt>
                <c:pt idx="1532">
                  <c:v>1534</c:v>
                </c:pt>
                <c:pt idx="1533">
                  <c:v>1535</c:v>
                </c:pt>
                <c:pt idx="1534">
                  <c:v>1536</c:v>
                </c:pt>
                <c:pt idx="1535">
                  <c:v>1537</c:v>
                </c:pt>
                <c:pt idx="1536">
                  <c:v>1538</c:v>
                </c:pt>
                <c:pt idx="1537">
                  <c:v>1539</c:v>
                </c:pt>
                <c:pt idx="1538">
                  <c:v>1540</c:v>
                </c:pt>
                <c:pt idx="1539">
                  <c:v>1541</c:v>
                </c:pt>
                <c:pt idx="1540">
                  <c:v>1542</c:v>
                </c:pt>
                <c:pt idx="1541">
                  <c:v>1543</c:v>
                </c:pt>
                <c:pt idx="1542">
                  <c:v>1544</c:v>
                </c:pt>
                <c:pt idx="1543">
                  <c:v>1545</c:v>
                </c:pt>
                <c:pt idx="1544">
                  <c:v>1546</c:v>
                </c:pt>
                <c:pt idx="1545">
                  <c:v>1547</c:v>
                </c:pt>
                <c:pt idx="1546">
                  <c:v>1548</c:v>
                </c:pt>
                <c:pt idx="1547">
                  <c:v>1549</c:v>
                </c:pt>
                <c:pt idx="1548">
                  <c:v>1550</c:v>
                </c:pt>
                <c:pt idx="1549">
                  <c:v>1551</c:v>
                </c:pt>
                <c:pt idx="1550">
                  <c:v>1552</c:v>
                </c:pt>
                <c:pt idx="1551">
                  <c:v>1553</c:v>
                </c:pt>
                <c:pt idx="1552">
                  <c:v>1554</c:v>
                </c:pt>
                <c:pt idx="1553">
                  <c:v>1555</c:v>
                </c:pt>
                <c:pt idx="1554">
                  <c:v>1556</c:v>
                </c:pt>
                <c:pt idx="1555">
                  <c:v>1557</c:v>
                </c:pt>
                <c:pt idx="1556">
                  <c:v>1558</c:v>
                </c:pt>
                <c:pt idx="1557">
                  <c:v>1559</c:v>
                </c:pt>
                <c:pt idx="1558">
                  <c:v>1560</c:v>
                </c:pt>
                <c:pt idx="1559">
                  <c:v>1561</c:v>
                </c:pt>
                <c:pt idx="1560">
                  <c:v>1562</c:v>
                </c:pt>
                <c:pt idx="1561">
                  <c:v>1563</c:v>
                </c:pt>
                <c:pt idx="1562">
                  <c:v>1564</c:v>
                </c:pt>
                <c:pt idx="1563">
                  <c:v>1565</c:v>
                </c:pt>
                <c:pt idx="1564">
                  <c:v>1566</c:v>
                </c:pt>
                <c:pt idx="1565">
                  <c:v>1567</c:v>
                </c:pt>
                <c:pt idx="1566">
                  <c:v>1568</c:v>
                </c:pt>
                <c:pt idx="1567">
                  <c:v>1569</c:v>
                </c:pt>
                <c:pt idx="1568">
                  <c:v>1570</c:v>
                </c:pt>
                <c:pt idx="1569">
                  <c:v>1571</c:v>
                </c:pt>
                <c:pt idx="1570">
                  <c:v>1572</c:v>
                </c:pt>
                <c:pt idx="1571">
                  <c:v>1573</c:v>
                </c:pt>
                <c:pt idx="1572">
                  <c:v>1574</c:v>
                </c:pt>
                <c:pt idx="1573">
                  <c:v>1575</c:v>
                </c:pt>
                <c:pt idx="1574">
                  <c:v>1576</c:v>
                </c:pt>
                <c:pt idx="1575">
                  <c:v>1577</c:v>
                </c:pt>
                <c:pt idx="1576">
                  <c:v>1578</c:v>
                </c:pt>
                <c:pt idx="1577">
                  <c:v>1579</c:v>
                </c:pt>
                <c:pt idx="1578">
                  <c:v>1580</c:v>
                </c:pt>
                <c:pt idx="1579">
                  <c:v>1581</c:v>
                </c:pt>
                <c:pt idx="1580">
                  <c:v>1582</c:v>
                </c:pt>
                <c:pt idx="1581">
                  <c:v>1583</c:v>
                </c:pt>
                <c:pt idx="1582">
                  <c:v>1584</c:v>
                </c:pt>
                <c:pt idx="1583">
                  <c:v>1585</c:v>
                </c:pt>
                <c:pt idx="1584">
                  <c:v>1586</c:v>
                </c:pt>
                <c:pt idx="1585">
                  <c:v>1587</c:v>
                </c:pt>
                <c:pt idx="1586">
                  <c:v>1588</c:v>
                </c:pt>
                <c:pt idx="1587">
                  <c:v>1589</c:v>
                </c:pt>
                <c:pt idx="1588">
                  <c:v>1590</c:v>
                </c:pt>
                <c:pt idx="1589">
                  <c:v>1591</c:v>
                </c:pt>
                <c:pt idx="1590">
                  <c:v>1592</c:v>
                </c:pt>
                <c:pt idx="1591">
                  <c:v>1593</c:v>
                </c:pt>
                <c:pt idx="1592">
                  <c:v>1594</c:v>
                </c:pt>
                <c:pt idx="1593">
                  <c:v>1595</c:v>
                </c:pt>
                <c:pt idx="1594">
                  <c:v>1596</c:v>
                </c:pt>
                <c:pt idx="1595">
                  <c:v>1597</c:v>
                </c:pt>
                <c:pt idx="1596">
                  <c:v>1598</c:v>
                </c:pt>
                <c:pt idx="1597">
                  <c:v>1599</c:v>
                </c:pt>
                <c:pt idx="1598">
                  <c:v>1600</c:v>
                </c:pt>
                <c:pt idx="1599">
                  <c:v>1601</c:v>
                </c:pt>
                <c:pt idx="1600">
                  <c:v>1602</c:v>
                </c:pt>
                <c:pt idx="1601">
                  <c:v>1603</c:v>
                </c:pt>
                <c:pt idx="1602">
                  <c:v>1604</c:v>
                </c:pt>
                <c:pt idx="1603">
                  <c:v>1605</c:v>
                </c:pt>
                <c:pt idx="1604">
                  <c:v>1606</c:v>
                </c:pt>
                <c:pt idx="1605">
                  <c:v>1607</c:v>
                </c:pt>
                <c:pt idx="1606">
                  <c:v>1608</c:v>
                </c:pt>
                <c:pt idx="1607">
                  <c:v>1609</c:v>
                </c:pt>
                <c:pt idx="1608">
                  <c:v>1610</c:v>
                </c:pt>
                <c:pt idx="1609">
                  <c:v>1611</c:v>
                </c:pt>
                <c:pt idx="1610">
                  <c:v>1612</c:v>
                </c:pt>
                <c:pt idx="1611">
                  <c:v>1613</c:v>
                </c:pt>
                <c:pt idx="1612">
                  <c:v>1614</c:v>
                </c:pt>
                <c:pt idx="1613">
                  <c:v>1615</c:v>
                </c:pt>
                <c:pt idx="1614">
                  <c:v>1616</c:v>
                </c:pt>
                <c:pt idx="1615">
                  <c:v>1617</c:v>
                </c:pt>
                <c:pt idx="1616">
                  <c:v>1618</c:v>
                </c:pt>
                <c:pt idx="1617">
                  <c:v>1619</c:v>
                </c:pt>
                <c:pt idx="1618">
                  <c:v>1620</c:v>
                </c:pt>
                <c:pt idx="1619">
                  <c:v>1621</c:v>
                </c:pt>
                <c:pt idx="1620">
                  <c:v>1622</c:v>
                </c:pt>
                <c:pt idx="1621">
                  <c:v>1623</c:v>
                </c:pt>
                <c:pt idx="1622">
                  <c:v>1624</c:v>
                </c:pt>
                <c:pt idx="1623">
                  <c:v>1625</c:v>
                </c:pt>
                <c:pt idx="1624">
                  <c:v>1626</c:v>
                </c:pt>
                <c:pt idx="1625">
                  <c:v>1627</c:v>
                </c:pt>
                <c:pt idx="1626">
                  <c:v>1628</c:v>
                </c:pt>
                <c:pt idx="1627">
                  <c:v>1629</c:v>
                </c:pt>
                <c:pt idx="1628">
                  <c:v>1630</c:v>
                </c:pt>
                <c:pt idx="1629">
                  <c:v>1631</c:v>
                </c:pt>
                <c:pt idx="1630">
                  <c:v>1632</c:v>
                </c:pt>
                <c:pt idx="1631">
                  <c:v>1633</c:v>
                </c:pt>
                <c:pt idx="1632">
                  <c:v>1634</c:v>
                </c:pt>
                <c:pt idx="1633">
                  <c:v>1635</c:v>
                </c:pt>
                <c:pt idx="1634">
                  <c:v>1636</c:v>
                </c:pt>
                <c:pt idx="1635">
                  <c:v>1637</c:v>
                </c:pt>
                <c:pt idx="1636">
                  <c:v>1638</c:v>
                </c:pt>
                <c:pt idx="1637">
                  <c:v>1639</c:v>
                </c:pt>
                <c:pt idx="1638">
                  <c:v>1640</c:v>
                </c:pt>
                <c:pt idx="1639">
                  <c:v>1641</c:v>
                </c:pt>
                <c:pt idx="1640">
                  <c:v>1642</c:v>
                </c:pt>
                <c:pt idx="1641">
                  <c:v>1643</c:v>
                </c:pt>
                <c:pt idx="1642">
                  <c:v>1644</c:v>
                </c:pt>
                <c:pt idx="1643">
                  <c:v>1645</c:v>
                </c:pt>
                <c:pt idx="1644">
                  <c:v>1646</c:v>
                </c:pt>
                <c:pt idx="1645">
                  <c:v>1647</c:v>
                </c:pt>
                <c:pt idx="1646">
                  <c:v>1648</c:v>
                </c:pt>
                <c:pt idx="1647">
                  <c:v>1649</c:v>
                </c:pt>
                <c:pt idx="1648">
                  <c:v>1650</c:v>
                </c:pt>
                <c:pt idx="1649">
                  <c:v>1651</c:v>
                </c:pt>
                <c:pt idx="1650">
                  <c:v>1652</c:v>
                </c:pt>
                <c:pt idx="1651">
                  <c:v>1653</c:v>
                </c:pt>
                <c:pt idx="1652">
                  <c:v>1654</c:v>
                </c:pt>
                <c:pt idx="1653">
                  <c:v>1655</c:v>
                </c:pt>
                <c:pt idx="1654">
                  <c:v>1656</c:v>
                </c:pt>
                <c:pt idx="1655">
                  <c:v>1657</c:v>
                </c:pt>
                <c:pt idx="1656">
                  <c:v>1658</c:v>
                </c:pt>
                <c:pt idx="1657">
                  <c:v>1659</c:v>
                </c:pt>
                <c:pt idx="1658">
                  <c:v>1660</c:v>
                </c:pt>
                <c:pt idx="1659">
                  <c:v>1661</c:v>
                </c:pt>
                <c:pt idx="1660">
                  <c:v>1662</c:v>
                </c:pt>
                <c:pt idx="1661">
                  <c:v>1663</c:v>
                </c:pt>
                <c:pt idx="1662">
                  <c:v>1664</c:v>
                </c:pt>
                <c:pt idx="1663">
                  <c:v>1665</c:v>
                </c:pt>
                <c:pt idx="1664">
                  <c:v>1666</c:v>
                </c:pt>
                <c:pt idx="1665">
                  <c:v>1667</c:v>
                </c:pt>
                <c:pt idx="1666">
                  <c:v>1668</c:v>
                </c:pt>
                <c:pt idx="1667">
                  <c:v>1669</c:v>
                </c:pt>
                <c:pt idx="1668">
                  <c:v>1670</c:v>
                </c:pt>
                <c:pt idx="1669">
                  <c:v>1671</c:v>
                </c:pt>
                <c:pt idx="1670">
                  <c:v>1672</c:v>
                </c:pt>
                <c:pt idx="1671">
                  <c:v>1673</c:v>
                </c:pt>
                <c:pt idx="1672">
                  <c:v>1674</c:v>
                </c:pt>
                <c:pt idx="1673">
                  <c:v>1675</c:v>
                </c:pt>
                <c:pt idx="1674">
                  <c:v>1676</c:v>
                </c:pt>
                <c:pt idx="1675">
                  <c:v>1677</c:v>
                </c:pt>
                <c:pt idx="1676">
                  <c:v>1678</c:v>
                </c:pt>
                <c:pt idx="1677">
                  <c:v>1679</c:v>
                </c:pt>
                <c:pt idx="1678">
                  <c:v>1680</c:v>
                </c:pt>
                <c:pt idx="1679">
                  <c:v>1681</c:v>
                </c:pt>
                <c:pt idx="1680">
                  <c:v>1682</c:v>
                </c:pt>
                <c:pt idx="1681">
                  <c:v>1683</c:v>
                </c:pt>
                <c:pt idx="1682">
                  <c:v>1684</c:v>
                </c:pt>
                <c:pt idx="1683">
                  <c:v>1685</c:v>
                </c:pt>
                <c:pt idx="1684">
                  <c:v>1686</c:v>
                </c:pt>
                <c:pt idx="1685">
                  <c:v>1687</c:v>
                </c:pt>
                <c:pt idx="1686">
                  <c:v>1688</c:v>
                </c:pt>
                <c:pt idx="1687">
                  <c:v>1689</c:v>
                </c:pt>
                <c:pt idx="1688">
                  <c:v>1690</c:v>
                </c:pt>
                <c:pt idx="1689">
                  <c:v>1691</c:v>
                </c:pt>
                <c:pt idx="1690">
                  <c:v>1692</c:v>
                </c:pt>
                <c:pt idx="1691">
                  <c:v>1693</c:v>
                </c:pt>
                <c:pt idx="1692">
                  <c:v>1694</c:v>
                </c:pt>
                <c:pt idx="1693">
                  <c:v>1695</c:v>
                </c:pt>
                <c:pt idx="1694">
                  <c:v>1696</c:v>
                </c:pt>
                <c:pt idx="1695">
                  <c:v>1697</c:v>
                </c:pt>
                <c:pt idx="1696">
                  <c:v>1698</c:v>
                </c:pt>
                <c:pt idx="1697">
                  <c:v>1699</c:v>
                </c:pt>
                <c:pt idx="1698">
                  <c:v>1700</c:v>
                </c:pt>
                <c:pt idx="1699">
                  <c:v>1701</c:v>
                </c:pt>
                <c:pt idx="1700">
                  <c:v>1702</c:v>
                </c:pt>
                <c:pt idx="1701">
                  <c:v>1703</c:v>
                </c:pt>
                <c:pt idx="1702">
                  <c:v>1704</c:v>
                </c:pt>
                <c:pt idx="1703">
                  <c:v>1705</c:v>
                </c:pt>
                <c:pt idx="1704">
                  <c:v>1706</c:v>
                </c:pt>
                <c:pt idx="1705">
                  <c:v>1707</c:v>
                </c:pt>
                <c:pt idx="1706">
                  <c:v>1708</c:v>
                </c:pt>
                <c:pt idx="1707">
                  <c:v>1709</c:v>
                </c:pt>
                <c:pt idx="1708">
                  <c:v>1710</c:v>
                </c:pt>
                <c:pt idx="1709">
                  <c:v>1711</c:v>
                </c:pt>
                <c:pt idx="1710">
                  <c:v>1712</c:v>
                </c:pt>
                <c:pt idx="1711">
                  <c:v>1713</c:v>
                </c:pt>
                <c:pt idx="1712">
                  <c:v>1714</c:v>
                </c:pt>
                <c:pt idx="1713">
                  <c:v>1715</c:v>
                </c:pt>
                <c:pt idx="1714">
                  <c:v>1716</c:v>
                </c:pt>
                <c:pt idx="1715">
                  <c:v>1717</c:v>
                </c:pt>
                <c:pt idx="1716">
                  <c:v>1718</c:v>
                </c:pt>
                <c:pt idx="1717">
                  <c:v>1719</c:v>
                </c:pt>
                <c:pt idx="1718">
                  <c:v>1720</c:v>
                </c:pt>
                <c:pt idx="1719">
                  <c:v>1721</c:v>
                </c:pt>
                <c:pt idx="1720">
                  <c:v>1722</c:v>
                </c:pt>
                <c:pt idx="1721">
                  <c:v>1723</c:v>
                </c:pt>
                <c:pt idx="1722">
                  <c:v>1724</c:v>
                </c:pt>
                <c:pt idx="1723">
                  <c:v>1725</c:v>
                </c:pt>
                <c:pt idx="1724">
                  <c:v>1726</c:v>
                </c:pt>
                <c:pt idx="1725">
                  <c:v>1727</c:v>
                </c:pt>
                <c:pt idx="1726">
                  <c:v>1728</c:v>
                </c:pt>
                <c:pt idx="1727">
                  <c:v>1729</c:v>
                </c:pt>
                <c:pt idx="1728">
                  <c:v>1730</c:v>
                </c:pt>
                <c:pt idx="1729">
                  <c:v>1731</c:v>
                </c:pt>
                <c:pt idx="1730">
                  <c:v>1732</c:v>
                </c:pt>
                <c:pt idx="1731">
                  <c:v>1733</c:v>
                </c:pt>
                <c:pt idx="1732">
                  <c:v>1734</c:v>
                </c:pt>
                <c:pt idx="1733">
                  <c:v>1735</c:v>
                </c:pt>
                <c:pt idx="1734">
                  <c:v>1736</c:v>
                </c:pt>
                <c:pt idx="1735">
                  <c:v>1737</c:v>
                </c:pt>
                <c:pt idx="1736">
                  <c:v>1738</c:v>
                </c:pt>
                <c:pt idx="1737">
                  <c:v>1739</c:v>
                </c:pt>
                <c:pt idx="1738">
                  <c:v>1740</c:v>
                </c:pt>
                <c:pt idx="1739">
                  <c:v>1741</c:v>
                </c:pt>
                <c:pt idx="1740">
                  <c:v>1742</c:v>
                </c:pt>
                <c:pt idx="1741">
                  <c:v>1743</c:v>
                </c:pt>
                <c:pt idx="1742">
                  <c:v>1744</c:v>
                </c:pt>
                <c:pt idx="1743">
                  <c:v>1745</c:v>
                </c:pt>
                <c:pt idx="1744">
                  <c:v>1746</c:v>
                </c:pt>
                <c:pt idx="1745">
                  <c:v>1747</c:v>
                </c:pt>
                <c:pt idx="1746">
                  <c:v>1748</c:v>
                </c:pt>
                <c:pt idx="1747">
                  <c:v>1749</c:v>
                </c:pt>
                <c:pt idx="1748">
                  <c:v>1750</c:v>
                </c:pt>
                <c:pt idx="1749">
                  <c:v>1751</c:v>
                </c:pt>
                <c:pt idx="1750">
                  <c:v>1752</c:v>
                </c:pt>
                <c:pt idx="1751">
                  <c:v>1753</c:v>
                </c:pt>
                <c:pt idx="1752">
                  <c:v>1754</c:v>
                </c:pt>
                <c:pt idx="1753">
                  <c:v>1755</c:v>
                </c:pt>
                <c:pt idx="1754">
                  <c:v>1756</c:v>
                </c:pt>
                <c:pt idx="1755">
                  <c:v>1757</c:v>
                </c:pt>
                <c:pt idx="1756">
                  <c:v>1758</c:v>
                </c:pt>
                <c:pt idx="1757">
                  <c:v>1759</c:v>
                </c:pt>
                <c:pt idx="1758">
                  <c:v>1760</c:v>
                </c:pt>
                <c:pt idx="1759">
                  <c:v>1761</c:v>
                </c:pt>
                <c:pt idx="1760">
                  <c:v>1762</c:v>
                </c:pt>
                <c:pt idx="1761">
                  <c:v>1763</c:v>
                </c:pt>
                <c:pt idx="1762">
                  <c:v>1764</c:v>
                </c:pt>
                <c:pt idx="1763">
                  <c:v>1765</c:v>
                </c:pt>
                <c:pt idx="1764">
                  <c:v>1766</c:v>
                </c:pt>
                <c:pt idx="1765">
                  <c:v>1767</c:v>
                </c:pt>
                <c:pt idx="1766">
                  <c:v>1768</c:v>
                </c:pt>
                <c:pt idx="1767">
                  <c:v>1769</c:v>
                </c:pt>
                <c:pt idx="1768">
                  <c:v>1770</c:v>
                </c:pt>
                <c:pt idx="1769">
                  <c:v>1771</c:v>
                </c:pt>
                <c:pt idx="1770">
                  <c:v>1772</c:v>
                </c:pt>
                <c:pt idx="1771">
                  <c:v>1773</c:v>
                </c:pt>
                <c:pt idx="1772">
                  <c:v>1774</c:v>
                </c:pt>
                <c:pt idx="1773">
                  <c:v>1775</c:v>
                </c:pt>
                <c:pt idx="1774">
                  <c:v>1776</c:v>
                </c:pt>
                <c:pt idx="1775">
                  <c:v>1777</c:v>
                </c:pt>
                <c:pt idx="1776">
                  <c:v>1778</c:v>
                </c:pt>
                <c:pt idx="1777">
                  <c:v>1779</c:v>
                </c:pt>
                <c:pt idx="1778">
                  <c:v>1780</c:v>
                </c:pt>
                <c:pt idx="1779">
                  <c:v>1781</c:v>
                </c:pt>
                <c:pt idx="1780">
                  <c:v>1782</c:v>
                </c:pt>
                <c:pt idx="1781">
                  <c:v>1783</c:v>
                </c:pt>
                <c:pt idx="1782">
                  <c:v>1784</c:v>
                </c:pt>
                <c:pt idx="1783">
                  <c:v>1785</c:v>
                </c:pt>
                <c:pt idx="1784">
                  <c:v>1786</c:v>
                </c:pt>
                <c:pt idx="1785">
                  <c:v>1787</c:v>
                </c:pt>
                <c:pt idx="1786">
                  <c:v>1788</c:v>
                </c:pt>
                <c:pt idx="1787">
                  <c:v>1789</c:v>
                </c:pt>
                <c:pt idx="1788">
                  <c:v>1790</c:v>
                </c:pt>
                <c:pt idx="1789">
                  <c:v>1791</c:v>
                </c:pt>
                <c:pt idx="1790">
                  <c:v>1792</c:v>
                </c:pt>
                <c:pt idx="1791">
                  <c:v>1793</c:v>
                </c:pt>
              </c:numCache>
            </c:numRef>
          </c:xVal>
          <c:yVal>
            <c:numRef>
              <c:f>Sheet1!$J$4:$J$2000</c:f>
              <c:numCache>
                <c:formatCode>General</c:formatCode>
                <c:ptCount val="1997"/>
                <c:pt idx="0">
                  <c:v>158924.7853942872</c:v>
                </c:pt>
                <c:pt idx="1">
                  <c:v>158924.7853942872</c:v>
                </c:pt>
                <c:pt idx="2">
                  <c:v>158924.7853942872</c:v>
                </c:pt>
                <c:pt idx="3">
                  <c:v>158924.7853942872</c:v>
                </c:pt>
                <c:pt idx="4">
                  <c:v>158924.7853942872</c:v>
                </c:pt>
                <c:pt idx="5">
                  <c:v>158924.7853942872</c:v>
                </c:pt>
                <c:pt idx="6">
                  <c:v>158924.7853942872</c:v>
                </c:pt>
                <c:pt idx="7">
                  <c:v>158924.7853942872</c:v>
                </c:pt>
                <c:pt idx="8">
                  <c:v>158924.7853942872</c:v>
                </c:pt>
                <c:pt idx="9">
                  <c:v>158924.7853942872</c:v>
                </c:pt>
                <c:pt idx="10">
                  <c:v>158924.7853942872</c:v>
                </c:pt>
                <c:pt idx="11">
                  <c:v>158924.7853942872</c:v>
                </c:pt>
                <c:pt idx="12">
                  <c:v>158924.7853942872</c:v>
                </c:pt>
                <c:pt idx="13">
                  <c:v>158924.7853942872</c:v>
                </c:pt>
                <c:pt idx="14">
                  <c:v>158924.7853942872</c:v>
                </c:pt>
                <c:pt idx="15">
                  <c:v>158924.7853942872</c:v>
                </c:pt>
                <c:pt idx="16">
                  <c:v>158924.7853942872</c:v>
                </c:pt>
                <c:pt idx="17">
                  <c:v>158924.7853942872</c:v>
                </c:pt>
                <c:pt idx="18">
                  <c:v>158924.7853942872</c:v>
                </c:pt>
                <c:pt idx="19">
                  <c:v>158924.7853942872</c:v>
                </c:pt>
                <c:pt idx="20">
                  <c:v>158924.7853942872</c:v>
                </c:pt>
                <c:pt idx="21">
                  <c:v>158924.7853942872</c:v>
                </c:pt>
                <c:pt idx="22">
                  <c:v>158924.7853942872</c:v>
                </c:pt>
                <c:pt idx="23">
                  <c:v>158924.7853942872</c:v>
                </c:pt>
                <c:pt idx="24">
                  <c:v>158924.7853942872</c:v>
                </c:pt>
                <c:pt idx="25">
                  <c:v>150814.54362246898</c:v>
                </c:pt>
                <c:pt idx="26">
                  <c:v>150814.54362246898</c:v>
                </c:pt>
                <c:pt idx="27">
                  <c:v>150814.54362246898</c:v>
                </c:pt>
                <c:pt idx="28">
                  <c:v>150814.54362246898</c:v>
                </c:pt>
                <c:pt idx="29">
                  <c:v>150814.54362246898</c:v>
                </c:pt>
                <c:pt idx="30">
                  <c:v>150814.54362246898</c:v>
                </c:pt>
                <c:pt idx="31">
                  <c:v>150814.54362246898</c:v>
                </c:pt>
                <c:pt idx="32">
                  <c:v>150814.54362246898</c:v>
                </c:pt>
                <c:pt idx="33">
                  <c:v>150814.54362246898</c:v>
                </c:pt>
                <c:pt idx="34">
                  <c:v>150814.54362246898</c:v>
                </c:pt>
                <c:pt idx="35">
                  <c:v>150814.54362246898</c:v>
                </c:pt>
                <c:pt idx="36">
                  <c:v>150814.54362246898</c:v>
                </c:pt>
                <c:pt idx="37">
                  <c:v>150814.54362246898</c:v>
                </c:pt>
                <c:pt idx="38">
                  <c:v>150814.54362246898</c:v>
                </c:pt>
                <c:pt idx="39">
                  <c:v>150814.54362246898</c:v>
                </c:pt>
                <c:pt idx="40">
                  <c:v>150814.54362246898</c:v>
                </c:pt>
                <c:pt idx="41">
                  <c:v>150814.54362246898</c:v>
                </c:pt>
                <c:pt idx="42">
                  <c:v>150814.54362246898</c:v>
                </c:pt>
                <c:pt idx="43">
                  <c:v>150814.54362246898</c:v>
                </c:pt>
                <c:pt idx="44">
                  <c:v>150814.54362246898</c:v>
                </c:pt>
                <c:pt idx="45">
                  <c:v>150814.54362246898</c:v>
                </c:pt>
                <c:pt idx="46">
                  <c:v>150814.54362246898</c:v>
                </c:pt>
                <c:pt idx="47">
                  <c:v>150814.54362246898</c:v>
                </c:pt>
                <c:pt idx="48">
                  <c:v>150814.54362246898</c:v>
                </c:pt>
                <c:pt idx="49">
                  <c:v>150814.54362246898</c:v>
                </c:pt>
                <c:pt idx="50">
                  <c:v>150814.54362246898</c:v>
                </c:pt>
                <c:pt idx="51">
                  <c:v>150814.54362246898</c:v>
                </c:pt>
                <c:pt idx="52">
                  <c:v>150814.54362246898</c:v>
                </c:pt>
                <c:pt idx="53">
                  <c:v>150814.54362246898</c:v>
                </c:pt>
                <c:pt idx="54">
                  <c:v>150814.54362246898</c:v>
                </c:pt>
                <c:pt idx="55">
                  <c:v>150814.54362246898</c:v>
                </c:pt>
                <c:pt idx="56">
                  <c:v>143709.16188145691</c:v>
                </c:pt>
                <c:pt idx="57">
                  <c:v>143709.16188145691</c:v>
                </c:pt>
                <c:pt idx="58">
                  <c:v>143709.16188145691</c:v>
                </c:pt>
                <c:pt idx="59">
                  <c:v>143709.16188145691</c:v>
                </c:pt>
                <c:pt idx="60">
                  <c:v>143709.16188145691</c:v>
                </c:pt>
                <c:pt idx="61">
                  <c:v>143709.16188145691</c:v>
                </c:pt>
                <c:pt idx="62">
                  <c:v>143709.16188145691</c:v>
                </c:pt>
                <c:pt idx="63">
                  <c:v>143709.16188145691</c:v>
                </c:pt>
                <c:pt idx="64">
                  <c:v>143709.16188145691</c:v>
                </c:pt>
                <c:pt idx="65">
                  <c:v>143709.16188145691</c:v>
                </c:pt>
                <c:pt idx="66">
                  <c:v>143709.16188145691</c:v>
                </c:pt>
                <c:pt idx="67">
                  <c:v>143709.16188145691</c:v>
                </c:pt>
                <c:pt idx="68">
                  <c:v>143709.16188145691</c:v>
                </c:pt>
                <c:pt idx="69">
                  <c:v>143709.16188145691</c:v>
                </c:pt>
                <c:pt idx="70">
                  <c:v>143709.16188145691</c:v>
                </c:pt>
                <c:pt idx="71">
                  <c:v>143709.16188145691</c:v>
                </c:pt>
                <c:pt idx="72">
                  <c:v>143709.16188145691</c:v>
                </c:pt>
                <c:pt idx="73">
                  <c:v>143709.16188145691</c:v>
                </c:pt>
                <c:pt idx="74">
                  <c:v>143709.16188145691</c:v>
                </c:pt>
                <c:pt idx="75">
                  <c:v>143709.16188145691</c:v>
                </c:pt>
                <c:pt idx="76">
                  <c:v>143709.16188145691</c:v>
                </c:pt>
                <c:pt idx="77">
                  <c:v>143709.16188145691</c:v>
                </c:pt>
                <c:pt idx="78">
                  <c:v>143709.16188145691</c:v>
                </c:pt>
                <c:pt idx="79">
                  <c:v>143709.16188145691</c:v>
                </c:pt>
                <c:pt idx="80">
                  <c:v>143709.16188145691</c:v>
                </c:pt>
                <c:pt idx="81">
                  <c:v>143709.16188145691</c:v>
                </c:pt>
                <c:pt idx="82">
                  <c:v>143709.16188145691</c:v>
                </c:pt>
                <c:pt idx="83">
                  <c:v>143709.16188145691</c:v>
                </c:pt>
                <c:pt idx="84">
                  <c:v>143709.16188145691</c:v>
                </c:pt>
                <c:pt idx="85">
                  <c:v>143709.16188145691</c:v>
                </c:pt>
                <c:pt idx="86">
                  <c:v>137658.3393223813</c:v>
                </c:pt>
                <c:pt idx="87">
                  <c:v>137658.3393223813</c:v>
                </c:pt>
                <c:pt idx="88">
                  <c:v>137658.3393223813</c:v>
                </c:pt>
                <c:pt idx="89">
                  <c:v>137658.3393223813</c:v>
                </c:pt>
                <c:pt idx="90">
                  <c:v>137658.3393223813</c:v>
                </c:pt>
                <c:pt idx="91">
                  <c:v>137658.3393223813</c:v>
                </c:pt>
                <c:pt idx="92">
                  <c:v>137658.3393223813</c:v>
                </c:pt>
                <c:pt idx="93">
                  <c:v>137658.3393223813</c:v>
                </c:pt>
                <c:pt idx="94">
                  <c:v>137658.3393223813</c:v>
                </c:pt>
                <c:pt idx="95">
                  <c:v>137658.3393223813</c:v>
                </c:pt>
                <c:pt idx="96">
                  <c:v>137658.3393223813</c:v>
                </c:pt>
                <c:pt idx="97">
                  <c:v>137658.3393223813</c:v>
                </c:pt>
                <c:pt idx="98">
                  <c:v>137658.3393223813</c:v>
                </c:pt>
                <c:pt idx="99">
                  <c:v>137658.3393223813</c:v>
                </c:pt>
                <c:pt idx="100">
                  <c:v>137658.3393223813</c:v>
                </c:pt>
                <c:pt idx="101">
                  <c:v>137658.3393223813</c:v>
                </c:pt>
                <c:pt idx="102">
                  <c:v>137658.3393223813</c:v>
                </c:pt>
                <c:pt idx="103">
                  <c:v>137658.3393223813</c:v>
                </c:pt>
                <c:pt idx="104">
                  <c:v>137658.3393223813</c:v>
                </c:pt>
                <c:pt idx="105">
                  <c:v>137658.3393223813</c:v>
                </c:pt>
                <c:pt idx="106">
                  <c:v>137658.3393223813</c:v>
                </c:pt>
                <c:pt idx="107">
                  <c:v>137658.3393223813</c:v>
                </c:pt>
                <c:pt idx="108">
                  <c:v>137658.3393223813</c:v>
                </c:pt>
                <c:pt idx="109">
                  <c:v>137658.3393223813</c:v>
                </c:pt>
                <c:pt idx="110">
                  <c:v>137658.3393223813</c:v>
                </c:pt>
                <c:pt idx="111">
                  <c:v>137658.3393223813</c:v>
                </c:pt>
                <c:pt idx="112">
                  <c:v>137658.3393223813</c:v>
                </c:pt>
                <c:pt idx="113">
                  <c:v>137658.3393223813</c:v>
                </c:pt>
                <c:pt idx="114">
                  <c:v>137658.3393223813</c:v>
                </c:pt>
                <c:pt idx="115">
                  <c:v>137658.3393223813</c:v>
                </c:pt>
                <c:pt idx="116">
                  <c:v>137658.3393223813</c:v>
                </c:pt>
                <c:pt idx="117">
                  <c:v>132158.5908641612</c:v>
                </c:pt>
                <c:pt idx="118">
                  <c:v>132158.5908641612</c:v>
                </c:pt>
                <c:pt idx="119">
                  <c:v>132158.5908641612</c:v>
                </c:pt>
                <c:pt idx="120">
                  <c:v>132158.5908641612</c:v>
                </c:pt>
                <c:pt idx="121">
                  <c:v>132158.5908641612</c:v>
                </c:pt>
                <c:pt idx="122">
                  <c:v>132158.5908641612</c:v>
                </c:pt>
                <c:pt idx="123">
                  <c:v>132158.5908641612</c:v>
                </c:pt>
                <c:pt idx="124">
                  <c:v>132158.5908641612</c:v>
                </c:pt>
                <c:pt idx="125">
                  <c:v>132158.5908641612</c:v>
                </c:pt>
                <c:pt idx="126">
                  <c:v>132158.5908641612</c:v>
                </c:pt>
                <c:pt idx="127">
                  <c:v>132158.5908641612</c:v>
                </c:pt>
                <c:pt idx="128">
                  <c:v>132158.5908641612</c:v>
                </c:pt>
                <c:pt idx="129">
                  <c:v>132158.5908641612</c:v>
                </c:pt>
                <c:pt idx="130">
                  <c:v>132158.5908641612</c:v>
                </c:pt>
                <c:pt idx="131">
                  <c:v>132158.5908641612</c:v>
                </c:pt>
                <c:pt idx="132">
                  <c:v>132158.5908641612</c:v>
                </c:pt>
                <c:pt idx="133">
                  <c:v>132158.5908641612</c:v>
                </c:pt>
                <c:pt idx="134">
                  <c:v>132158.5908641612</c:v>
                </c:pt>
                <c:pt idx="135">
                  <c:v>132158.5908641612</c:v>
                </c:pt>
                <c:pt idx="136">
                  <c:v>132158.5908641612</c:v>
                </c:pt>
                <c:pt idx="137">
                  <c:v>132158.5908641612</c:v>
                </c:pt>
                <c:pt idx="138">
                  <c:v>132158.5908641612</c:v>
                </c:pt>
                <c:pt idx="139">
                  <c:v>132158.5908641612</c:v>
                </c:pt>
                <c:pt idx="140">
                  <c:v>132158.5908641612</c:v>
                </c:pt>
                <c:pt idx="141">
                  <c:v>132158.5908641612</c:v>
                </c:pt>
                <c:pt idx="142">
                  <c:v>132158.5908641612</c:v>
                </c:pt>
                <c:pt idx="143">
                  <c:v>132158.5908641612</c:v>
                </c:pt>
                <c:pt idx="144">
                  <c:v>132158.5908641612</c:v>
                </c:pt>
                <c:pt idx="145">
                  <c:v>132158.5908641612</c:v>
                </c:pt>
                <c:pt idx="146">
                  <c:v>132158.5908641612</c:v>
                </c:pt>
                <c:pt idx="147">
                  <c:v>127151.4092029774</c:v>
                </c:pt>
                <c:pt idx="148">
                  <c:v>127151.4092029774</c:v>
                </c:pt>
                <c:pt idx="149">
                  <c:v>127151.4092029774</c:v>
                </c:pt>
                <c:pt idx="150">
                  <c:v>127151.4092029774</c:v>
                </c:pt>
                <c:pt idx="151">
                  <c:v>127151.4092029774</c:v>
                </c:pt>
                <c:pt idx="152">
                  <c:v>127151.4092029774</c:v>
                </c:pt>
                <c:pt idx="153">
                  <c:v>127151.4092029774</c:v>
                </c:pt>
                <c:pt idx="154">
                  <c:v>127151.4092029774</c:v>
                </c:pt>
                <c:pt idx="155">
                  <c:v>127151.4092029774</c:v>
                </c:pt>
                <c:pt idx="156">
                  <c:v>127151.4092029774</c:v>
                </c:pt>
                <c:pt idx="157">
                  <c:v>127151.4092029774</c:v>
                </c:pt>
                <c:pt idx="158">
                  <c:v>127151.4092029774</c:v>
                </c:pt>
                <c:pt idx="159">
                  <c:v>127151.4092029774</c:v>
                </c:pt>
                <c:pt idx="160">
                  <c:v>127151.4092029774</c:v>
                </c:pt>
                <c:pt idx="161">
                  <c:v>127151.4092029774</c:v>
                </c:pt>
                <c:pt idx="162">
                  <c:v>127151.4092029774</c:v>
                </c:pt>
                <c:pt idx="163">
                  <c:v>127151.4092029774</c:v>
                </c:pt>
                <c:pt idx="164">
                  <c:v>127151.4092029774</c:v>
                </c:pt>
                <c:pt idx="165">
                  <c:v>127151.4092029774</c:v>
                </c:pt>
                <c:pt idx="166">
                  <c:v>127151.4092029774</c:v>
                </c:pt>
                <c:pt idx="167">
                  <c:v>127151.4092029774</c:v>
                </c:pt>
                <c:pt idx="168">
                  <c:v>127151.4092029774</c:v>
                </c:pt>
                <c:pt idx="169">
                  <c:v>127151.4092029774</c:v>
                </c:pt>
                <c:pt idx="170">
                  <c:v>127151.4092029774</c:v>
                </c:pt>
                <c:pt idx="171">
                  <c:v>127151.4092029774</c:v>
                </c:pt>
                <c:pt idx="172">
                  <c:v>127151.4092029774</c:v>
                </c:pt>
                <c:pt idx="173">
                  <c:v>127151.4092029774</c:v>
                </c:pt>
                <c:pt idx="174">
                  <c:v>127151.4092029774</c:v>
                </c:pt>
                <c:pt idx="175">
                  <c:v>127151.4092029774</c:v>
                </c:pt>
                <c:pt idx="176">
                  <c:v>127151.4092029774</c:v>
                </c:pt>
                <c:pt idx="177">
                  <c:v>127151.4092029774</c:v>
                </c:pt>
                <c:pt idx="178">
                  <c:v>122546.0585539169</c:v>
                </c:pt>
                <c:pt idx="179">
                  <c:v>122546.0585539169</c:v>
                </c:pt>
                <c:pt idx="180">
                  <c:v>122546.0585539169</c:v>
                </c:pt>
                <c:pt idx="181">
                  <c:v>122546.0585539169</c:v>
                </c:pt>
                <c:pt idx="182">
                  <c:v>122546.0585539169</c:v>
                </c:pt>
                <c:pt idx="183">
                  <c:v>122546.0585539169</c:v>
                </c:pt>
                <c:pt idx="184">
                  <c:v>122546.0585539169</c:v>
                </c:pt>
                <c:pt idx="185">
                  <c:v>122546.0585539169</c:v>
                </c:pt>
                <c:pt idx="186">
                  <c:v>122546.0585539169</c:v>
                </c:pt>
                <c:pt idx="187">
                  <c:v>122546.0585539169</c:v>
                </c:pt>
                <c:pt idx="188">
                  <c:v>122546.0585539169</c:v>
                </c:pt>
                <c:pt idx="189">
                  <c:v>122546.0585539169</c:v>
                </c:pt>
                <c:pt idx="190">
                  <c:v>122546.0585539169</c:v>
                </c:pt>
                <c:pt idx="191">
                  <c:v>122546.0585539169</c:v>
                </c:pt>
                <c:pt idx="192">
                  <c:v>122546.0585539169</c:v>
                </c:pt>
                <c:pt idx="193">
                  <c:v>122546.0585539169</c:v>
                </c:pt>
                <c:pt idx="194">
                  <c:v>122546.0585539169</c:v>
                </c:pt>
                <c:pt idx="195">
                  <c:v>122546.0585539169</c:v>
                </c:pt>
                <c:pt idx="196">
                  <c:v>122546.0585539169</c:v>
                </c:pt>
                <c:pt idx="197">
                  <c:v>122546.0585539169</c:v>
                </c:pt>
                <c:pt idx="198">
                  <c:v>122546.0585539169</c:v>
                </c:pt>
                <c:pt idx="199">
                  <c:v>122546.0585539169</c:v>
                </c:pt>
                <c:pt idx="200">
                  <c:v>122546.0585539169</c:v>
                </c:pt>
                <c:pt idx="201">
                  <c:v>122546.0585539169</c:v>
                </c:pt>
                <c:pt idx="202">
                  <c:v>122546.0585539169</c:v>
                </c:pt>
                <c:pt idx="203">
                  <c:v>122546.0585539169</c:v>
                </c:pt>
                <c:pt idx="204">
                  <c:v>122546.0585539169</c:v>
                </c:pt>
                <c:pt idx="205">
                  <c:v>122546.0585539169</c:v>
                </c:pt>
                <c:pt idx="206">
                  <c:v>122546.0585539169</c:v>
                </c:pt>
                <c:pt idx="207">
                  <c:v>122546.0585539169</c:v>
                </c:pt>
                <c:pt idx="208">
                  <c:v>122546.0585539169</c:v>
                </c:pt>
                <c:pt idx="209">
                  <c:v>118174.21808005929</c:v>
                </c:pt>
                <c:pt idx="210">
                  <c:v>118174.21808005929</c:v>
                </c:pt>
                <c:pt idx="211">
                  <c:v>118174.21808005929</c:v>
                </c:pt>
                <c:pt idx="212">
                  <c:v>118174.21808005929</c:v>
                </c:pt>
                <c:pt idx="213">
                  <c:v>118174.21808005929</c:v>
                </c:pt>
                <c:pt idx="214">
                  <c:v>118174.21808005929</c:v>
                </c:pt>
                <c:pt idx="215">
                  <c:v>118174.21808005929</c:v>
                </c:pt>
                <c:pt idx="216">
                  <c:v>118174.21808005929</c:v>
                </c:pt>
                <c:pt idx="217">
                  <c:v>118174.21808005929</c:v>
                </c:pt>
                <c:pt idx="218">
                  <c:v>118174.21808005929</c:v>
                </c:pt>
                <c:pt idx="219">
                  <c:v>118174.21808005929</c:v>
                </c:pt>
                <c:pt idx="220">
                  <c:v>118174.21808005929</c:v>
                </c:pt>
                <c:pt idx="221">
                  <c:v>118174.21808005929</c:v>
                </c:pt>
                <c:pt idx="222">
                  <c:v>118174.21808005929</c:v>
                </c:pt>
                <c:pt idx="223">
                  <c:v>118174.21808005929</c:v>
                </c:pt>
                <c:pt idx="224">
                  <c:v>118174.21808005929</c:v>
                </c:pt>
                <c:pt idx="225">
                  <c:v>118174.21808005929</c:v>
                </c:pt>
                <c:pt idx="226">
                  <c:v>118174.21808005929</c:v>
                </c:pt>
                <c:pt idx="227">
                  <c:v>118174.21808005929</c:v>
                </c:pt>
                <c:pt idx="228">
                  <c:v>118174.21808005929</c:v>
                </c:pt>
                <c:pt idx="229">
                  <c:v>118174.21808005929</c:v>
                </c:pt>
                <c:pt idx="230">
                  <c:v>118174.21808005929</c:v>
                </c:pt>
                <c:pt idx="231">
                  <c:v>118174.21808005929</c:v>
                </c:pt>
                <c:pt idx="232">
                  <c:v>118174.21808005929</c:v>
                </c:pt>
                <c:pt idx="233">
                  <c:v>118174.21808005929</c:v>
                </c:pt>
                <c:pt idx="234">
                  <c:v>118174.21808005929</c:v>
                </c:pt>
                <c:pt idx="235">
                  <c:v>118174.21808005929</c:v>
                </c:pt>
                <c:pt idx="236">
                  <c:v>118174.21808005929</c:v>
                </c:pt>
                <c:pt idx="237">
                  <c:v>118174.21808005929</c:v>
                </c:pt>
                <c:pt idx="238">
                  <c:v>118174.21808005929</c:v>
                </c:pt>
                <c:pt idx="239">
                  <c:v>113755.29189934948</c:v>
                </c:pt>
                <c:pt idx="240">
                  <c:v>113755.29189934948</c:v>
                </c:pt>
                <c:pt idx="241">
                  <c:v>113755.29189934948</c:v>
                </c:pt>
                <c:pt idx="242">
                  <c:v>113755.29189934948</c:v>
                </c:pt>
                <c:pt idx="243">
                  <c:v>113755.29189934948</c:v>
                </c:pt>
                <c:pt idx="244">
                  <c:v>113755.29189934948</c:v>
                </c:pt>
                <c:pt idx="245">
                  <c:v>113755.29189934948</c:v>
                </c:pt>
                <c:pt idx="246">
                  <c:v>113755.29189934948</c:v>
                </c:pt>
                <c:pt idx="247">
                  <c:v>113755.29189934948</c:v>
                </c:pt>
                <c:pt idx="248">
                  <c:v>113755.29189934948</c:v>
                </c:pt>
                <c:pt idx="249">
                  <c:v>113755.29189934948</c:v>
                </c:pt>
                <c:pt idx="250">
                  <c:v>113755.29189934948</c:v>
                </c:pt>
                <c:pt idx="251">
                  <c:v>113755.29189934948</c:v>
                </c:pt>
                <c:pt idx="252">
                  <c:v>113755.29189934948</c:v>
                </c:pt>
                <c:pt idx="253">
                  <c:v>113755.29189934948</c:v>
                </c:pt>
                <c:pt idx="254">
                  <c:v>113755.29189934948</c:v>
                </c:pt>
                <c:pt idx="255">
                  <c:v>113755.29189934948</c:v>
                </c:pt>
                <c:pt idx="256">
                  <c:v>113755.29189934948</c:v>
                </c:pt>
                <c:pt idx="257">
                  <c:v>113755.29189934948</c:v>
                </c:pt>
                <c:pt idx="258">
                  <c:v>113755.29189934948</c:v>
                </c:pt>
                <c:pt idx="259">
                  <c:v>113755.29189934948</c:v>
                </c:pt>
                <c:pt idx="260">
                  <c:v>113755.29189934948</c:v>
                </c:pt>
                <c:pt idx="261">
                  <c:v>113755.29189934948</c:v>
                </c:pt>
                <c:pt idx="262">
                  <c:v>113755.29189934948</c:v>
                </c:pt>
                <c:pt idx="263">
                  <c:v>113755.29189934948</c:v>
                </c:pt>
                <c:pt idx="264">
                  <c:v>113755.29189934948</c:v>
                </c:pt>
                <c:pt idx="265">
                  <c:v>113755.29189934948</c:v>
                </c:pt>
                <c:pt idx="266">
                  <c:v>113755.29189934948</c:v>
                </c:pt>
                <c:pt idx="267">
                  <c:v>113755.29189934948</c:v>
                </c:pt>
                <c:pt idx="268">
                  <c:v>113755.29189934948</c:v>
                </c:pt>
                <c:pt idx="269">
                  <c:v>113755.29189934948</c:v>
                </c:pt>
                <c:pt idx="270">
                  <c:v>110005.32710972808</c:v>
                </c:pt>
                <c:pt idx="271">
                  <c:v>110005.32710972808</c:v>
                </c:pt>
                <c:pt idx="272">
                  <c:v>110005.32710972808</c:v>
                </c:pt>
                <c:pt idx="273">
                  <c:v>110005.32710972808</c:v>
                </c:pt>
                <c:pt idx="274">
                  <c:v>110005.32710972808</c:v>
                </c:pt>
                <c:pt idx="275">
                  <c:v>110005.32710972808</c:v>
                </c:pt>
                <c:pt idx="276">
                  <c:v>110005.32710972808</c:v>
                </c:pt>
                <c:pt idx="277">
                  <c:v>110005.32710972808</c:v>
                </c:pt>
                <c:pt idx="278">
                  <c:v>110005.32710972808</c:v>
                </c:pt>
                <c:pt idx="279">
                  <c:v>110005.32710972808</c:v>
                </c:pt>
                <c:pt idx="280">
                  <c:v>110005.32710972808</c:v>
                </c:pt>
                <c:pt idx="281">
                  <c:v>110005.32710972808</c:v>
                </c:pt>
                <c:pt idx="282">
                  <c:v>110005.32710972808</c:v>
                </c:pt>
                <c:pt idx="283">
                  <c:v>110005.32710972808</c:v>
                </c:pt>
                <c:pt idx="284">
                  <c:v>110005.32710972808</c:v>
                </c:pt>
                <c:pt idx="285">
                  <c:v>110005.32710972808</c:v>
                </c:pt>
                <c:pt idx="286">
                  <c:v>110005.32710972808</c:v>
                </c:pt>
                <c:pt idx="287">
                  <c:v>110005.32710972808</c:v>
                </c:pt>
                <c:pt idx="288">
                  <c:v>110005.32710972808</c:v>
                </c:pt>
                <c:pt idx="289">
                  <c:v>110005.32710972808</c:v>
                </c:pt>
                <c:pt idx="290">
                  <c:v>110005.32710972808</c:v>
                </c:pt>
                <c:pt idx="291">
                  <c:v>110005.32710972808</c:v>
                </c:pt>
                <c:pt idx="292">
                  <c:v>110005.32710972808</c:v>
                </c:pt>
                <c:pt idx="293">
                  <c:v>110005.32710972808</c:v>
                </c:pt>
                <c:pt idx="294">
                  <c:v>110005.32710972808</c:v>
                </c:pt>
                <c:pt idx="295">
                  <c:v>110005.32710972808</c:v>
                </c:pt>
                <c:pt idx="296">
                  <c:v>110005.32710972808</c:v>
                </c:pt>
                <c:pt idx="297">
                  <c:v>110005.32710972808</c:v>
                </c:pt>
                <c:pt idx="298">
                  <c:v>110005.32710972808</c:v>
                </c:pt>
                <c:pt idx="299">
                  <c:v>110005.32710972808</c:v>
                </c:pt>
                <c:pt idx="300">
                  <c:v>105668.66910304019</c:v>
                </c:pt>
                <c:pt idx="301">
                  <c:v>105668.66910304019</c:v>
                </c:pt>
                <c:pt idx="302">
                  <c:v>105668.66910304019</c:v>
                </c:pt>
                <c:pt idx="303">
                  <c:v>105668.66910304019</c:v>
                </c:pt>
                <c:pt idx="304">
                  <c:v>105668.66910304019</c:v>
                </c:pt>
                <c:pt idx="305">
                  <c:v>105668.66910304019</c:v>
                </c:pt>
                <c:pt idx="306">
                  <c:v>105668.66910304019</c:v>
                </c:pt>
                <c:pt idx="307">
                  <c:v>105668.66910304019</c:v>
                </c:pt>
                <c:pt idx="308">
                  <c:v>105668.66910304019</c:v>
                </c:pt>
                <c:pt idx="309">
                  <c:v>105668.66910304019</c:v>
                </c:pt>
                <c:pt idx="310">
                  <c:v>105668.66910304019</c:v>
                </c:pt>
                <c:pt idx="311">
                  <c:v>105668.66910304019</c:v>
                </c:pt>
                <c:pt idx="312">
                  <c:v>105668.66910304019</c:v>
                </c:pt>
                <c:pt idx="313">
                  <c:v>105668.66910304019</c:v>
                </c:pt>
                <c:pt idx="314">
                  <c:v>105668.66910304019</c:v>
                </c:pt>
                <c:pt idx="315">
                  <c:v>105668.66910304019</c:v>
                </c:pt>
                <c:pt idx="316">
                  <c:v>105668.66910304019</c:v>
                </c:pt>
                <c:pt idx="317">
                  <c:v>105668.66910304019</c:v>
                </c:pt>
                <c:pt idx="318">
                  <c:v>105668.66910304019</c:v>
                </c:pt>
                <c:pt idx="319">
                  <c:v>105668.66910304019</c:v>
                </c:pt>
                <c:pt idx="320">
                  <c:v>105668.66910304019</c:v>
                </c:pt>
                <c:pt idx="321">
                  <c:v>105668.66910304019</c:v>
                </c:pt>
                <c:pt idx="322">
                  <c:v>105668.66910304019</c:v>
                </c:pt>
                <c:pt idx="323">
                  <c:v>105668.66910304019</c:v>
                </c:pt>
                <c:pt idx="324">
                  <c:v>105668.66910304019</c:v>
                </c:pt>
                <c:pt idx="325">
                  <c:v>105668.66910304019</c:v>
                </c:pt>
                <c:pt idx="326">
                  <c:v>105668.66910304019</c:v>
                </c:pt>
                <c:pt idx="327">
                  <c:v>105668.66910304019</c:v>
                </c:pt>
                <c:pt idx="328">
                  <c:v>105668.66910304019</c:v>
                </c:pt>
                <c:pt idx="329">
                  <c:v>105668.66910304019</c:v>
                </c:pt>
                <c:pt idx="330">
                  <c:v>105668.66910304019</c:v>
                </c:pt>
                <c:pt idx="331">
                  <c:v>101666.04217770227</c:v>
                </c:pt>
                <c:pt idx="332">
                  <c:v>101666.04217770227</c:v>
                </c:pt>
                <c:pt idx="333">
                  <c:v>101666.04217770227</c:v>
                </c:pt>
                <c:pt idx="334">
                  <c:v>101666.04217770227</c:v>
                </c:pt>
                <c:pt idx="335">
                  <c:v>101666.04217770227</c:v>
                </c:pt>
                <c:pt idx="336">
                  <c:v>101666.04217770227</c:v>
                </c:pt>
                <c:pt idx="337">
                  <c:v>101666.04217770227</c:v>
                </c:pt>
                <c:pt idx="338">
                  <c:v>101666.04217770227</c:v>
                </c:pt>
                <c:pt idx="339">
                  <c:v>101666.04217770227</c:v>
                </c:pt>
                <c:pt idx="340">
                  <c:v>101666.04217770227</c:v>
                </c:pt>
                <c:pt idx="341">
                  <c:v>101666.04217770227</c:v>
                </c:pt>
                <c:pt idx="342">
                  <c:v>101666.04217770227</c:v>
                </c:pt>
                <c:pt idx="343">
                  <c:v>101666.04217770227</c:v>
                </c:pt>
                <c:pt idx="344">
                  <c:v>101666.04217770227</c:v>
                </c:pt>
                <c:pt idx="345">
                  <c:v>101666.04217770227</c:v>
                </c:pt>
                <c:pt idx="346">
                  <c:v>101666.04217770227</c:v>
                </c:pt>
                <c:pt idx="347">
                  <c:v>101666.04217770227</c:v>
                </c:pt>
                <c:pt idx="348">
                  <c:v>101666.04217770227</c:v>
                </c:pt>
                <c:pt idx="349">
                  <c:v>101666.04217770227</c:v>
                </c:pt>
                <c:pt idx="350">
                  <c:v>101666.04217770227</c:v>
                </c:pt>
                <c:pt idx="351">
                  <c:v>101666.04217770227</c:v>
                </c:pt>
                <c:pt idx="352">
                  <c:v>101666.04217770227</c:v>
                </c:pt>
                <c:pt idx="353">
                  <c:v>101666.04217770227</c:v>
                </c:pt>
                <c:pt idx="354">
                  <c:v>101666.04217770227</c:v>
                </c:pt>
                <c:pt idx="355">
                  <c:v>101666.04217770227</c:v>
                </c:pt>
                <c:pt idx="356">
                  <c:v>101666.04217770227</c:v>
                </c:pt>
                <c:pt idx="357">
                  <c:v>101666.04217770227</c:v>
                </c:pt>
                <c:pt idx="358">
                  <c:v>101666.04217770227</c:v>
                </c:pt>
                <c:pt idx="359">
                  <c:v>101666.04217770227</c:v>
                </c:pt>
                <c:pt idx="360">
                  <c:v>101666.04217770227</c:v>
                </c:pt>
                <c:pt idx="361">
                  <c:v>101666.04217770227</c:v>
                </c:pt>
                <c:pt idx="362">
                  <c:v>97633.030632581183</c:v>
                </c:pt>
                <c:pt idx="363">
                  <c:v>97633.030632581183</c:v>
                </c:pt>
                <c:pt idx="364">
                  <c:v>97633.030632581183</c:v>
                </c:pt>
                <c:pt idx="365">
                  <c:v>97633.030632581183</c:v>
                </c:pt>
                <c:pt idx="366">
                  <c:v>97633.030632581183</c:v>
                </c:pt>
                <c:pt idx="367">
                  <c:v>97633.030632581183</c:v>
                </c:pt>
                <c:pt idx="368">
                  <c:v>97633.030632581183</c:v>
                </c:pt>
                <c:pt idx="369">
                  <c:v>97633.030632581183</c:v>
                </c:pt>
                <c:pt idx="370">
                  <c:v>97633.030632581183</c:v>
                </c:pt>
                <c:pt idx="371">
                  <c:v>97633.030632581183</c:v>
                </c:pt>
                <c:pt idx="372">
                  <c:v>97633.030632581183</c:v>
                </c:pt>
                <c:pt idx="373">
                  <c:v>97633.030632581183</c:v>
                </c:pt>
                <c:pt idx="374">
                  <c:v>97633.030632581183</c:v>
                </c:pt>
                <c:pt idx="375">
                  <c:v>97633.030632581183</c:v>
                </c:pt>
                <c:pt idx="376">
                  <c:v>97633.030632581183</c:v>
                </c:pt>
                <c:pt idx="377">
                  <c:v>97633.030632581183</c:v>
                </c:pt>
                <c:pt idx="378">
                  <c:v>97633.030632581183</c:v>
                </c:pt>
                <c:pt idx="379">
                  <c:v>97633.030632581183</c:v>
                </c:pt>
                <c:pt idx="380">
                  <c:v>97633.030632581183</c:v>
                </c:pt>
                <c:pt idx="381">
                  <c:v>97633.030632581183</c:v>
                </c:pt>
                <c:pt idx="382">
                  <c:v>97633.030632581183</c:v>
                </c:pt>
                <c:pt idx="383">
                  <c:v>97633.030632581183</c:v>
                </c:pt>
                <c:pt idx="384">
                  <c:v>97633.030632581183</c:v>
                </c:pt>
                <c:pt idx="385">
                  <c:v>97633.030632581183</c:v>
                </c:pt>
                <c:pt idx="386">
                  <c:v>97633.030632581183</c:v>
                </c:pt>
                <c:pt idx="387">
                  <c:v>97633.030632581183</c:v>
                </c:pt>
                <c:pt idx="388">
                  <c:v>97633.030632581183</c:v>
                </c:pt>
                <c:pt idx="389">
                  <c:v>97633.030632581183</c:v>
                </c:pt>
                <c:pt idx="390">
                  <c:v>97633.030632581183</c:v>
                </c:pt>
                <c:pt idx="391">
                  <c:v>93925.566569759962</c:v>
                </c:pt>
                <c:pt idx="392">
                  <c:v>93925.566569759962</c:v>
                </c:pt>
                <c:pt idx="393">
                  <c:v>93925.566569759962</c:v>
                </c:pt>
                <c:pt idx="394">
                  <c:v>93925.566569759962</c:v>
                </c:pt>
                <c:pt idx="395">
                  <c:v>93925.566569759962</c:v>
                </c:pt>
                <c:pt idx="396">
                  <c:v>93925.566569759962</c:v>
                </c:pt>
                <c:pt idx="397">
                  <c:v>93925.566569759962</c:v>
                </c:pt>
                <c:pt idx="398">
                  <c:v>93925.566569759962</c:v>
                </c:pt>
                <c:pt idx="399">
                  <c:v>93925.566569759962</c:v>
                </c:pt>
                <c:pt idx="400">
                  <c:v>93925.566569759962</c:v>
                </c:pt>
                <c:pt idx="401">
                  <c:v>93925.566569759962</c:v>
                </c:pt>
                <c:pt idx="402">
                  <c:v>93925.566569759962</c:v>
                </c:pt>
                <c:pt idx="403">
                  <c:v>93925.566569759962</c:v>
                </c:pt>
                <c:pt idx="404">
                  <c:v>93925.566569759962</c:v>
                </c:pt>
                <c:pt idx="405">
                  <c:v>93925.566569759962</c:v>
                </c:pt>
                <c:pt idx="406">
                  <c:v>93925.566569759962</c:v>
                </c:pt>
                <c:pt idx="407">
                  <c:v>93925.566569759962</c:v>
                </c:pt>
                <c:pt idx="408">
                  <c:v>93925.566569759962</c:v>
                </c:pt>
                <c:pt idx="409">
                  <c:v>93925.566569759962</c:v>
                </c:pt>
                <c:pt idx="410">
                  <c:v>93925.566569759962</c:v>
                </c:pt>
                <c:pt idx="411">
                  <c:v>93925.566569759962</c:v>
                </c:pt>
                <c:pt idx="412">
                  <c:v>93925.566569759962</c:v>
                </c:pt>
                <c:pt idx="413">
                  <c:v>93925.566569759962</c:v>
                </c:pt>
                <c:pt idx="414">
                  <c:v>93925.566569759962</c:v>
                </c:pt>
                <c:pt idx="415">
                  <c:v>93925.566569759962</c:v>
                </c:pt>
                <c:pt idx="416">
                  <c:v>93925.566569759962</c:v>
                </c:pt>
                <c:pt idx="417">
                  <c:v>93925.566569759962</c:v>
                </c:pt>
                <c:pt idx="418">
                  <c:v>93925.566569759962</c:v>
                </c:pt>
                <c:pt idx="419">
                  <c:v>93925.566569759962</c:v>
                </c:pt>
                <c:pt idx="420">
                  <c:v>93925.566569759962</c:v>
                </c:pt>
                <c:pt idx="421">
                  <c:v>93925.566569759962</c:v>
                </c:pt>
                <c:pt idx="422">
                  <c:v>90861.002671733673</c:v>
                </c:pt>
                <c:pt idx="423">
                  <c:v>90861.002671733673</c:v>
                </c:pt>
                <c:pt idx="424">
                  <c:v>90861.002671733673</c:v>
                </c:pt>
                <c:pt idx="425">
                  <c:v>90861.002671733673</c:v>
                </c:pt>
                <c:pt idx="426">
                  <c:v>90861.002671733673</c:v>
                </c:pt>
                <c:pt idx="427">
                  <c:v>90861.002671733673</c:v>
                </c:pt>
                <c:pt idx="428">
                  <c:v>90861.002671733673</c:v>
                </c:pt>
                <c:pt idx="429">
                  <c:v>90861.002671733673</c:v>
                </c:pt>
                <c:pt idx="430">
                  <c:v>90861.002671733673</c:v>
                </c:pt>
                <c:pt idx="431">
                  <c:v>90861.002671733673</c:v>
                </c:pt>
                <c:pt idx="432">
                  <c:v>90861.002671733673</c:v>
                </c:pt>
                <c:pt idx="433">
                  <c:v>90861.002671733673</c:v>
                </c:pt>
                <c:pt idx="434">
                  <c:v>90861.002671733673</c:v>
                </c:pt>
                <c:pt idx="435">
                  <c:v>90861.002671733673</c:v>
                </c:pt>
                <c:pt idx="436">
                  <c:v>90861.002671733673</c:v>
                </c:pt>
                <c:pt idx="437">
                  <c:v>90861.002671733673</c:v>
                </c:pt>
                <c:pt idx="438">
                  <c:v>90861.002671733673</c:v>
                </c:pt>
                <c:pt idx="439">
                  <c:v>90861.002671733673</c:v>
                </c:pt>
                <c:pt idx="440">
                  <c:v>90861.002671733673</c:v>
                </c:pt>
                <c:pt idx="441">
                  <c:v>90861.002671733673</c:v>
                </c:pt>
                <c:pt idx="442">
                  <c:v>90861.002671733673</c:v>
                </c:pt>
                <c:pt idx="443">
                  <c:v>90861.002671733673</c:v>
                </c:pt>
                <c:pt idx="444">
                  <c:v>90861.002671733673</c:v>
                </c:pt>
                <c:pt idx="445">
                  <c:v>90861.002671733673</c:v>
                </c:pt>
                <c:pt idx="446">
                  <c:v>90861.002671733673</c:v>
                </c:pt>
                <c:pt idx="447">
                  <c:v>90861.002671733673</c:v>
                </c:pt>
                <c:pt idx="448">
                  <c:v>90861.002671733673</c:v>
                </c:pt>
                <c:pt idx="449">
                  <c:v>90861.002671733673</c:v>
                </c:pt>
                <c:pt idx="450">
                  <c:v>90861.002671733673</c:v>
                </c:pt>
                <c:pt idx="451">
                  <c:v>90861.002671733673</c:v>
                </c:pt>
                <c:pt idx="452">
                  <c:v>87689.285097945321</c:v>
                </c:pt>
                <c:pt idx="453">
                  <c:v>87689.285097945321</c:v>
                </c:pt>
                <c:pt idx="454">
                  <c:v>87689.285097945321</c:v>
                </c:pt>
                <c:pt idx="455">
                  <c:v>87689.285097945321</c:v>
                </c:pt>
                <c:pt idx="456">
                  <c:v>87689.285097945321</c:v>
                </c:pt>
                <c:pt idx="457">
                  <c:v>87689.285097945321</c:v>
                </c:pt>
                <c:pt idx="458">
                  <c:v>87689.285097945321</c:v>
                </c:pt>
                <c:pt idx="459">
                  <c:v>87689.285097945321</c:v>
                </c:pt>
                <c:pt idx="460">
                  <c:v>87689.285097945321</c:v>
                </c:pt>
                <c:pt idx="461">
                  <c:v>87689.285097945321</c:v>
                </c:pt>
                <c:pt idx="462">
                  <c:v>87689.285097945321</c:v>
                </c:pt>
                <c:pt idx="463">
                  <c:v>87689.285097945321</c:v>
                </c:pt>
                <c:pt idx="464">
                  <c:v>87689.285097945321</c:v>
                </c:pt>
                <c:pt idx="465">
                  <c:v>87689.285097945321</c:v>
                </c:pt>
                <c:pt idx="466">
                  <c:v>87689.285097945321</c:v>
                </c:pt>
                <c:pt idx="467">
                  <c:v>87689.285097945321</c:v>
                </c:pt>
                <c:pt idx="468">
                  <c:v>87689.285097945321</c:v>
                </c:pt>
                <c:pt idx="469">
                  <c:v>87689.285097945321</c:v>
                </c:pt>
                <c:pt idx="470">
                  <c:v>87689.285097945321</c:v>
                </c:pt>
                <c:pt idx="471">
                  <c:v>87689.285097945321</c:v>
                </c:pt>
                <c:pt idx="472">
                  <c:v>87689.285097945321</c:v>
                </c:pt>
                <c:pt idx="473">
                  <c:v>87689.285097945321</c:v>
                </c:pt>
                <c:pt idx="474">
                  <c:v>87689.285097945321</c:v>
                </c:pt>
                <c:pt idx="475">
                  <c:v>87689.285097945321</c:v>
                </c:pt>
                <c:pt idx="476">
                  <c:v>87689.285097945321</c:v>
                </c:pt>
                <c:pt idx="477">
                  <c:v>87689.285097945321</c:v>
                </c:pt>
                <c:pt idx="478">
                  <c:v>87689.285097945321</c:v>
                </c:pt>
                <c:pt idx="479">
                  <c:v>87689.285097945321</c:v>
                </c:pt>
                <c:pt idx="480">
                  <c:v>87689.285097945321</c:v>
                </c:pt>
                <c:pt idx="481">
                  <c:v>87689.285097945321</c:v>
                </c:pt>
                <c:pt idx="482">
                  <c:v>87689.285097945321</c:v>
                </c:pt>
                <c:pt idx="483">
                  <c:v>84388.968570428129</c:v>
                </c:pt>
                <c:pt idx="484">
                  <c:v>84388.968570428129</c:v>
                </c:pt>
                <c:pt idx="485">
                  <c:v>84388.968570428129</c:v>
                </c:pt>
                <c:pt idx="486">
                  <c:v>84388.968570428129</c:v>
                </c:pt>
                <c:pt idx="487">
                  <c:v>84388.968570428129</c:v>
                </c:pt>
                <c:pt idx="488">
                  <c:v>84388.968570428129</c:v>
                </c:pt>
                <c:pt idx="489">
                  <c:v>84388.968570428129</c:v>
                </c:pt>
                <c:pt idx="490">
                  <c:v>84388.968570428129</c:v>
                </c:pt>
                <c:pt idx="491">
                  <c:v>84388.968570428129</c:v>
                </c:pt>
                <c:pt idx="492">
                  <c:v>84388.968570428129</c:v>
                </c:pt>
                <c:pt idx="493">
                  <c:v>84388.968570428129</c:v>
                </c:pt>
                <c:pt idx="494">
                  <c:v>84388.968570428129</c:v>
                </c:pt>
                <c:pt idx="495">
                  <c:v>84388.968570428129</c:v>
                </c:pt>
                <c:pt idx="496">
                  <c:v>84388.968570428129</c:v>
                </c:pt>
                <c:pt idx="497">
                  <c:v>84388.968570428129</c:v>
                </c:pt>
                <c:pt idx="498">
                  <c:v>84388.968570428129</c:v>
                </c:pt>
                <c:pt idx="499">
                  <c:v>84388.968570428129</c:v>
                </c:pt>
                <c:pt idx="500">
                  <c:v>84388.968570428129</c:v>
                </c:pt>
                <c:pt idx="501">
                  <c:v>84388.968570428129</c:v>
                </c:pt>
                <c:pt idx="502">
                  <c:v>84388.968570428129</c:v>
                </c:pt>
                <c:pt idx="503">
                  <c:v>84388.968570428129</c:v>
                </c:pt>
                <c:pt idx="504">
                  <c:v>84388.968570428129</c:v>
                </c:pt>
                <c:pt idx="505">
                  <c:v>84388.968570428129</c:v>
                </c:pt>
                <c:pt idx="506">
                  <c:v>84388.968570428129</c:v>
                </c:pt>
                <c:pt idx="507">
                  <c:v>84388.968570428129</c:v>
                </c:pt>
                <c:pt idx="508">
                  <c:v>84388.968570428129</c:v>
                </c:pt>
                <c:pt idx="509">
                  <c:v>84388.968570428129</c:v>
                </c:pt>
                <c:pt idx="510">
                  <c:v>84388.968570428129</c:v>
                </c:pt>
                <c:pt idx="511">
                  <c:v>84388.968570428129</c:v>
                </c:pt>
                <c:pt idx="512">
                  <c:v>84388.968570428129</c:v>
                </c:pt>
                <c:pt idx="513">
                  <c:v>80814.498106946499</c:v>
                </c:pt>
                <c:pt idx="514">
                  <c:v>80814.498106946499</c:v>
                </c:pt>
                <c:pt idx="515">
                  <c:v>80814.498106946499</c:v>
                </c:pt>
                <c:pt idx="516">
                  <c:v>80814.498106946499</c:v>
                </c:pt>
                <c:pt idx="517">
                  <c:v>80814.498106946499</c:v>
                </c:pt>
                <c:pt idx="518">
                  <c:v>80814.498106946499</c:v>
                </c:pt>
                <c:pt idx="519">
                  <c:v>80814.498106946499</c:v>
                </c:pt>
                <c:pt idx="520">
                  <c:v>80814.498106946499</c:v>
                </c:pt>
                <c:pt idx="521">
                  <c:v>80814.498106946499</c:v>
                </c:pt>
                <c:pt idx="522">
                  <c:v>80814.498106946499</c:v>
                </c:pt>
                <c:pt idx="523">
                  <c:v>80814.498106946499</c:v>
                </c:pt>
                <c:pt idx="524">
                  <c:v>80814.498106946499</c:v>
                </c:pt>
                <c:pt idx="525">
                  <c:v>80814.498106946499</c:v>
                </c:pt>
                <c:pt idx="526">
                  <c:v>80814.498106946499</c:v>
                </c:pt>
                <c:pt idx="527">
                  <c:v>80814.498106946499</c:v>
                </c:pt>
                <c:pt idx="528">
                  <c:v>80814.498106946499</c:v>
                </c:pt>
                <c:pt idx="529">
                  <c:v>80814.498106946499</c:v>
                </c:pt>
                <c:pt idx="530">
                  <c:v>80814.498106946499</c:v>
                </c:pt>
                <c:pt idx="531">
                  <c:v>80814.498106946499</c:v>
                </c:pt>
                <c:pt idx="532">
                  <c:v>80814.498106946499</c:v>
                </c:pt>
                <c:pt idx="533">
                  <c:v>80814.498106946499</c:v>
                </c:pt>
                <c:pt idx="534">
                  <c:v>80814.498106946499</c:v>
                </c:pt>
                <c:pt idx="535">
                  <c:v>80814.498106946499</c:v>
                </c:pt>
                <c:pt idx="536">
                  <c:v>80814.498106946499</c:v>
                </c:pt>
                <c:pt idx="537">
                  <c:v>80814.498106946499</c:v>
                </c:pt>
                <c:pt idx="538">
                  <c:v>80814.498106946499</c:v>
                </c:pt>
                <c:pt idx="539">
                  <c:v>80814.498106946499</c:v>
                </c:pt>
                <c:pt idx="540">
                  <c:v>80814.498106946499</c:v>
                </c:pt>
                <c:pt idx="541">
                  <c:v>80814.498106946499</c:v>
                </c:pt>
                <c:pt idx="542">
                  <c:v>80814.498106946499</c:v>
                </c:pt>
                <c:pt idx="543">
                  <c:v>80814.498106946499</c:v>
                </c:pt>
                <c:pt idx="544">
                  <c:v>78377.487005133371</c:v>
                </c:pt>
                <c:pt idx="545">
                  <c:v>78377.487005133371</c:v>
                </c:pt>
                <c:pt idx="546">
                  <c:v>78377.487005133371</c:v>
                </c:pt>
                <c:pt idx="547">
                  <c:v>78377.487005133371</c:v>
                </c:pt>
                <c:pt idx="548">
                  <c:v>78377.487005133371</c:v>
                </c:pt>
                <c:pt idx="549">
                  <c:v>78377.487005133371</c:v>
                </c:pt>
                <c:pt idx="550">
                  <c:v>78377.487005133371</c:v>
                </c:pt>
                <c:pt idx="551">
                  <c:v>78377.487005133371</c:v>
                </c:pt>
                <c:pt idx="552">
                  <c:v>78377.487005133371</c:v>
                </c:pt>
                <c:pt idx="553">
                  <c:v>78377.487005133371</c:v>
                </c:pt>
                <c:pt idx="554">
                  <c:v>78377.487005133371</c:v>
                </c:pt>
                <c:pt idx="555">
                  <c:v>78377.487005133371</c:v>
                </c:pt>
                <c:pt idx="556">
                  <c:v>78377.487005133371</c:v>
                </c:pt>
                <c:pt idx="557">
                  <c:v>78377.487005133371</c:v>
                </c:pt>
                <c:pt idx="558">
                  <c:v>78377.487005133371</c:v>
                </c:pt>
                <c:pt idx="559">
                  <c:v>78377.487005133371</c:v>
                </c:pt>
                <c:pt idx="560">
                  <c:v>78377.487005133371</c:v>
                </c:pt>
                <c:pt idx="561">
                  <c:v>78377.487005133371</c:v>
                </c:pt>
                <c:pt idx="562">
                  <c:v>78377.487005133371</c:v>
                </c:pt>
                <c:pt idx="563">
                  <c:v>78377.487005133371</c:v>
                </c:pt>
                <c:pt idx="564">
                  <c:v>78377.487005133371</c:v>
                </c:pt>
                <c:pt idx="565">
                  <c:v>78377.487005133371</c:v>
                </c:pt>
                <c:pt idx="566">
                  <c:v>78377.487005133371</c:v>
                </c:pt>
                <c:pt idx="567">
                  <c:v>78377.487005133371</c:v>
                </c:pt>
                <c:pt idx="568">
                  <c:v>78377.487005133371</c:v>
                </c:pt>
                <c:pt idx="569">
                  <c:v>78377.487005133371</c:v>
                </c:pt>
                <c:pt idx="570">
                  <c:v>78377.487005133371</c:v>
                </c:pt>
                <c:pt idx="571">
                  <c:v>78377.487005133371</c:v>
                </c:pt>
                <c:pt idx="572">
                  <c:v>78377.487005133371</c:v>
                </c:pt>
                <c:pt idx="573">
                  <c:v>78377.487005133371</c:v>
                </c:pt>
                <c:pt idx="574">
                  <c:v>78377.487005133371</c:v>
                </c:pt>
                <c:pt idx="575">
                  <c:v>76355.551918431331</c:v>
                </c:pt>
                <c:pt idx="576">
                  <c:v>76355.551918431331</c:v>
                </c:pt>
                <c:pt idx="577">
                  <c:v>76355.551918431331</c:v>
                </c:pt>
                <c:pt idx="578">
                  <c:v>76355.551918431331</c:v>
                </c:pt>
                <c:pt idx="579">
                  <c:v>76355.551918431331</c:v>
                </c:pt>
                <c:pt idx="580">
                  <c:v>76355.551918431331</c:v>
                </c:pt>
                <c:pt idx="581">
                  <c:v>76355.551918431331</c:v>
                </c:pt>
                <c:pt idx="582">
                  <c:v>76355.551918431331</c:v>
                </c:pt>
                <c:pt idx="583">
                  <c:v>76355.551918431331</c:v>
                </c:pt>
                <c:pt idx="584">
                  <c:v>76355.551918431331</c:v>
                </c:pt>
                <c:pt idx="585">
                  <c:v>76355.551918431331</c:v>
                </c:pt>
                <c:pt idx="586">
                  <c:v>76355.551918431331</c:v>
                </c:pt>
                <c:pt idx="587">
                  <c:v>76355.551918431331</c:v>
                </c:pt>
                <c:pt idx="588">
                  <c:v>76355.551918431331</c:v>
                </c:pt>
                <c:pt idx="589">
                  <c:v>76355.551918431331</c:v>
                </c:pt>
                <c:pt idx="590">
                  <c:v>76355.551918431331</c:v>
                </c:pt>
                <c:pt idx="591">
                  <c:v>76355.551918431331</c:v>
                </c:pt>
                <c:pt idx="592">
                  <c:v>76355.551918431331</c:v>
                </c:pt>
                <c:pt idx="593">
                  <c:v>76355.551918431331</c:v>
                </c:pt>
                <c:pt idx="594">
                  <c:v>76355.551918431331</c:v>
                </c:pt>
                <c:pt idx="595">
                  <c:v>76355.551918431331</c:v>
                </c:pt>
                <c:pt idx="596">
                  <c:v>76355.551918431331</c:v>
                </c:pt>
                <c:pt idx="597">
                  <c:v>76355.551918431331</c:v>
                </c:pt>
                <c:pt idx="598">
                  <c:v>76355.551918431331</c:v>
                </c:pt>
                <c:pt idx="599">
                  <c:v>76355.551918431331</c:v>
                </c:pt>
                <c:pt idx="600">
                  <c:v>76355.551918431331</c:v>
                </c:pt>
                <c:pt idx="601">
                  <c:v>76355.551918431331</c:v>
                </c:pt>
                <c:pt idx="602">
                  <c:v>76355.551918431331</c:v>
                </c:pt>
                <c:pt idx="603">
                  <c:v>76355.551918431331</c:v>
                </c:pt>
                <c:pt idx="604">
                  <c:v>76355.551918431331</c:v>
                </c:pt>
                <c:pt idx="605">
                  <c:v>74428.900391267438</c:v>
                </c:pt>
                <c:pt idx="606">
                  <c:v>74428.900391267438</c:v>
                </c:pt>
                <c:pt idx="607">
                  <c:v>74428.900391267438</c:v>
                </c:pt>
                <c:pt idx="608">
                  <c:v>74428.900391267438</c:v>
                </c:pt>
                <c:pt idx="609">
                  <c:v>74428.900391267438</c:v>
                </c:pt>
                <c:pt idx="610">
                  <c:v>74428.900391267438</c:v>
                </c:pt>
                <c:pt idx="611">
                  <c:v>74428.900391267438</c:v>
                </c:pt>
                <c:pt idx="612">
                  <c:v>74428.900391267438</c:v>
                </c:pt>
                <c:pt idx="613">
                  <c:v>74428.900391267438</c:v>
                </c:pt>
                <c:pt idx="614">
                  <c:v>74428.900391267438</c:v>
                </c:pt>
                <c:pt idx="615">
                  <c:v>74428.900391267438</c:v>
                </c:pt>
                <c:pt idx="616">
                  <c:v>74428.900391267438</c:v>
                </c:pt>
                <c:pt idx="617">
                  <c:v>74428.900391267438</c:v>
                </c:pt>
                <c:pt idx="618">
                  <c:v>74428.900391267438</c:v>
                </c:pt>
                <c:pt idx="619">
                  <c:v>74428.900391267438</c:v>
                </c:pt>
                <c:pt idx="620">
                  <c:v>74428.900391267438</c:v>
                </c:pt>
                <c:pt idx="621">
                  <c:v>74428.900391267438</c:v>
                </c:pt>
                <c:pt idx="622">
                  <c:v>74428.900391267438</c:v>
                </c:pt>
                <c:pt idx="623">
                  <c:v>74428.900391267438</c:v>
                </c:pt>
                <c:pt idx="624">
                  <c:v>74428.900391267438</c:v>
                </c:pt>
                <c:pt idx="625">
                  <c:v>74428.900391267438</c:v>
                </c:pt>
                <c:pt idx="626">
                  <c:v>74428.900391267438</c:v>
                </c:pt>
                <c:pt idx="627">
                  <c:v>74428.900391267438</c:v>
                </c:pt>
                <c:pt idx="628">
                  <c:v>74428.900391267438</c:v>
                </c:pt>
                <c:pt idx="629">
                  <c:v>74428.900391267438</c:v>
                </c:pt>
                <c:pt idx="630">
                  <c:v>74428.900391267438</c:v>
                </c:pt>
                <c:pt idx="631">
                  <c:v>74428.900391267438</c:v>
                </c:pt>
                <c:pt idx="632">
                  <c:v>74428.900391267438</c:v>
                </c:pt>
                <c:pt idx="633">
                  <c:v>74428.900391267438</c:v>
                </c:pt>
                <c:pt idx="634">
                  <c:v>74428.900391267438</c:v>
                </c:pt>
                <c:pt idx="635">
                  <c:v>74428.900391267438</c:v>
                </c:pt>
                <c:pt idx="636">
                  <c:v>72112.72945074788</c:v>
                </c:pt>
                <c:pt idx="637">
                  <c:v>72112.72945074788</c:v>
                </c:pt>
                <c:pt idx="638">
                  <c:v>72112.72945074788</c:v>
                </c:pt>
                <c:pt idx="639">
                  <c:v>72112.72945074788</c:v>
                </c:pt>
                <c:pt idx="640">
                  <c:v>72112.72945074788</c:v>
                </c:pt>
                <c:pt idx="641">
                  <c:v>72112.72945074788</c:v>
                </c:pt>
                <c:pt idx="642">
                  <c:v>72112.72945074788</c:v>
                </c:pt>
                <c:pt idx="643">
                  <c:v>72112.72945074788</c:v>
                </c:pt>
                <c:pt idx="644">
                  <c:v>72112.72945074788</c:v>
                </c:pt>
                <c:pt idx="645">
                  <c:v>72112.72945074788</c:v>
                </c:pt>
                <c:pt idx="646">
                  <c:v>72112.72945074788</c:v>
                </c:pt>
                <c:pt idx="647">
                  <c:v>72112.72945074788</c:v>
                </c:pt>
                <c:pt idx="648">
                  <c:v>72112.72945074788</c:v>
                </c:pt>
                <c:pt idx="649">
                  <c:v>72112.72945074788</c:v>
                </c:pt>
                <c:pt idx="650">
                  <c:v>72112.72945074788</c:v>
                </c:pt>
                <c:pt idx="651">
                  <c:v>72112.72945074788</c:v>
                </c:pt>
                <c:pt idx="652">
                  <c:v>72112.72945074788</c:v>
                </c:pt>
                <c:pt idx="653">
                  <c:v>72112.72945074788</c:v>
                </c:pt>
                <c:pt idx="654">
                  <c:v>72112.72945074788</c:v>
                </c:pt>
                <c:pt idx="655">
                  <c:v>72112.72945074788</c:v>
                </c:pt>
                <c:pt idx="656">
                  <c:v>72112.72945074788</c:v>
                </c:pt>
                <c:pt idx="657">
                  <c:v>72112.72945074788</c:v>
                </c:pt>
                <c:pt idx="658">
                  <c:v>72112.72945074788</c:v>
                </c:pt>
                <c:pt idx="659">
                  <c:v>72112.72945074788</c:v>
                </c:pt>
                <c:pt idx="660">
                  <c:v>72112.72945074788</c:v>
                </c:pt>
                <c:pt idx="661">
                  <c:v>72112.72945074788</c:v>
                </c:pt>
                <c:pt idx="662">
                  <c:v>72112.72945074788</c:v>
                </c:pt>
                <c:pt idx="663">
                  <c:v>72112.72945074788</c:v>
                </c:pt>
                <c:pt idx="664">
                  <c:v>72112.72945074788</c:v>
                </c:pt>
                <c:pt idx="665">
                  <c:v>72112.72945074788</c:v>
                </c:pt>
                <c:pt idx="666">
                  <c:v>70313.374125430477</c:v>
                </c:pt>
                <c:pt idx="667">
                  <c:v>70313.374125430477</c:v>
                </c:pt>
                <c:pt idx="668">
                  <c:v>70313.374125430477</c:v>
                </c:pt>
                <c:pt idx="669">
                  <c:v>70313.374125430477</c:v>
                </c:pt>
                <c:pt idx="670">
                  <c:v>70313.374125430477</c:v>
                </c:pt>
                <c:pt idx="671">
                  <c:v>70313.374125430477</c:v>
                </c:pt>
                <c:pt idx="672">
                  <c:v>70313.374125430477</c:v>
                </c:pt>
                <c:pt idx="673">
                  <c:v>70313.374125430477</c:v>
                </c:pt>
                <c:pt idx="674">
                  <c:v>70313.374125430477</c:v>
                </c:pt>
                <c:pt idx="675">
                  <c:v>70313.374125430477</c:v>
                </c:pt>
                <c:pt idx="676">
                  <c:v>70313.374125430477</c:v>
                </c:pt>
                <c:pt idx="677">
                  <c:v>70313.374125430477</c:v>
                </c:pt>
                <c:pt idx="678">
                  <c:v>70313.374125430477</c:v>
                </c:pt>
                <c:pt idx="679">
                  <c:v>70313.374125430477</c:v>
                </c:pt>
                <c:pt idx="680">
                  <c:v>70313.374125430477</c:v>
                </c:pt>
                <c:pt idx="681">
                  <c:v>70313.374125430477</c:v>
                </c:pt>
                <c:pt idx="682">
                  <c:v>70313.374125430477</c:v>
                </c:pt>
                <c:pt idx="683">
                  <c:v>70313.374125430477</c:v>
                </c:pt>
                <c:pt idx="684">
                  <c:v>70313.374125430477</c:v>
                </c:pt>
                <c:pt idx="685">
                  <c:v>70313.374125430477</c:v>
                </c:pt>
                <c:pt idx="686">
                  <c:v>70313.374125430477</c:v>
                </c:pt>
                <c:pt idx="687">
                  <c:v>70313.374125430477</c:v>
                </c:pt>
                <c:pt idx="688">
                  <c:v>70313.374125430477</c:v>
                </c:pt>
                <c:pt idx="689">
                  <c:v>70313.374125430477</c:v>
                </c:pt>
                <c:pt idx="690">
                  <c:v>70313.374125430477</c:v>
                </c:pt>
                <c:pt idx="691">
                  <c:v>70313.374125430477</c:v>
                </c:pt>
                <c:pt idx="692">
                  <c:v>70313.374125430477</c:v>
                </c:pt>
                <c:pt idx="693">
                  <c:v>70313.374125430477</c:v>
                </c:pt>
                <c:pt idx="694">
                  <c:v>70313.374125430477</c:v>
                </c:pt>
                <c:pt idx="695">
                  <c:v>70313.374125430477</c:v>
                </c:pt>
                <c:pt idx="696">
                  <c:v>70313.374125430477</c:v>
                </c:pt>
                <c:pt idx="697">
                  <c:v>68503.145152844838</c:v>
                </c:pt>
                <c:pt idx="698">
                  <c:v>68503.145152844838</c:v>
                </c:pt>
                <c:pt idx="699">
                  <c:v>68503.145152844838</c:v>
                </c:pt>
                <c:pt idx="700">
                  <c:v>68503.145152844838</c:v>
                </c:pt>
                <c:pt idx="701">
                  <c:v>68503.145152844838</c:v>
                </c:pt>
                <c:pt idx="702">
                  <c:v>68503.145152844838</c:v>
                </c:pt>
                <c:pt idx="703">
                  <c:v>68503.145152844838</c:v>
                </c:pt>
                <c:pt idx="704">
                  <c:v>68503.145152844838</c:v>
                </c:pt>
                <c:pt idx="705">
                  <c:v>68503.145152844838</c:v>
                </c:pt>
                <c:pt idx="706">
                  <c:v>68503.145152844838</c:v>
                </c:pt>
                <c:pt idx="707">
                  <c:v>68503.145152844838</c:v>
                </c:pt>
                <c:pt idx="708">
                  <c:v>68503.145152844838</c:v>
                </c:pt>
                <c:pt idx="709">
                  <c:v>68503.145152844838</c:v>
                </c:pt>
                <c:pt idx="710">
                  <c:v>68503.145152844838</c:v>
                </c:pt>
                <c:pt idx="711">
                  <c:v>68503.145152844838</c:v>
                </c:pt>
                <c:pt idx="712">
                  <c:v>68503.145152844838</c:v>
                </c:pt>
                <c:pt idx="713">
                  <c:v>68503.145152844838</c:v>
                </c:pt>
                <c:pt idx="714">
                  <c:v>68503.145152844838</c:v>
                </c:pt>
                <c:pt idx="715">
                  <c:v>68503.145152844838</c:v>
                </c:pt>
                <c:pt idx="716">
                  <c:v>68503.145152844838</c:v>
                </c:pt>
                <c:pt idx="717">
                  <c:v>68503.145152844838</c:v>
                </c:pt>
                <c:pt idx="718">
                  <c:v>68503.145152844838</c:v>
                </c:pt>
                <c:pt idx="719">
                  <c:v>68503.145152844838</c:v>
                </c:pt>
                <c:pt idx="720">
                  <c:v>68503.145152844838</c:v>
                </c:pt>
                <c:pt idx="721">
                  <c:v>68503.145152844838</c:v>
                </c:pt>
                <c:pt idx="722">
                  <c:v>68503.145152844838</c:v>
                </c:pt>
                <c:pt idx="723">
                  <c:v>68503.145152844838</c:v>
                </c:pt>
                <c:pt idx="724">
                  <c:v>68503.145152844838</c:v>
                </c:pt>
                <c:pt idx="725">
                  <c:v>68503.145152844838</c:v>
                </c:pt>
                <c:pt idx="726">
                  <c:v>68503.145152844838</c:v>
                </c:pt>
                <c:pt idx="727">
                  <c:v>68503.145152844838</c:v>
                </c:pt>
                <c:pt idx="728">
                  <c:v>66775.51643082466</c:v>
                </c:pt>
                <c:pt idx="729">
                  <c:v>66775.51643082466</c:v>
                </c:pt>
                <c:pt idx="730">
                  <c:v>66775.51643082466</c:v>
                </c:pt>
                <c:pt idx="731">
                  <c:v>66775.51643082466</c:v>
                </c:pt>
                <c:pt idx="732">
                  <c:v>66775.51643082466</c:v>
                </c:pt>
                <c:pt idx="733">
                  <c:v>66775.51643082466</c:v>
                </c:pt>
                <c:pt idx="734">
                  <c:v>66775.51643082466</c:v>
                </c:pt>
                <c:pt idx="735">
                  <c:v>66775.51643082466</c:v>
                </c:pt>
                <c:pt idx="736">
                  <c:v>66775.51643082466</c:v>
                </c:pt>
                <c:pt idx="737">
                  <c:v>66775.51643082466</c:v>
                </c:pt>
                <c:pt idx="738">
                  <c:v>66775.51643082466</c:v>
                </c:pt>
                <c:pt idx="739">
                  <c:v>66775.51643082466</c:v>
                </c:pt>
                <c:pt idx="740">
                  <c:v>66775.51643082466</c:v>
                </c:pt>
                <c:pt idx="741">
                  <c:v>66775.51643082466</c:v>
                </c:pt>
                <c:pt idx="742">
                  <c:v>66775.51643082466</c:v>
                </c:pt>
                <c:pt idx="743">
                  <c:v>66775.51643082466</c:v>
                </c:pt>
                <c:pt idx="744">
                  <c:v>66775.51643082466</c:v>
                </c:pt>
                <c:pt idx="745">
                  <c:v>66775.51643082466</c:v>
                </c:pt>
                <c:pt idx="746">
                  <c:v>66775.51643082466</c:v>
                </c:pt>
                <c:pt idx="747">
                  <c:v>66775.51643082466</c:v>
                </c:pt>
                <c:pt idx="748">
                  <c:v>66775.51643082466</c:v>
                </c:pt>
                <c:pt idx="749">
                  <c:v>66775.51643082466</c:v>
                </c:pt>
                <c:pt idx="750">
                  <c:v>66775.51643082466</c:v>
                </c:pt>
                <c:pt idx="751">
                  <c:v>66775.51643082466</c:v>
                </c:pt>
                <c:pt idx="752">
                  <c:v>66775.51643082466</c:v>
                </c:pt>
                <c:pt idx="753">
                  <c:v>66775.51643082466</c:v>
                </c:pt>
                <c:pt idx="754">
                  <c:v>66775.51643082466</c:v>
                </c:pt>
                <c:pt idx="755">
                  <c:v>66775.51643082466</c:v>
                </c:pt>
                <c:pt idx="756">
                  <c:v>65168.428330431503</c:v>
                </c:pt>
                <c:pt idx="757">
                  <c:v>65168.428330431503</c:v>
                </c:pt>
                <c:pt idx="758">
                  <c:v>65168.428330431503</c:v>
                </c:pt>
                <c:pt idx="759">
                  <c:v>65168.428330431503</c:v>
                </c:pt>
                <c:pt idx="760">
                  <c:v>65168.428330431503</c:v>
                </c:pt>
                <c:pt idx="761">
                  <c:v>65168.428330431503</c:v>
                </c:pt>
                <c:pt idx="762">
                  <c:v>65168.428330431503</c:v>
                </c:pt>
                <c:pt idx="763">
                  <c:v>65168.428330431503</c:v>
                </c:pt>
                <c:pt idx="764">
                  <c:v>65168.428330431503</c:v>
                </c:pt>
                <c:pt idx="765">
                  <c:v>65168.428330431503</c:v>
                </c:pt>
                <c:pt idx="766">
                  <c:v>65168.428330431503</c:v>
                </c:pt>
                <c:pt idx="767">
                  <c:v>65168.428330431503</c:v>
                </c:pt>
                <c:pt idx="768">
                  <c:v>65168.428330431503</c:v>
                </c:pt>
                <c:pt idx="769">
                  <c:v>65168.428330431503</c:v>
                </c:pt>
                <c:pt idx="770">
                  <c:v>65168.428330431503</c:v>
                </c:pt>
                <c:pt idx="771">
                  <c:v>65168.428330431503</c:v>
                </c:pt>
                <c:pt idx="772">
                  <c:v>65168.428330431503</c:v>
                </c:pt>
                <c:pt idx="773">
                  <c:v>65168.428330431503</c:v>
                </c:pt>
                <c:pt idx="774">
                  <c:v>65168.428330431503</c:v>
                </c:pt>
                <c:pt idx="775">
                  <c:v>65168.428330431503</c:v>
                </c:pt>
                <c:pt idx="776">
                  <c:v>65168.428330431503</c:v>
                </c:pt>
                <c:pt idx="777">
                  <c:v>65168.428330431503</c:v>
                </c:pt>
                <c:pt idx="778">
                  <c:v>65168.428330431503</c:v>
                </c:pt>
                <c:pt idx="779">
                  <c:v>65168.428330431503</c:v>
                </c:pt>
                <c:pt idx="780">
                  <c:v>65168.428330431503</c:v>
                </c:pt>
                <c:pt idx="781">
                  <c:v>65168.428330431503</c:v>
                </c:pt>
                <c:pt idx="782">
                  <c:v>65168.428330431503</c:v>
                </c:pt>
                <c:pt idx="783">
                  <c:v>65168.428330431503</c:v>
                </c:pt>
                <c:pt idx="784">
                  <c:v>65168.428330431503</c:v>
                </c:pt>
                <c:pt idx="785">
                  <c:v>65168.428330431503</c:v>
                </c:pt>
                <c:pt idx="786">
                  <c:v>65168.428330431503</c:v>
                </c:pt>
                <c:pt idx="787">
                  <c:v>63041.857606586644</c:v>
                </c:pt>
                <c:pt idx="788">
                  <c:v>63041.857606586644</c:v>
                </c:pt>
                <c:pt idx="789">
                  <c:v>63041.857606586644</c:v>
                </c:pt>
                <c:pt idx="790">
                  <c:v>63041.857606586644</c:v>
                </c:pt>
                <c:pt idx="791">
                  <c:v>63041.857606586644</c:v>
                </c:pt>
                <c:pt idx="792">
                  <c:v>63041.857606586644</c:v>
                </c:pt>
                <c:pt idx="793">
                  <c:v>63041.857606586644</c:v>
                </c:pt>
                <c:pt idx="794">
                  <c:v>63041.857606586644</c:v>
                </c:pt>
                <c:pt idx="795">
                  <c:v>63041.857606586644</c:v>
                </c:pt>
                <c:pt idx="796">
                  <c:v>63041.857606586644</c:v>
                </c:pt>
                <c:pt idx="797">
                  <c:v>63041.857606586644</c:v>
                </c:pt>
                <c:pt idx="798">
                  <c:v>63041.857606586644</c:v>
                </c:pt>
                <c:pt idx="799">
                  <c:v>63041.857606586644</c:v>
                </c:pt>
                <c:pt idx="800">
                  <c:v>63041.857606586644</c:v>
                </c:pt>
                <c:pt idx="801">
                  <c:v>63041.857606586644</c:v>
                </c:pt>
                <c:pt idx="802">
                  <c:v>63041.857606586644</c:v>
                </c:pt>
                <c:pt idx="803">
                  <c:v>63041.857606586644</c:v>
                </c:pt>
                <c:pt idx="804">
                  <c:v>63041.857606586644</c:v>
                </c:pt>
                <c:pt idx="805">
                  <c:v>63041.857606586644</c:v>
                </c:pt>
                <c:pt idx="806">
                  <c:v>63041.857606586644</c:v>
                </c:pt>
                <c:pt idx="807">
                  <c:v>63041.857606586644</c:v>
                </c:pt>
                <c:pt idx="808">
                  <c:v>63041.857606586644</c:v>
                </c:pt>
                <c:pt idx="809">
                  <c:v>63041.857606586644</c:v>
                </c:pt>
                <c:pt idx="810">
                  <c:v>63041.857606586644</c:v>
                </c:pt>
                <c:pt idx="811">
                  <c:v>63041.857606586644</c:v>
                </c:pt>
                <c:pt idx="812">
                  <c:v>63041.857606586644</c:v>
                </c:pt>
                <c:pt idx="813">
                  <c:v>63041.857606586644</c:v>
                </c:pt>
                <c:pt idx="814">
                  <c:v>63041.857606586644</c:v>
                </c:pt>
                <c:pt idx="815">
                  <c:v>63041.857606586644</c:v>
                </c:pt>
                <c:pt idx="816">
                  <c:v>63041.857606586644</c:v>
                </c:pt>
                <c:pt idx="817">
                  <c:v>61368.673995489808</c:v>
                </c:pt>
                <c:pt idx="818">
                  <c:v>61368.673995489808</c:v>
                </c:pt>
                <c:pt idx="819">
                  <c:v>61368.673995489808</c:v>
                </c:pt>
                <c:pt idx="820">
                  <c:v>61368.673995489808</c:v>
                </c:pt>
                <c:pt idx="821">
                  <c:v>61368.673995489808</c:v>
                </c:pt>
                <c:pt idx="822">
                  <c:v>61368.673995489808</c:v>
                </c:pt>
                <c:pt idx="823">
                  <c:v>61368.673995489808</c:v>
                </c:pt>
                <c:pt idx="824">
                  <c:v>61368.673995489808</c:v>
                </c:pt>
                <c:pt idx="825">
                  <c:v>61368.673995489808</c:v>
                </c:pt>
                <c:pt idx="826">
                  <c:v>61368.673995489808</c:v>
                </c:pt>
                <c:pt idx="827">
                  <c:v>61368.673995489808</c:v>
                </c:pt>
                <c:pt idx="828">
                  <c:v>61368.673995489808</c:v>
                </c:pt>
                <c:pt idx="829">
                  <c:v>61368.673995489808</c:v>
                </c:pt>
                <c:pt idx="830">
                  <c:v>61368.673995489808</c:v>
                </c:pt>
                <c:pt idx="831">
                  <c:v>61368.673995489808</c:v>
                </c:pt>
                <c:pt idx="832">
                  <c:v>61368.673995489808</c:v>
                </c:pt>
                <c:pt idx="833">
                  <c:v>61368.673995489808</c:v>
                </c:pt>
                <c:pt idx="834">
                  <c:v>61368.673995489808</c:v>
                </c:pt>
                <c:pt idx="835">
                  <c:v>61368.673995489808</c:v>
                </c:pt>
                <c:pt idx="836">
                  <c:v>61368.673995489808</c:v>
                </c:pt>
                <c:pt idx="837">
                  <c:v>61368.673995489808</c:v>
                </c:pt>
                <c:pt idx="838">
                  <c:v>61368.673995489808</c:v>
                </c:pt>
                <c:pt idx="839">
                  <c:v>61368.673995489808</c:v>
                </c:pt>
                <c:pt idx="840">
                  <c:v>61368.673995489808</c:v>
                </c:pt>
                <c:pt idx="841">
                  <c:v>61368.673995489808</c:v>
                </c:pt>
                <c:pt idx="842">
                  <c:v>61368.673995489808</c:v>
                </c:pt>
                <c:pt idx="843">
                  <c:v>61368.673995489808</c:v>
                </c:pt>
                <c:pt idx="844">
                  <c:v>61368.673995489808</c:v>
                </c:pt>
                <c:pt idx="845">
                  <c:v>61368.673995489808</c:v>
                </c:pt>
                <c:pt idx="846">
                  <c:v>61368.673995489808</c:v>
                </c:pt>
                <c:pt idx="847">
                  <c:v>61368.673995489808</c:v>
                </c:pt>
                <c:pt idx="848">
                  <c:v>59696.959714066325</c:v>
                </c:pt>
                <c:pt idx="849">
                  <c:v>59696.959714066325</c:v>
                </c:pt>
                <c:pt idx="850">
                  <c:v>59696.959714066325</c:v>
                </c:pt>
                <c:pt idx="851">
                  <c:v>59696.959714066325</c:v>
                </c:pt>
                <c:pt idx="852">
                  <c:v>59696.959714066325</c:v>
                </c:pt>
                <c:pt idx="853">
                  <c:v>59696.959714066325</c:v>
                </c:pt>
                <c:pt idx="854">
                  <c:v>59696.959714066325</c:v>
                </c:pt>
                <c:pt idx="855">
                  <c:v>59696.959714066325</c:v>
                </c:pt>
                <c:pt idx="856">
                  <c:v>59696.959714066325</c:v>
                </c:pt>
                <c:pt idx="857">
                  <c:v>59696.959714066325</c:v>
                </c:pt>
                <c:pt idx="858">
                  <c:v>59696.959714066325</c:v>
                </c:pt>
                <c:pt idx="859">
                  <c:v>59696.959714066325</c:v>
                </c:pt>
                <c:pt idx="860">
                  <c:v>59696.959714066325</c:v>
                </c:pt>
                <c:pt idx="861">
                  <c:v>59696.959714066325</c:v>
                </c:pt>
                <c:pt idx="862">
                  <c:v>59696.959714066325</c:v>
                </c:pt>
                <c:pt idx="863">
                  <c:v>59696.959714066325</c:v>
                </c:pt>
                <c:pt idx="864">
                  <c:v>59696.959714066325</c:v>
                </c:pt>
                <c:pt idx="865">
                  <c:v>59696.959714066325</c:v>
                </c:pt>
                <c:pt idx="866">
                  <c:v>59696.959714066325</c:v>
                </c:pt>
                <c:pt idx="867">
                  <c:v>59696.959714066325</c:v>
                </c:pt>
                <c:pt idx="868">
                  <c:v>59696.959714066325</c:v>
                </c:pt>
                <c:pt idx="869">
                  <c:v>59696.959714066325</c:v>
                </c:pt>
                <c:pt idx="870">
                  <c:v>59696.959714066325</c:v>
                </c:pt>
                <c:pt idx="871">
                  <c:v>59696.959714066325</c:v>
                </c:pt>
                <c:pt idx="872">
                  <c:v>59696.959714066325</c:v>
                </c:pt>
                <c:pt idx="873">
                  <c:v>59696.959714066325</c:v>
                </c:pt>
                <c:pt idx="874">
                  <c:v>59696.959714066325</c:v>
                </c:pt>
                <c:pt idx="875">
                  <c:v>59696.959714066325</c:v>
                </c:pt>
                <c:pt idx="876">
                  <c:v>59696.959714066325</c:v>
                </c:pt>
                <c:pt idx="877">
                  <c:v>59696.959714066325</c:v>
                </c:pt>
                <c:pt idx="878">
                  <c:v>57534.731304610417</c:v>
                </c:pt>
                <c:pt idx="879">
                  <c:v>57534.731304610417</c:v>
                </c:pt>
                <c:pt idx="880">
                  <c:v>57534.731304610417</c:v>
                </c:pt>
                <c:pt idx="881">
                  <c:v>57534.731304610417</c:v>
                </c:pt>
                <c:pt idx="882">
                  <c:v>57534.731304610417</c:v>
                </c:pt>
                <c:pt idx="883">
                  <c:v>57534.731304610417</c:v>
                </c:pt>
                <c:pt idx="884">
                  <c:v>57534.731304610417</c:v>
                </c:pt>
                <c:pt idx="885">
                  <c:v>57534.731304610417</c:v>
                </c:pt>
                <c:pt idx="886">
                  <c:v>57534.731304610417</c:v>
                </c:pt>
                <c:pt idx="887">
                  <c:v>57534.731304610417</c:v>
                </c:pt>
                <c:pt idx="888">
                  <c:v>57534.731304610417</c:v>
                </c:pt>
                <c:pt idx="889">
                  <c:v>57534.731304610417</c:v>
                </c:pt>
                <c:pt idx="890">
                  <c:v>57534.731304610417</c:v>
                </c:pt>
                <c:pt idx="891">
                  <c:v>57534.731304610417</c:v>
                </c:pt>
                <c:pt idx="892">
                  <c:v>57534.731304610417</c:v>
                </c:pt>
                <c:pt idx="893">
                  <c:v>57534.731304610417</c:v>
                </c:pt>
                <c:pt idx="894">
                  <c:v>57534.731304610417</c:v>
                </c:pt>
                <c:pt idx="895">
                  <c:v>57534.731304610417</c:v>
                </c:pt>
                <c:pt idx="896">
                  <c:v>57534.731304610417</c:v>
                </c:pt>
                <c:pt idx="897">
                  <c:v>57534.731304610417</c:v>
                </c:pt>
                <c:pt idx="898">
                  <c:v>57534.731304610417</c:v>
                </c:pt>
                <c:pt idx="899">
                  <c:v>57534.731304610417</c:v>
                </c:pt>
                <c:pt idx="900">
                  <c:v>57534.731304610417</c:v>
                </c:pt>
                <c:pt idx="901">
                  <c:v>57534.731304610417</c:v>
                </c:pt>
                <c:pt idx="902">
                  <c:v>57534.731304610417</c:v>
                </c:pt>
                <c:pt idx="903">
                  <c:v>57534.731304610417</c:v>
                </c:pt>
                <c:pt idx="904">
                  <c:v>57534.731304610417</c:v>
                </c:pt>
                <c:pt idx="905">
                  <c:v>57534.731304610417</c:v>
                </c:pt>
                <c:pt idx="906">
                  <c:v>57534.731304610417</c:v>
                </c:pt>
                <c:pt idx="907">
                  <c:v>57534.731304610417</c:v>
                </c:pt>
                <c:pt idx="908">
                  <c:v>57534.731304610417</c:v>
                </c:pt>
                <c:pt idx="909">
                  <c:v>55724.652853714826</c:v>
                </c:pt>
                <c:pt idx="910">
                  <c:v>55724.652853714826</c:v>
                </c:pt>
                <c:pt idx="911">
                  <c:v>55724.652853714826</c:v>
                </c:pt>
                <c:pt idx="912">
                  <c:v>55724.652853714826</c:v>
                </c:pt>
                <c:pt idx="913">
                  <c:v>55724.652853714826</c:v>
                </c:pt>
                <c:pt idx="914">
                  <c:v>55724.652853714826</c:v>
                </c:pt>
                <c:pt idx="915">
                  <c:v>55724.652853714826</c:v>
                </c:pt>
                <c:pt idx="916">
                  <c:v>55724.652853714826</c:v>
                </c:pt>
                <c:pt idx="917">
                  <c:v>55724.652853714826</c:v>
                </c:pt>
                <c:pt idx="918">
                  <c:v>55724.652853714826</c:v>
                </c:pt>
                <c:pt idx="919">
                  <c:v>55724.652853714826</c:v>
                </c:pt>
                <c:pt idx="920">
                  <c:v>55724.652853714826</c:v>
                </c:pt>
                <c:pt idx="921">
                  <c:v>55724.652853714826</c:v>
                </c:pt>
                <c:pt idx="922">
                  <c:v>55724.652853714826</c:v>
                </c:pt>
                <c:pt idx="923">
                  <c:v>55724.652853714826</c:v>
                </c:pt>
                <c:pt idx="924">
                  <c:v>55724.652853714826</c:v>
                </c:pt>
                <c:pt idx="925">
                  <c:v>55724.652853714826</c:v>
                </c:pt>
                <c:pt idx="926">
                  <c:v>55724.652853714826</c:v>
                </c:pt>
                <c:pt idx="927">
                  <c:v>55724.652853714826</c:v>
                </c:pt>
                <c:pt idx="928">
                  <c:v>55724.652853714826</c:v>
                </c:pt>
                <c:pt idx="929">
                  <c:v>55724.652853714826</c:v>
                </c:pt>
                <c:pt idx="930">
                  <c:v>55724.652853714826</c:v>
                </c:pt>
                <c:pt idx="931">
                  <c:v>55724.652853714826</c:v>
                </c:pt>
                <c:pt idx="932">
                  <c:v>55724.652853714826</c:v>
                </c:pt>
                <c:pt idx="933">
                  <c:v>55724.652853714826</c:v>
                </c:pt>
                <c:pt idx="934">
                  <c:v>55724.652853714826</c:v>
                </c:pt>
                <c:pt idx="935">
                  <c:v>55724.652853714826</c:v>
                </c:pt>
                <c:pt idx="936">
                  <c:v>55724.652853714826</c:v>
                </c:pt>
                <c:pt idx="937">
                  <c:v>55724.652853714826</c:v>
                </c:pt>
                <c:pt idx="938">
                  <c:v>55724.652853714826</c:v>
                </c:pt>
                <c:pt idx="939">
                  <c:v>55724.652853714826</c:v>
                </c:pt>
                <c:pt idx="940">
                  <c:v>54355.705377197279</c:v>
                </c:pt>
                <c:pt idx="941">
                  <c:v>54355.705377197279</c:v>
                </c:pt>
                <c:pt idx="942">
                  <c:v>54355.705377197279</c:v>
                </c:pt>
                <c:pt idx="943">
                  <c:v>54355.705377197279</c:v>
                </c:pt>
                <c:pt idx="944">
                  <c:v>54355.705377197279</c:v>
                </c:pt>
                <c:pt idx="945">
                  <c:v>54355.705377197279</c:v>
                </c:pt>
                <c:pt idx="946">
                  <c:v>54355.705377197279</c:v>
                </c:pt>
                <c:pt idx="947">
                  <c:v>54355.705377197279</c:v>
                </c:pt>
                <c:pt idx="948">
                  <c:v>54355.705377197279</c:v>
                </c:pt>
                <c:pt idx="949">
                  <c:v>54355.705377197279</c:v>
                </c:pt>
                <c:pt idx="950">
                  <c:v>54355.705377197279</c:v>
                </c:pt>
                <c:pt idx="951">
                  <c:v>54355.705377197279</c:v>
                </c:pt>
                <c:pt idx="952">
                  <c:v>54355.705377197279</c:v>
                </c:pt>
                <c:pt idx="953">
                  <c:v>54355.705377197279</c:v>
                </c:pt>
                <c:pt idx="954">
                  <c:v>54355.705377197279</c:v>
                </c:pt>
                <c:pt idx="955">
                  <c:v>54355.705377197279</c:v>
                </c:pt>
                <c:pt idx="956">
                  <c:v>54355.705377197279</c:v>
                </c:pt>
                <c:pt idx="957">
                  <c:v>54355.705377197279</c:v>
                </c:pt>
                <c:pt idx="958">
                  <c:v>54355.705377197279</c:v>
                </c:pt>
                <c:pt idx="959">
                  <c:v>54355.705377197279</c:v>
                </c:pt>
                <c:pt idx="960">
                  <c:v>54355.705377197279</c:v>
                </c:pt>
                <c:pt idx="961">
                  <c:v>54355.705377197279</c:v>
                </c:pt>
                <c:pt idx="962">
                  <c:v>54355.705377197279</c:v>
                </c:pt>
                <c:pt idx="963">
                  <c:v>54355.705377197279</c:v>
                </c:pt>
                <c:pt idx="964">
                  <c:v>54355.705377197279</c:v>
                </c:pt>
                <c:pt idx="965">
                  <c:v>54355.705377197279</c:v>
                </c:pt>
                <c:pt idx="966">
                  <c:v>54355.705377197279</c:v>
                </c:pt>
                <c:pt idx="967">
                  <c:v>54355.705377197279</c:v>
                </c:pt>
                <c:pt idx="968">
                  <c:v>54355.705377197279</c:v>
                </c:pt>
                <c:pt idx="969">
                  <c:v>54355.705377197279</c:v>
                </c:pt>
                <c:pt idx="970">
                  <c:v>53084.449717471478</c:v>
                </c:pt>
                <c:pt idx="971">
                  <c:v>53084.449717471478</c:v>
                </c:pt>
                <c:pt idx="972">
                  <c:v>53084.449717471478</c:v>
                </c:pt>
                <c:pt idx="973">
                  <c:v>53084.449717471478</c:v>
                </c:pt>
                <c:pt idx="974">
                  <c:v>53084.449717471478</c:v>
                </c:pt>
                <c:pt idx="975">
                  <c:v>53084.449717471478</c:v>
                </c:pt>
                <c:pt idx="976">
                  <c:v>53084.449717471478</c:v>
                </c:pt>
                <c:pt idx="977">
                  <c:v>53084.449717471478</c:v>
                </c:pt>
                <c:pt idx="978">
                  <c:v>53084.449717471478</c:v>
                </c:pt>
                <c:pt idx="979">
                  <c:v>53084.449717471478</c:v>
                </c:pt>
                <c:pt idx="980">
                  <c:v>53084.449717471478</c:v>
                </c:pt>
                <c:pt idx="981">
                  <c:v>53084.449717471478</c:v>
                </c:pt>
                <c:pt idx="982">
                  <c:v>53084.449717471478</c:v>
                </c:pt>
                <c:pt idx="983">
                  <c:v>53084.449717471478</c:v>
                </c:pt>
                <c:pt idx="984">
                  <c:v>53084.449717471478</c:v>
                </c:pt>
                <c:pt idx="985">
                  <c:v>53084.449717471478</c:v>
                </c:pt>
                <c:pt idx="986">
                  <c:v>53084.449717471478</c:v>
                </c:pt>
                <c:pt idx="987">
                  <c:v>53084.449717471478</c:v>
                </c:pt>
                <c:pt idx="988">
                  <c:v>53084.449717471478</c:v>
                </c:pt>
                <c:pt idx="989">
                  <c:v>53084.449717471478</c:v>
                </c:pt>
                <c:pt idx="990">
                  <c:v>53084.449717471478</c:v>
                </c:pt>
                <c:pt idx="991">
                  <c:v>53084.449717471478</c:v>
                </c:pt>
                <c:pt idx="992">
                  <c:v>53084.449717471478</c:v>
                </c:pt>
                <c:pt idx="993">
                  <c:v>53084.449717471478</c:v>
                </c:pt>
                <c:pt idx="994">
                  <c:v>53084.449717471478</c:v>
                </c:pt>
                <c:pt idx="995">
                  <c:v>53084.449717471478</c:v>
                </c:pt>
                <c:pt idx="996">
                  <c:v>53084.449717471478</c:v>
                </c:pt>
                <c:pt idx="997">
                  <c:v>53084.449717471478</c:v>
                </c:pt>
                <c:pt idx="998">
                  <c:v>53084.449717471478</c:v>
                </c:pt>
                <c:pt idx="999">
                  <c:v>53084.449717471478</c:v>
                </c:pt>
                <c:pt idx="1000">
                  <c:v>53084.449717471478</c:v>
                </c:pt>
                <c:pt idx="1001">
                  <c:v>52002.385006553261</c:v>
                </c:pt>
                <c:pt idx="1002">
                  <c:v>52002.385006553261</c:v>
                </c:pt>
                <c:pt idx="1003">
                  <c:v>52002.385006553261</c:v>
                </c:pt>
                <c:pt idx="1004">
                  <c:v>52002.385006553261</c:v>
                </c:pt>
                <c:pt idx="1005">
                  <c:v>52002.385006553261</c:v>
                </c:pt>
                <c:pt idx="1006">
                  <c:v>52002.385006553261</c:v>
                </c:pt>
                <c:pt idx="1007">
                  <c:v>52002.385006553261</c:v>
                </c:pt>
                <c:pt idx="1008">
                  <c:v>52002.385006553261</c:v>
                </c:pt>
                <c:pt idx="1009">
                  <c:v>52002.385006553261</c:v>
                </c:pt>
                <c:pt idx="1010">
                  <c:v>52002.385006553261</c:v>
                </c:pt>
                <c:pt idx="1011">
                  <c:v>52002.385006553261</c:v>
                </c:pt>
                <c:pt idx="1012">
                  <c:v>52002.385006553261</c:v>
                </c:pt>
                <c:pt idx="1013">
                  <c:v>52002.385006553261</c:v>
                </c:pt>
                <c:pt idx="1014">
                  <c:v>52002.385006553261</c:v>
                </c:pt>
                <c:pt idx="1015">
                  <c:v>52002.385006553261</c:v>
                </c:pt>
                <c:pt idx="1016">
                  <c:v>52002.385006553261</c:v>
                </c:pt>
                <c:pt idx="1017">
                  <c:v>52002.385006553261</c:v>
                </c:pt>
                <c:pt idx="1018">
                  <c:v>52002.385006553261</c:v>
                </c:pt>
                <c:pt idx="1019">
                  <c:v>52002.385006553261</c:v>
                </c:pt>
                <c:pt idx="1020">
                  <c:v>52002.385006553261</c:v>
                </c:pt>
                <c:pt idx="1021">
                  <c:v>52002.385006553261</c:v>
                </c:pt>
                <c:pt idx="1022">
                  <c:v>52002.385006553261</c:v>
                </c:pt>
                <c:pt idx="1023">
                  <c:v>52002.385006553261</c:v>
                </c:pt>
                <c:pt idx="1024">
                  <c:v>52002.385006553261</c:v>
                </c:pt>
                <c:pt idx="1025">
                  <c:v>52002.385006553261</c:v>
                </c:pt>
                <c:pt idx="1026">
                  <c:v>52002.385006553261</c:v>
                </c:pt>
                <c:pt idx="1027">
                  <c:v>52002.385006553261</c:v>
                </c:pt>
                <c:pt idx="1028">
                  <c:v>52002.385006553261</c:v>
                </c:pt>
                <c:pt idx="1029">
                  <c:v>52002.385006553261</c:v>
                </c:pt>
                <c:pt idx="1030">
                  <c:v>52002.385006553261</c:v>
                </c:pt>
                <c:pt idx="1031">
                  <c:v>50080.612527305202</c:v>
                </c:pt>
                <c:pt idx="1032">
                  <c:v>50080.612527305202</c:v>
                </c:pt>
                <c:pt idx="1033">
                  <c:v>50080.612527305202</c:v>
                </c:pt>
                <c:pt idx="1034">
                  <c:v>50080.612527305202</c:v>
                </c:pt>
                <c:pt idx="1035">
                  <c:v>50080.612527305202</c:v>
                </c:pt>
                <c:pt idx="1036">
                  <c:v>50080.612527305202</c:v>
                </c:pt>
                <c:pt idx="1037">
                  <c:v>50080.612527305202</c:v>
                </c:pt>
                <c:pt idx="1038">
                  <c:v>50080.612527305202</c:v>
                </c:pt>
                <c:pt idx="1039">
                  <c:v>50080.612527305202</c:v>
                </c:pt>
                <c:pt idx="1040">
                  <c:v>50080.612527305202</c:v>
                </c:pt>
                <c:pt idx="1041">
                  <c:v>50080.612527305202</c:v>
                </c:pt>
                <c:pt idx="1042">
                  <c:v>50080.612527305202</c:v>
                </c:pt>
                <c:pt idx="1043">
                  <c:v>50080.612527305202</c:v>
                </c:pt>
                <c:pt idx="1044">
                  <c:v>50080.612527305202</c:v>
                </c:pt>
                <c:pt idx="1045">
                  <c:v>50080.612527305202</c:v>
                </c:pt>
                <c:pt idx="1046">
                  <c:v>50080.612527305202</c:v>
                </c:pt>
                <c:pt idx="1047">
                  <c:v>50080.612527305202</c:v>
                </c:pt>
                <c:pt idx="1048">
                  <c:v>50080.612527305202</c:v>
                </c:pt>
                <c:pt idx="1049">
                  <c:v>50080.612527305202</c:v>
                </c:pt>
                <c:pt idx="1050">
                  <c:v>50080.612527305202</c:v>
                </c:pt>
                <c:pt idx="1051">
                  <c:v>50080.612527305202</c:v>
                </c:pt>
                <c:pt idx="1052">
                  <c:v>50080.612527305202</c:v>
                </c:pt>
                <c:pt idx="1053">
                  <c:v>50080.612527305202</c:v>
                </c:pt>
                <c:pt idx="1054">
                  <c:v>50080.612527305202</c:v>
                </c:pt>
                <c:pt idx="1055">
                  <c:v>50080.612527305202</c:v>
                </c:pt>
                <c:pt idx="1056">
                  <c:v>50080.612527305202</c:v>
                </c:pt>
                <c:pt idx="1057">
                  <c:v>50080.612527305202</c:v>
                </c:pt>
                <c:pt idx="1058">
                  <c:v>50080.612527305202</c:v>
                </c:pt>
                <c:pt idx="1059">
                  <c:v>50080.612527305202</c:v>
                </c:pt>
                <c:pt idx="1060">
                  <c:v>50080.612527305202</c:v>
                </c:pt>
                <c:pt idx="1061">
                  <c:v>50080.612527305202</c:v>
                </c:pt>
                <c:pt idx="1062">
                  <c:v>49078.913405247717</c:v>
                </c:pt>
                <c:pt idx="1063">
                  <c:v>49078.913405247717</c:v>
                </c:pt>
                <c:pt idx="1064">
                  <c:v>49078.913405247717</c:v>
                </c:pt>
                <c:pt idx="1065">
                  <c:v>49078.913405247717</c:v>
                </c:pt>
                <c:pt idx="1066">
                  <c:v>49078.913405247717</c:v>
                </c:pt>
                <c:pt idx="1067">
                  <c:v>49078.913405247717</c:v>
                </c:pt>
                <c:pt idx="1068">
                  <c:v>49078.913405247717</c:v>
                </c:pt>
                <c:pt idx="1069">
                  <c:v>49078.913405247717</c:v>
                </c:pt>
                <c:pt idx="1070">
                  <c:v>49078.913405247717</c:v>
                </c:pt>
                <c:pt idx="1071">
                  <c:v>49078.913405247717</c:v>
                </c:pt>
                <c:pt idx="1072">
                  <c:v>49078.913405247717</c:v>
                </c:pt>
                <c:pt idx="1073">
                  <c:v>49078.913405247717</c:v>
                </c:pt>
                <c:pt idx="1074">
                  <c:v>49078.913405247717</c:v>
                </c:pt>
                <c:pt idx="1075">
                  <c:v>49078.913405247717</c:v>
                </c:pt>
                <c:pt idx="1076">
                  <c:v>49078.913405247717</c:v>
                </c:pt>
                <c:pt idx="1077">
                  <c:v>49078.913405247717</c:v>
                </c:pt>
                <c:pt idx="1078">
                  <c:v>49078.913405247717</c:v>
                </c:pt>
                <c:pt idx="1079">
                  <c:v>49078.913405247717</c:v>
                </c:pt>
                <c:pt idx="1080">
                  <c:v>49078.913405247717</c:v>
                </c:pt>
                <c:pt idx="1081">
                  <c:v>49078.913405247717</c:v>
                </c:pt>
                <c:pt idx="1082">
                  <c:v>49078.913405247717</c:v>
                </c:pt>
                <c:pt idx="1083">
                  <c:v>49078.913405247717</c:v>
                </c:pt>
                <c:pt idx="1084">
                  <c:v>49078.913405247717</c:v>
                </c:pt>
                <c:pt idx="1085">
                  <c:v>49078.913405247717</c:v>
                </c:pt>
                <c:pt idx="1086">
                  <c:v>49078.913405247717</c:v>
                </c:pt>
                <c:pt idx="1087">
                  <c:v>49078.913405247717</c:v>
                </c:pt>
                <c:pt idx="1088">
                  <c:v>49078.913405247717</c:v>
                </c:pt>
                <c:pt idx="1089">
                  <c:v>49078.913405247717</c:v>
                </c:pt>
                <c:pt idx="1090">
                  <c:v>49078.913405247717</c:v>
                </c:pt>
                <c:pt idx="1091">
                  <c:v>49078.913405247717</c:v>
                </c:pt>
                <c:pt idx="1092">
                  <c:v>49078.913405247717</c:v>
                </c:pt>
                <c:pt idx="1093">
                  <c:v>48104.935213430341</c:v>
                </c:pt>
                <c:pt idx="1094">
                  <c:v>48104.935213430341</c:v>
                </c:pt>
                <c:pt idx="1095">
                  <c:v>48104.935213430341</c:v>
                </c:pt>
                <c:pt idx="1096">
                  <c:v>48104.935213430341</c:v>
                </c:pt>
                <c:pt idx="1097">
                  <c:v>48104.935213430341</c:v>
                </c:pt>
                <c:pt idx="1098">
                  <c:v>48104.935213430341</c:v>
                </c:pt>
                <c:pt idx="1099">
                  <c:v>48104.935213430341</c:v>
                </c:pt>
                <c:pt idx="1100">
                  <c:v>48104.935213430341</c:v>
                </c:pt>
                <c:pt idx="1101">
                  <c:v>48104.935213430341</c:v>
                </c:pt>
                <c:pt idx="1102">
                  <c:v>48104.935213430341</c:v>
                </c:pt>
                <c:pt idx="1103">
                  <c:v>48104.935213430341</c:v>
                </c:pt>
                <c:pt idx="1104">
                  <c:v>48104.935213430341</c:v>
                </c:pt>
                <c:pt idx="1105">
                  <c:v>48104.935213430341</c:v>
                </c:pt>
                <c:pt idx="1106">
                  <c:v>48104.935213430341</c:v>
                </c:pt>
                <c:pt idx="1107">
                  <c:v>48104.935213430341</c:v>
                </c:pt>
                <c:pt idx="1108">
                  <c:v>48104.935213430341</c:v>
                </c:pt>
                <c:pt idx="1109">
                  <c:v>48104.935213430341</c:v>
                </c:pt>
                <c:pt idx="1110">
                  <c:v>48104.935213430341</c:v>
                </c:pt>
                <c:pt idx="1111">
                  <c:v>48104.935213430341</c:v>
                </c:pt>
                <c:pt idx="1112">
                  <c:v>48104.935213430341</c:v>
                </c:pt>
                <c:pt idx="1113">
                  <c:v>48104.935213430341</c:v>
                </c:pt>
                <c:pt idx="1114">
                  <c:v>48104.935213430341</c:v>
                </c:pt>
                <c:pt idx="1115">
                  <c:v>48104.935213430341</c:v>
                </c:pt>
                <c:pt idx="1116">
                  <c:v>48104.935213430341</c:v>
                </c:pt>
                <c:pt idx="1117">
                  <c:v>48104.935213430341</c:v>
                </c:pt>
                <c:pt idx="1118">
                  <c:v>48104.935213430341</c:v>
                </c:pt>
                <c:pt idx="1119">
                  <c:v>48104.935213430341</c:v>
                </c:pt>
                <c:pt idx="1120">
                  <c:v>48104.935213430341</c:v>
                </c:pt>
                <c:pt idx="1121">
                  <c:v>47157.62683796131</c:v>
                </c:pt>
                <c:pt idx="1122">
                  <c:v>47157.62683796131</c:v>
                </c:pt>
                <c:pt idx="1123">
                  <c:v>47157.62683796131</c:v>
                </c:pt>
                <c:pt idx="1124">
                  <c:v>47157.62683796131</c:v>
                </c:pt>
                <c:pt idx="1125">
                  <c:v>47157.62683796131</c:v>
                </c:pt>
                <c:pt idx="1126">
                  <c:v>47157.62683796131</c:v>
                </c:pt>
                <c:pt idx="1127">
                  <c:v>47157.62683796131</c:v>
                </c:pt>
                <c:pt idx="1128">
                  <c:v>47157.62683796131</c:v>
                </c:pt>
                <c:pt idx="1129">
                  <c:v>47157.62683796131</c:v>
                </c:pt>
                <c:pt idx="1130">
                  <c:v>47157.62683796131</c:v>
                </c:pt>
                <c:pt idx="1131">
                  <c:v>47157.62683796131</c:v>
                </c:pt>
                <c:pt idx="1132">
                  <c:v>47157.62683796131</c:v>
                </c:pt>
                <c:pt idx="1133">
                  <c:v>47157.62683796131</c:v>
                </c:pt>
                <c:pt idx="1134">
                  <c:v>47157.62683796131</c:v>
                </c:pt>
                <c:pt idx="1135">
                  <c:v>47157.62683796131</c:v>
                </c:pt>
                <c:pt idx="1136">
                  <c:v>47157.62683796131</c:v>
                </c:pt>
                <c:pt idx="1137">
                  <c:v>47157.62683796131</c:v>
                </c:pt>
                <c:pt idx="1138">
                  <c:v>47157.62683796131</c:v>
                </c:pt>
                <c:pt idx="1139">
                  <c:v>47157.62683796131</c:v>
                </c:pt>
                <c:pt idx="1140">
                  <c:v>47157.62683796131</c:v>
                </c:pt>
                <c:pt idx="1141">
                  <c:v>47157.62683796131</c:v>
                </c:pt>
                <c:pt idx="1142">
                  <c:v>47157.62683796131</c:v>
                </c:pt>
                <c:pt idx="1143">
                  <c:v>47157.62683796131</c:v>
                </c:pt>
                <c:pt idx="1144">
                  <c:v>47157.62683796131</c:v>
                </c:pt>
                <c:pt idx="1145">
                  <c:v>47157.62683796131</c:v>
                </c:pt>
                <c:pt idx="1146">
                  <c:v>47157.62683796131</c:v>
                </c:pt>
                <c:pt idx="1147">
                  <c:v>47157.62683796131</c:v>
                </c:pt>
                <c:pt idx="1148">
                  <c:v>47157.62683796131</c:v>
                </c:pt>
                <c:pt idx="1149">
                  <c:v>47157.62683796131</c:v>
                </c:pt>
                <c:pt idx="1150">
                  <c:v>47157.62683796131</c:v>
                </c:pt>
                <c:pt idx="1151">
                  <c:v>47157.62683796131</c:v>
                </c:pt>
                <c:pt idx="1152">
                  <c:v>46235.990842156629</c:v>
                </c:pt>
                <c:pt idx="1153">
                  <c:v>46235.990842156629</c:v>
                </c:pt>
                <c:pt idx="1154">
                  <c:v>46235.990842156629</c:v>
                </c:pt>
                <c:pt idx="1155">
                  <c:v>46235.990842156629</c:v>
                </c:pt>
                <c:pt idx="1156">
                  <c:v>46235.990842156629</c:v>
                </c:pt>
                <c:pt idx="1157">
                  <c:v>46235.990842156629</c:v>
                </c:pt>
                <c:pt idx="1158">
                  <c:v>46235.990842156629</c:v>
                </c:pt>
                <c:pt idx="1159">
                  <c:v>46235.990842156629</c:v>
                </c:pt>
                <c:pt idx="1160">
                  <c:v>46235.990842156629</c:v>
                </c:pt>
                <c:pt idx="1161">
                  <c:v>46235.990842156629</c:v>
                </c:pt>
                <c:pt idx="1162">
                  <c:v>46235.990842156629</c:v>
                </c:pt>
                <c:pt idx="1163">
                  <c:v>46235.990842156629</c:v>
                </c:pt>
                <c:pt idx="1164">
                  <c:v>46235.990842156629</c:v>
                </c:pt>
                <c:pt idx="1165">
                  <c:v>46235.990842156629</c:v>
                </c:pt>
                <c:pt idx="1166">
                  <c:v>46235.990842156629</c:v>
                </c:pt>
                <c:pt idx="1167">
                  <c:v>46235.990842156629</c:v>
                </c:pt>
                <c:pt idx="1168">
                  <c:v>46235.990842156629</c:v>
                </c:pt>
                <c:pt idx="1169">
                  <c:v>46235.990842156629</c:v>
                </c:pt>
                <c:pt idx="1170">
                  <c:v>46235.990842156629</c:v>
                </c:pt>
                <c:pt idx="1171">
                  <c:v>46235.990842156629</c:v>
                </c:pt>
                <c:pt idx="1172">
                  <c:v>46235.990842156629</c:v>
                </c:pt>
                <c:pt idx="1173">
                  <c:v>46235.990842156629</c:v>
                </c:pt>
                <c:pt idx="1174">
                  <c:v>46235.990842156629</c:v>
                </c:pt>
                <c:pt idx="1175">
                  <c:v>46235.990842156629</c:v>
                </c:pt>
                <c:pt idx="1176">
                  <c:v>46235.990842156629</c:v>
                </c:pt>
                <c:pt idx="1177">
                  <c:v>46235.990842156629</c:v>
                </c:pt>
                <c:pt idx="1178">
                  <c:v>46235.990842156629</c:v>
                </c:pt>
                <c:pt idx="1179">
                  <c:v>46235.990842156629</c:v>
                </c:pt>
                <c:pt idx="1180">
                  <c:v>46235.990842156629</c:v>
                </c:pt>
                <c:pt idx="1181">
                  <c:v>46235.990842156629</c:v>
                </c:pt>
                <c:pt idx="1182">
                  <c:v>45339.076368151182</c:v>
                </c:pt>
                <c:pt idx="1183">
                  <c:v>45339.076368151182</c:v>
                </c:pt>
                <c:pt idx="1184">
                  <c:v>45339.076368151182</c:v>
                </c:pt>
                <c:pt idx="1185">
                  <c:v>45339.076368151182</c:v>
                </c:pt>
                <c:pt idx="1186">
                  <c:v>45339.076368151182</c:v>
                </c:pt>
                <c:pt idx="1187">
                  <c:v>45339.076368151182</c:v>
                </c:pt>
                <c:pt idx="1188">
                  <c:v>45339.076368151182</c:v>
                </c:pt>
                <c:pt idx="1189">
                  <c:v>45339.076368151182</c:v>
                </c:pt>
                <c:pt idx="1190">
                  <c:v>45339.076368151182</c:v>
                </c:pt>
                <c:pt idx="1191">
                  <c:v>45339.076368151182</c:v>
                </c:pt>
                <c:pt idx="1192">
                  <c:v>45339.076368151182</c:v>
                </c:pt>
                <c:pt idx="1193">
                  <c:v>45339.076368151182</c:v>
                </c:pt>
                <c:pt idx="1194">
                  <c:v>45339.076368151182</c:v>
                </c:pt>
                <c:pt idx="1195">
                  <c:v>45339.076368151182</c:v>
                </c:pt>
                <c:pt idx="1196">
                  <c:v>45339.076368151182</c:v>
                </c:pt>
                <c:pt idx="1197">
                  <c:v>45339.076368151182</c:v>
                </c:pt>
                <c:pt idx="1198">
                  <c:v>45339.076368151182</c:v>
                </c:pt>
                <c:pt idx="1199">
                  <c:v>45339.076368151182</c:v>
                </c:pt>
                <c:pt idx="1200">
                  <c:v>45339.076368151182</c:v>
                </c:pt>
                <c:pt idx="1201">
                  <c:v>45339.076368151182</c:v>
                </c:pt>
                <c:pt idx="1202">
                  <c:v>45339.076368151182</c:v>
                </c:pt>
                <c:pt idx="1203">
                  <c:v>45339.076368151182</c:v>
                </c:pt>
                <c:pt idx="1204">
                  <c:v>45339.076368151182</c:v>
                </c:pt>
                <c:pt idx="1205">
                  <c:v>45339.076368151182</c:v>
                </c:pt>
                <c:pt idx="1206">
                  <c:v>45339.076368151182</c:v>
                </c:pt>
                <c:pt idx="1207">
                  <c:v>45339.076368151182</c:v>
                </c:pt>
                <c:pt idx="1208">
                  <c:v>45339.076368151182</c:v>
                </c:pt>
                <c:pt idx="1209">
                  <c:v>45339.076368151182</c:v>
                </c:pt>
                <c:pt idx="1210">
                  <c:v>45339.076368151182</c:v>
                </c:pt>
                <c:pt idx="1211">
                  <c:v>45339.076368151182</c:v>
                </c:pt>
                <c:pt idx="1212">
                  <c:v>45339.076368151182</c:v>
                </c:pt>
                <c:pt idx="1213">
                  <c:v>44316.961248779342</c:v>
                </c:pt>
                <c:pt idx="1214">
                  <c:v>44316.961248779342</c:v>
                </c:pt>
                <c:pt idx="1215">
                  <c:v>44316.961248779342</c:v>
                </c:pt>
                <c:pt idx="1216">
                  <c:v>44316.961248779342</c:v>
                </c:pt>
                <c:pt idx="1217">
                  <c:v>44316.961248779342</c:v>
                </c:pt>
                <c:pt idx="1218">
                  <c:v>44316.961248779342</c:v>
                </c:pt>
                <c:pt idx="1219">
                  <c:v>44316.961248779342</c:v>
                </c:pt>
                <c:pt idx="1220">
                  <c:v>44316.961248779342</c:v>
                </c:pt>
                <c:pt idx="1221">
                  <c:v>44316.961248779342</c:v>
                </c:pt>
                <c:pt idx="1222">
                  <c:v>44316.961248779342</c:v>
                </c:pt>
                <c:pt idx="1223">
                  <c:v>44316.961248779342</c:v>
                </c:pt>
                <c:pt idx="1224">
                  <c:v>44316.961248779342</c:v>
                </c:pt>
                <c:pt idx="1225">
                  <c:v>44316.961248779342</c:v>
                </c:pt>
                <c:pt idx="1226">
                  <c:v>44316.961248779342</c:v>
                </c:pt>
                <c:pt idx="1227">
                  <c:v>44316.961248779342</c:v>
                </c:pt>
                <c:pt idx="1228">
                  <c:v>44316.961248779342</c:v>
                </c:pt>
                <c:pt idx="1229">
                  <c:v>44316.961248779342</c:v>
                </c:pt>
                <c:pt idx="1230">
                  <c:v>44316.961248779342</c:v>
                </c:pt>
                <c:pt idx="1231">
                  <c:v>44316.961248779342</c:v>
                </c:pt>
                <c:pt idx="1232">
                  <c:v>44316.961248779342</c:v>
                </c:pt>
                <c:pt idx="1233">
                  <c:v>44316.961248779342</c:v>
                </c:pt>
                <c:pt idx="1234">
                  <c:v>44316.961248779342</c:v>
                </c:pt>
                <c:pt idx="1235">
                  <c:v>44316.961248779342</c:v>
                </c:pt>
                <c:pt idx="1236">
                  <c:v>44316.961248779342</c:v>
                </c:pt>
                <c:pt idx="1237">
                  <c:v>44316.961248779342</c:v>
                </c:pt>
                <c:pt idx="1238">
                  <c:v>44316.961248779342</c:v>
                </c:pt>
                <c:pt idx="1239">
                  <c:v>44316.961248779342</c:v>
                </c:pt>
                <c:pt idx="1240">
                  <c:v>44316.961248779342</c:v>
                </c:pt>
                <c:pt idx="1241">
                  <c:v>44316.961248779342</c:v>
                </c:pt>
                <c:pt idx="1242">
                  <c:v>44316.961248779342</c:v>
                </c:pt>
                <c:pt idx="1243">
                  <c:v>43376.503143149908</c:v>
                </c:pt>
                <c:pt idx="1244">
                  <c:v>43376.503143149908</c:v>
                </c:pt>
                <c:pt idx="1245">
                  <c:v>43376.503143149908</c:v>
                </c:pt>
                <c:pt idx="1246">
                  <c:v>43376.503143149908</c:v>
                </c:pt>
                <c:pt idx="1247">
                  <c:v>43376.503143149908</c:v>
                </c:pt>
                <c:pt idx="1248">
                  <c:v>43376.503143149908</c:v>
                </c:pt>
                <c:pt idx="1249">
                  <c:v>43376.503143149908</c:v>
                </c:pt>
                <c:pt idx="1250">
                  <c:v>43376.503143149908</c:v>
                </c:pt>
                <c:pt idx="1251">
                  <c:v>43376.503143149908</c:v>
                </c:pt>
                <c:pt idx="1252">
                  <c:v>43376.503143149908</c:v>
                </c:pt>
                <c:pt idx="1253">
                  <c:v>43376.503143149908</c:v>
                </c:pt>
                <c:pt idx="1254">
                  <c:v>43376.503143149908</c:v>
                </c:pt>
                <c:pt idx="1255">
                  <c:v>43376.503143149908</c:v>
                </c:pt>
                <c:pt idx="1256">
                  <c:v>43376.503143149908</c:v>
                </c:pt>
                <c:pt idx="1257">
                  <c:v>43376.503143149908</c:v>
                </c:pt>
                <c:pt idx="1258">
                  <c:v>43376.503143149908</c:v>
                </c:pt>
                <c:pt idx="1259">
                  <c:v>43376.503143149908</c:v>
                </c:pt>
                <c:pt idx="1260">
                  <c:v>43376.503143149908</c:v>
                </c:pt>
                <c:pt idx="1261">
                  <c:v>43376.503143149908</c:v>
                </c:pt>
                <c:pt idx="1262">
                  <c:v>43376.503143149908</c:v>
                </c:pt>
                <c:pt idx="1263">
                  <c:v>43376.503143149908</c:v>
                </c:pt>
                <c:pt idx="1264">
                  <c:v>43376.503143149908</c:v>
                </c:pt>
                <c:pt idx="1265">
                  <c:v>43376.503143149908</c:v>
                </c:pt>
                <c:pt idx="1266">
                  <c:v>43376.503143149908</c:v>
                </c:pt>
                <c:pt idx="1267">
                  <c:v>43376.503143149908</c:v>
                </c:pt>
                <c:pt idx="1268">
                  <c:v>43376.503143149908</c:v>
                </c:pt>
                <c:pt idx="1269">
                  <c:v>43376.503143149908</c:v>
                </c:pt>
                <c:pt idx="1270">
                  <c:v>43376.503143149908</c:v>
                </c:pt>
                <c:pt idx="1271">
                  <c:v>43376.503143149908</c:v>
                </c:pt>
                <c:pt idx="1272">
                  <c:v>43376.503143149908</c:v>
                </c:pt>
                <c:pt idx="1273">
                  <c:v>43376.503143149908</c:v>
                </c:pt>
                <c:pt idx="1274">
                  <c:v>42272.938109709052</c:v>
                </c:pt>
                <c:pt idx="1275">
                  <c:v>42272.938109709052</c:v>
                </c:pt>
                <c:pt idx="1276">
                  <c:v>42272.938109709052</c:v>
                </c:pt>
                <c:pt idx="1277">
                  <c:v>42272.938109709052</c:v>
                </c:pt>
                <c:pt idx="1278">
                  <c:v>42272.938109709052</c:v>
                </c:pt>
                <c:pt idx="1279">
                  <c:v>42272.938109709052</c:v>
                </c:pt>
                <c:pt idx="1280">
                  <c:v>42272.938109709052</c:v>
                </c:pt>
                <c:pt idx="1281">
                  <c:v>42272.938109709052</c:v>
                </c:pt>
                <c:pt idx="1282">
                  <c:v>42272.938109709052</c:v>
                </c:pt>
                <c:pt idx="1283">
                  <c:v>42272.938109709052</c:v>
                </c:pt>
                <c:pt idx="1284">
                  <c:v>42272.938109709052</c:v>
                </c:pt>
                <c:pt idx="1285">
                  <c:v>42272.938109709052</c:v>
                </c:pt>
                <c:pt idx="1286">
                  <c:v>42272.938109709052</c:v>
                </c:pt>
                <c:pt idx="1287">
                  <c:v>42272.938109709052</c:v>
                </c:pt>
                <c:pt idx="1288">
                  <c:v>42272.938109709052</c:v>
                </c:pt>
                <c:pt idx="1289">
                  <c:v>42272.938109709052</c:v>
                </c:pt>
                <c:pt idx="1290">
                  <c:v>42272.938109709052</c:v>
                </c:pt>
                <c:pt idx="1291">
                  <c:v>42272.938109709052</c:v>
                </c:pt>
                <c:pt idx="1292">
                  <c:v>42272.938109709052</c:v>
                </c:pt>
                <c:pt idx="1293">
                  <c:v>42272.938109709052</c:v>
                </c:pt>
                <c:pt idx="1294">
                  <c:v>42272.938109709052</c:v>
                </c:pt>
                <c:pt idx="1295">
                  <c:v>42272.938109709052</c:v>
                </c:pt>
                <c:pt idx="1296">
                  <c:v>42272.938109709052</c:v>
                </c:pt>
                <c:pt idx="1297">
                  <c:v>42272.938109709052</c:v>
                </c:pt>
                <c:pt idx="1298">
                  <c:v>42272.938109709052</c:v>
                </c:pt>
                <c:pt idx="1299">
                  <c:v>42272.938109709052</c:v>
                </c:pt>
                <c:pt idx="1300">
                  <c:v>42272.938109709052</c:v>
                </c:pt>
                <c:pt idx="1301">
                  <c:v>42272.938109709052</c:v>
                </c:pt>
                <c:pt idx="1302">
                  <c:v>42272.938109709052</c:v>
                </c:pt>
                <c:pt idx="1303">
                  <c:v>42272.938109709052</c:v>
                </c:pt>
                <c:pt idx="1304">
                  <c:v>42272.938109709052</c:v>
                </c:pt>
                <c:pt idx="1305">
                  <c:v>41492.821409687269</c:v>
                </c:pt>
                <c:pt idx="1306">
                  <c:v>41492.821409687269</c:v>
                </c:pt>
                <c:pt idx="1307">
                  <c:v>41492.821409687269</c:v>
                </c:pt>
                <c:pt idx="1308">
                  <c:v>41492.821409687269</c:v>
                </c:pt>
                <c:pt idx="1309">
                  <c:v>41492.821409687269</c:v>
                </c:pt>
                <c:pt idx="1310">
                  <c:v>41492.821409687269</c:v>
                </c:pt>
                <c:pt idx="1311">
                  <c:v>41492.821409687269</c:v>
                </c:pt>
                <c:pt idx="1312">
                  <c:v>41492.821409687269</c:v>
                </c:pt>
                <c:pt idx="1313">
                  <c:v>41492.821409687269</c:v>
                </c:pt>
                <c:pt idx="1314">
                  <c:v>41492.821409687269</c:v>
                </c:pt>
                <c:pt idx="1315">
                  <c:v>41492.821409687269</c:v>
                </c:pt>
                <c:pt idx="1316">
                  <c:v>41492.821409687269</c:v>
                </c:pt>
                <c:pt idx="1317">
                  <c:v>41492.821409687269</c:v>
                </c:pt>
                <c:pt idx="1318">
                  <c:v>41492.821409687269</c:v>
                </c:pt>
                <c:pt idx="1319">
                  <c:v>41492.821409687269</c:v>
                </c:pt>
                <c:pt idx="1320">
                  <c:v>41492.821409687269</c:v>
                </c:pt>
                <c:pt idx="1321">
                  <c:v>41492.821409687269</c:v>
                </c:pt>
                <c:pt idx="1322">
                  <c:v>41492.821409687269</c:v>
                </c:pt>
                <c:pt idx="1323">
                  <c:v>41492.821409687269</c:v>
                </c:pt>
                <c:pt idx="1324">
                  <c:v>41492.821409687269</c:v>
                </c:pt>
                <c:pt idx="1325">
                  <c:v>41492.821409687269</c:v>
                </c:pt>
                <c:pt idx="1326">
                  <c:v>41492.821409687269</c:v>
                </c:pt>
                <c:pt idx="1327">
                  <c:v>41492.821409687269</c:v>
                </c:pt>
                <c:pt idx="1328">
                  <c:v>41492.821409687269</c:v>
                </c:pt>
                <c:pt idx="1329">
                  <c:v>41492.821409687269</c:v>
                </c:pt>
                <c:pt idx="1330">
                  <c:v>41492.821409687269</c:v>
                </c:pt>
                <c:pt idx="1331">
                  <c:v>41492.821409687269</c:v>
                </c:pt>
                <c:pt idx="1332">
                  <c:v>41492.821409687269</c:v>
                </c:pt>
                <c:pt idx="1333">
                  <c:v>41492.821409687269</c:v>
                </c:pt>
                <c:pt idx="1334">
                  <c:v>41492.821409687269</c:v>
                </c:pt>
                <c:pt idx="1335">
                  <c:v>40731.850818513594</c:v>
                </c:pt>
                <c:pt idx="1336">
                  <c:v>40731.850818513594</c:v>
                </c:pt>
                <c:pt idx="1337">
                  <c:v>40731.850818513594</c:v>
                </c:pt>
                <c:pt idx="1338">
                  <c:v>40731.850818513594</c:v>
                </c:pt>
                <c:pt idx="1339">
                  <c:v>40731.850818513594</c:v>
                </c:pt>
                <c:pt idx="1340">
                  <c:v>40731.850818513594</c:v>
                </c:pt>
                <c:pt idx="1341">
                  <c:v>40731.850818513594</c:v>
                </c:pt>
                <c:pt idx="1342">
                  <c:v>40731.850818513594</c:v>
                </c:pt>
                <c:pt idx="1343">
                  <c:v>40731.850818513594</c:v>
                </c:pt>
                <c:pt idx="1344">
                  <c:v>40731.850818513594</c:v>
                </c:pt>
                <c:pt idx="1345">
                  <c:v>40731.850818513594</c:v>
                </c:pt>
                <c:pt idx="1346">
                  <c:v>40731.850818513594</c:v>
                </c:pt>
                <c:pt idx="1347">
                  <c:v>40731.850818513594</c:v>
                </c:pt>
                <c:pt idx="1348">
                  <c:v>40731.850818513594</c:v>
                </c:pt>
                <c:pt idx="1349">
                  <c:v>40731.850818513594</c:v>
                </c:pt>
                <c:pt idx="1350">
                  <c:v>40731.850818513594</c:v>
                </c:pt>
                <c:pt idx="1351">
                  <c:v>40731.850818513594</c:v>
                </c:pt>
                <c:pt idx="1352">
                  <c:v>40731.850818513594</c:v>
                </c:pt>
                <c:pt idx="1353">
                  <c:v>40731.850818513594</c:v>
                </c:pt>
                <c:pt idx="1354">
                  <c:v>40731.850818513594</c:v>
                </c:pt>
                <c:pt idx="1355">
                  <c:v>40731.850818513594</c:v>
                </c:pt>
                <c:pt idx="1356">
                  <c:v>40731.850818513594</c:v>
                </c:pt>
                <c:pt idx="1357">
                  <c:v>40731.850818513594</c:v>
                </c:pt>
                <c:pt idx="1358">
                  <c:v>40731.850818513594</c:v>
                </c:pt>
                <c:pt idx="1359">
                  <c:v>40731.850818513594</c:v>
                </c:pt>
                <c:pt idx="1360">
                  <c:v>40731.850818513594</c:v>
                </c:pt>
                <c:pt idx="1361">
                  <c:v>40731.850818513594</c:v>
                </c:pt>
                <c:pt idx="1362">
                  <c:v>40731.850818513594</c:v>
                </c:pt>
                <c:pt idx="1363">
                  <c:v>40731.850818513594</c:v>
                </c:pt>
                <c:pt idx="1364">
                  <c:v>40731.850818513594</c:v>
                </c:pt>
                <c:pt idx="1365">
                  <c:v>40731.850818513594</c:v>
                </c:pt>
                <c:pt idx="1366">
                  <c:v>39184.754134810559</c:v>
                </c:pt>
                <c:pt idx="1367">
                  <c:v>39184.754134810559</c:v>
                </c:pt>
                <c:pt idx="1368">
                  <c:v>39184.754134810559</c:v>
                </c:pt>
                <c:pt idx="1369">
                  <c:v>39184.754134810559</c:v>
                </c:pt>
                <c:pt idx="1370">
                  <c:v>39184.754134810559</c:v>
                </c:pt>
                <c:pt idx="1371">
                  <c:v>39184.754134810559</c:v>
                </c:pt>
                <c:pt idx="1372">
                  <c:v>39184.754134810559</c:v>
                </c:pt>
                <c:pt idx="1373">
                  <c:v>39184.754134810559</c:v>
                </c:pt>
                <c:pt idx="1374">
                  <c:v>39184.754134810559</c:v>
                </c:pt>
                <c:pt idx="1375">
                  <c:v>39184.754134810559</c:v>
                </c:pt>
                <c:pt idx="1376">
                  <c:v>39184.754134810559</c:v>
                </c:pt>
                <c:pt idx="1377">
                  <c:v>39184.754134810559</c:v>
                </c:pt>
                <c:pt idx="1378">
                  <c:v>39184.754134810559</c:v>
                </c:pt>
                <c:pt idx="1379">
                  <c:v>39184.754134810559</c:v>
                </c:pt>
                <c:pt idx="1380">
                  <c:v>39184.754134810559</c:v>
                </c:pt>
                <c:pt idx="1381">
                  <c:v>39184.754134810559</c:v>
                </c:pt>
                <c:pt idx="1382">
                  <c:v>39184.754134810559</c:v>
                </c:pt>
                <c:pt idx="1383">
                  <c:v>39184.754134810559</c:v>
                </c:pt>
                <c:pt idx="1384">
                  <c:v>39184.754134810559</c:v>
                </c:pt>
                <c:pt idx="1385">
                  <c:v>39184.754134810559</c:v>
                </c:pt>
                <c:pt idx="1386">
                  <c:v>39184.754134810559</c:v>
                </c:pt>
                <c:pt idx="1387">
                  <c:v>39184.754134810559</c:v>
                </c:pt>
                <c:pt idx="1388">
                  <c:v>39184.754134810559</c:v>
                </c:pt>
                <c:pt idx="1389">
                  <c:v>39184.754134810559</c:v>
                </c:pt>
                <c:pt idx="1390">
                  <c:v>39184.754134810559</c:v>
                </c:pt>
                <c:pt idx="1391">
                  <c:v>39184.754134810559</c:v>
                </c:pt>
                <c:pt idx="1392">
                  <c:v>39184.754134810559</c:v>
                </c:pt>
                <c:pt idx="1393">
                  <c:v>39184.754134810559</c:v>
                </c:pt>
                <c:pt idx="1394">
                  <c:v>39184.754134810559</c:v>
                </c:pt>
                <c:pt idx="1395">
                  <c:v>39184.754134810559</c:v>
                </c:pt>
                <c:pt idx="1396">
                  <c:v>38468.439199026048</c:v>
                </c:pt>
                <c:pt idx="1397">
                  <c:v>38468.439199026048</c:v>
                </c:pt>
                <c:pt idx="1398">
                  <c:v>38468.439199026048</c:v>
                </c:pt>
                <c:pt idx="1399">
                  <c:v>38468.439199026048</c:v>
                </c:pt>
                <c:pt idx="1400">
                  <c:v>38468.439199026048</c:v>
                </c:pt>
                <c:pt idx="1401">
                  <c:v>38468.439199026048</c:v>
                </c:pt>
                <c:pt idx="1402">
                  <c:v>38468.439199026048</c:v>
                </c:pt>
                <c:pt idx="1403">
                  <c:v>38468.439199026048</c:v>
                </c:pt>
                <c:pt idx="1404">
                  <c:v>38468.439199026048</c:v>
                </c:pt>
                <c:pt idx="1405">
                  <c:v>38468.439199026048</c:v>
                </c:pt>
                <c:pt idx="1406">
                  <c:v>38468.439199026048</c:v>
                </c:pt>
                <c:pt idx="1407">
                  <c:v>38468.439199026048</c:v>
                </c:pt>
                <c:pt idx="1408">
                  <c:v>38468.439199026048</c:v>
                </c:pt>
                <c:pt idx="1409">
                  <c:v>38468.439199026048</c:v>
                </c:pt>
                <c:pt idx="1410">
                  <c:v>38468.439199026048</c:v>
                </c:pt>
                <c:pt idx="1411">
                  <c:v>38468.439199026048</c:v>
                </c:pt>
                <c:pt idx="1412">
                  <c:v>38468.439199026048</c:v>
                </c:pt>
                <c:pt idx="1413">
                  <c:v>38468.439199026048</c:v>
                </c:pt>
                <c:pt idx="1414">
                  <c:v>38468.439199026048</c:v>
                </c:pt>
                <c:pt idx="1415">
                  <c:v>38468.439199026048</c:v>
                </c:pt>
                <c:pt idx="1416">
                  <c:v>38468.439199026048</c:v>
                </c:pt>
                <c:pt idx="1417">
                  <c:v>38468.439199026048</c:v>
                </c:pt>
                <c:pt idx="1418">
                  <c:v>38468.439199026048</c:v>
                </c:pt>
                <c:pt idx="1419">
                  <c:v>38468.439199026048</c:v>
                </c:pt>
                <c:pt idx="1420">
                  <c:v>38468.439199026048</c:v>
                </c:pt>
                <c:pt idx="1421">
                  <c:v>38468.439199026048</c:v>
                </c:pt>
                <c:pt idx="1422">
                  <c:v>38468.439199026048</c:v>
                </c:pt>
                <c:pt idx="1423">
                  <c:v>38468.439199026048</c:v>
                </c:pt>
                <c:pt idx="1424">
                  <c:v>38468.439199026048</c:v>
                </c:pt>
                <c:pt idx="1425">
                  <c:v>38468.439199026048</c:v>
                </c:pt>
                <c:pt idx="1426">
                  <c:v>38468.439199026048</c:v>
                </c:pt>
                <c:pt idx="1427">
                  <c:v>37173.838396734995</c:v>
                </c:pt>
                <c:pt idx="1428">
                  <c:v>37173.838396734995</c:v>
                </c:pt>
                <c:pt idx="1429">
                  <c:v>37173.838396734995</c:v>
                </c:pt>
                <c:pt idx="1430">
                  <c:v>37173.838396734995</c:v>
                </c:pt>
                <c:pt idx="1431">
                  <c:v>37173.838396734995</c:v>
                </c:pt>
                <c:pt idx="1432">
                  <c:v>37173.838396734995</c:v>
                </c:pt>
                <c:pt idx="1433">
                  <c:v>37173.838396734995</c:v>
                </c:pt>
                <c:pt idx="1434">
                  <c:v>37173.838396734995</c:v>
                </c:pt>
                <c:pt idx="1435">
                  <c:v>37173.838396734995</c:v>
                </c:pt>
                <c:pt idx="1436">
                  <c:v>37173.838396734995</c:v>
                </c:pt>
                <c:pt idx="1437">
                  <c:v>37173.838396734995</c:v>
                </c:pt>
                <c:pt idx="1438">
                  <c:v>37173.838396734995</c:v>
                </c:pt>
                <c:pt idx="1439">
                  <c:v>37173.838396734995</c:v>
                </c:pt>
                <c:pt idx="1440">
                  <c:v>37173.838396734995</c:v>
                </c:pt>
                <c:pt idx="1441">
                  <c:v>37173.838396734995</c:v>
                </c:pt>
                <c:pt idx="1442">
                  <c:v>37173.838396734995</c:v>
                </c:pt>
                <c:pt idx="1443">
                  <c:v>37173.838396734995</c:v>
                </c:pt>
                <c:pt idx="1444">
                  <c:v>37173.838396734995</c:v>
                </c:pt>
                <c:pt idx="1445">
                  <c:v>37173.838396734995</c:v>
                </c:pt>
                <c:pt idx="1446">
                  <c:v>37173.838396734995</c:v>
                </c:pt>
                <c:pt idx="1447">
                  <c:v>37173.838396734995</c:v>
                </c:pt>
                <c:pt idx="1448">
                  <c:v>37173.838396734995</c:v>
                </c:pt>
                <c:pt idx="1449">
                  <c:v>37173.838396734995</c:v>
                </c:pt>
                <c:pt idx="1450">
                  <c:v>37173.838396734995</c:v>
                </c:pt>
                <c:pt idx="1451">
                  <c:v>37173.838396734995</c:v>
                </c:pt>
                <c:pt idx="1452">
                  <c:v>37173.838396734995</c:v>
                </c:pt>
                <c:pt idx="1453">
                  <c:v>37173.838396734995</c:v>
                </c:pt>
                <c:pt idx="1454">
                  <c:v>37173.838396734995</c:v>
                </c:pt>
                <c:pt idx="1455">
                  <c:v>37173.838396734995</c:v>
                </c:pt>
                <c:pt idx="1456">
                  <c:v>37173.838396734995</c:v>
                </c:pt>
                <c:pt idx="1457">
                  <c:v>37173.838396734995</c:v>
                </c:pt>
                <c:pt idx="1458">
                  <c:v>36206.774647281032</c:v>
                </c:pt>
                <c:pt idx="1459">
                  <c:v>36206.774647281032</c:v>
                </c:pt>
                <c:pt idx="1460">
                  <c:v>36206.774647281032</c:v>
                </c:pt>
                <c:pt idx="1461">
                  <c:v>36206.774647281032</c:v>
                </c:pt>
                <c:pt idx="1462">
                  <c:v>36206.774647281032</c:v>
                </c:pt>
                <c:pt idx="1463">
                  <c:v>36206.774647281032</c:v>
                </c:pt>
                <c:pt idx="1464">
                  <c:v>36206.774647281032</c:v>
                </c:pt>
                <c:pt idx="1465">
                  <c:v>36206.774647281032</c:v>
                </c:pt>
                <c:pt idx="1466">
                  <c:v>36206.774647281032</c:v>
                </c:pt>
                <c:pt idx="1467">
                  <c:v>36206.774647281032</c:v>
                </c:pt>
                <c:pt idx="1468">
                  <c:v>36206.774647281032</c:v>
                </c:pt>
                <c:pt idx="1469">
                  <c:v>36206.774647281032</c:v>
                </c:pt>
                <c:pt idx="1470">
                  <c:v>36206.774647281032</c:v>
                </c:pt>
                <c:pt idx="1471">
                  <c:v>36206.774647281032</c:v>
                </c:pt>
                <c:pt idx="1472">
                  <c:v>36206.774647281032</c:v>
                </c:pt>
                <c:pt idx="1473">
                  <c:v>36206.774647281032</c:v>
                </c:pt>
                <c:pt idx="1474">
                  <c:v>36206.774647281032</c:v>
                </c:pt>
                <c:pt idx="1475">
                  <c:v>36206.774647281032</c:v>
                </c:pt>
                <c:pt idx="1476">
                  <c:v>36206.774647281032</c:v>
                </c:pt>
                <c:pt idx="1477">
                  <c:v>36206.774647281032</c:v>
                </c:pt>
                <c:pt idx="1478">
                  <c:v>36206.774647281032</c:v>
                </c:pt>
                <c:pt idx="1479">
                  <c:v>36206.774647281032</c:v>
                </c:pt>
                <c:pt idx="1480">
                  <c:v>36206.774647281032</c:v>
                </c:pt>
                <c:pt idx="1481">
                  <c:v>36206.774647281032</c:v>
                </c:pt>
                <c:pt idx="1482">
                  <c:v>36206.774647281032</c:v>
                </c:pt>
                <c:pt idx="1483">
                  <c:v>36206.774647281032</c:v>
                </c:pt>
                <c:pt idx="1484">
                  <c:v>36206.774647281032</c:v>
                </c:pt>
                <c:pt idx="1485">
                  <c:v>36206.774647281032</c:v>
                </c:pt>
                <c:pt idx="1486">
                  <c:v>35563.792284353178</c:v>
                </c:pt>
                <c:pt idx="1487">
                  <c:v>35563.792284353178</c:v>
                </c:pt>
                <c:pt idx="1488">
                  <c:v>35563.792284353178</c:v>
                </c:pt>
                <c:pt idx="1489">
                  <c:v>35563.792284353178</c:v>
                </c:pt>
                <c:pt idx="1490">
                  <c:v>35563.792284353178</c:v>
                </c:pt>
                <c:pt idx="1491">
                  <c:v>35563.792284353178</c:v>
                </c:pt>
                <c:pt idx="1492">
                  <c:v>35563.792284353178</c:v>
                </c:pt>
                <c:pt idx="1493">
                  <c:v>35563.792284353178</c:v>
                </c:pt>
                <c:pt idx="1494">
                  <c:v>35563.792284353178</c:v>
                </c:pt>
                <c:pt idx="1495">
                  <c:v>35563.792284353178</c:v>
                </c:pt>
                <c:pt idx="1496">
                  <c:v>35563.792284353178</c:v>
                </c:pt>
                <c:pt idx="1497">
                  <c:v>35563.792284353178</c:v>
                </c:pt>
                <c:pt idx="1498">
                  <c:v>35563.792284353178</c:v>
                </c:pt>
                <c:pt idx="1499">
                  <c:v>35563.792284353178</c:v>
                </c:pt>
                <c:pt idx="1500">
                  <c:v>35563.792284353178</c:v>
                </c:pt>
                <c:pt idx="1501">
                  <c:v>35563.792284353178</c:v>
                </c:pt>
                <c:pt idx="1502">
                  <c:v>35563.792284353178</c:v>
                </c:pt>
                <c:pt idx="1503">
                  <c:v>35563.792284353178</c:v>
                </c:pt>
                <c:pt idx="1504">
                  <c:v>35563.792284353178</c:v>
                </c:pt>
                <c:pt idx="1505">
                  <c:v>35563.792284353178</c:v>
                </c:pt>
                <c:pt idx="1506">
                  <c:v>35563.792284353178</c:v>
                </c:pt>
                <c:pt idx="1507">
                  <c:v>35563.792284353178</c:v>
                </c:pt>
                <c:pt idx="1508">
                  <c:v>35563.792284353178</c:v>
                </c:pt>
                <c:pt idx="1509">
                  <c:v>35563.792284353178</c:v>
                </c:pt>
                <c:pt idx="1510">
                  <c:v>35563.792284353178</c:v>
                </c:pt>
                <c:pt idx="1511">
                  <c:v>35563.792284353178</c:v>
                </c:pt>
                <c:pt idx="1512">
                  <c:v>35563.792284353178</c:v>
                </c:pt>
                <c:pt idx="1513">
                  <c:v>35563.792284353178</c:v>
                </c:pt>
                <c:pt idx="1514">
                  <c:v>35563.792284353178</c:v>
                </c:pt>
                <c:pt idx="1515">
                  <c:v>35563.792284353178</c:v>
                </c:pt>
                <c:pt idx="1516">
                  <c:v>35563.792284353178</c:v>
                </c:pt>
                <c:pt idx="1517">
                  <c:v>34638.359147563686</c:v>
                </c:pt>
                <c:pt idx="1518">
                  <c:v>34638.359147563686</c:v>
                </c:pt>
                <c:pt idx="1519">
                  <c:v>34638.359147563686</c:v>
                </c:pt>
                <c:pt idx="1520">
                  <c:v>34638.359147563686</c:v>
                </c:pt>
                <c:pt idx="1521">
                  <c:v>34638.359147563686</c:v>
                </c:pt>
                <c:pt idx="1522">
                  <c:v>34638.359147563686</c:v>
                </c:pt>
                <c:pt idx="1523">
                  <c:v>34638.359147563686</c:v>
                </c:pt>
                <c:pt idx="1524">
                  <c:v>34638.359147563686</c:v>
                </c:pt>
                <c:pt idx="1525">
                  <c:v>34638.359147563686</c:v>
                </c:pt>
                <c:pt idx="1526">
                  <c:v>34638.359147563686</c:v>
                </c:pt>
                <c:pt idx="1527">
                  <c:v>34638.359147563686</c:v>
                </c:pt>
                <c:pt idx="1528">
                  <c:v>34638.359147563686</c:v>
                </c:pt>
                <c:pt idx="1529">
                  <c:v>34638.359147563686</c:v>
                </c:pt>
                <c:pt idx="1530">
                  <c:v>34638.359147563686</c:v>
                </c:pt>
                <c:pt idx="1531">
                  <c:v>34638.359147563686</c:v>
                </c:pt>
                <c:pt idx="1532">
                  <c:v>34638.359147563686</c:v>
                </c:pt>
                <c:pt idx="1533">
                  <c:v>34638.359147563686</c:v>
                </c:pt>
                <c:pt idx="1534">
                  <c:v>34638.359147563686</c:v>
                </c:pt>
                <c:pt idx="1535">
                  <c:v>34638.359147563686</c:v>
                </c:pt>
                <c:pt idx="1536">
                  <c:v>34638.359147563686</c:v>
                </c:pt>
                <c:pt idx="1537">
                  <c:v>34638.359147563686</c:v>
                </c:pt>
                <c:pt idx="1538">
                  <c:v>34638.359147563686</c:v>
                </c:pt>
                <c:pt idx="1539">
                  <c:v>34638.359147563686</c:v>
                </c:pt>
                <c:pt idx="1540">
                  <c:v>34638.359147563686</c:v>
                </c:pt>
                <c:pt idx="1541">
                  <c:v>34638.359147563686</c:v>
                </c:pt>
                <c:pt idx="1542">
                  <c:v>34638.359147563686</c:v>
                </c:pt>
                <c:pt idx="1543">
                  <c:v>34638.359147563686</c:v>
                </c:pt>
                <c:pt idx="1544">
                  <c:v>34638.359147563686</c:v>
                </c:pt>
                <c:pt idx="1545">
                  <c:v>34638.359147563686</c:v>
                </c:pt>
                <c:pt idx="1546">
                  <c:v>34638.359147563686</c:v>
                </c:pt>
                <c:pt idx="1547">
                  <c:v>33835.012397203951</c:v>
                </c:pt>
                <c:pt idx="1548">
                  <c:v>33835.012397203951</c:v>
                </c:pt>
                <c:pt idx="1549">
                  <c:v>33835.012397203951</c:v>
                </c:pt>
                <c:pt idx="1550">
                  <c:v>33835.012397203951</c:v>
                </c:pt>
                <c:pt idx="1551">
                  <c:v>33835.012397203951</c:v>
                </c:pt>
                <c:pt idx="1552">
                  <c:v>33835.012397203951</c:v>
                </c:pt>
                <c:pt idx="1553">
                  <c:v>33835.012397203951</c:v>
                </c:pt>
                <c:pt idx="1554">
                  <c:v>33835.012397203951</c:v>
                </c:pt>
                <c:pt idx="1555">
                  <c:v>33835.012397203951</c:v>
                </c:pt>
                <c:pt idx="1556">
                  <c:v>33835.012397203951</c:v>
                </c:pt>
                <c:pt idx="1557">
                  <c:v>33835.012397203951</c:v>
                </c:pt>
                <c:pt idx="1558">
                  <c:v>33835.012397203951</c:v>
                </c:pt>
                <c:pt idx="1559">
                  <c:v>33835.012397203951</c:v>
                </c:pt>
                <c:pt idx="1560">
                  <c:v>33835.012397203951</c:v>
                </c:pt>
                <c:pt idx="1561">
                  <c:v>33835.012397203951</c:v>
                </c:pt>
                <c:pt idx="1562">
                  <c:v>33835.012397203951</c:v>
                </c:pt>
                <c:pt idx="1563">
                  <c:v>33835.012397203951</c:v>
                </c:pt>
                <c:pt idx="1564">
                  <c:v>33835.012397203951</c:v>
                </c:pt>
                <c:pt idx="1565">
                  <c:v>33835.012397203951</c:v>
                </c:pt>
                <c:pt idx="1566">
                  <c:v>33835.012397203951</c:v>
                </c:pt>
                <c:pt idx="1567">
                  <c:v>33835.012397203951</c:v>
                </c:pt>
                <c:pt idx="1568">
                  <c:v>33835.012397203951</c:v>
                </c:pt>
                <c:pt idx="1569">
                  <c:v>33835.012397203951</c:v>
                </c:pt>
                <c:pt idx="1570">
                  <c:v>33835.012397203951</c:v>
                </c:pt>
                <c:pt idx="1571">
                  <c:v>33835.012397203951</c:v>
                </c:pt>
                <c:pt idx="1572">
                  <c:v>33835.012397203951</c:v>
                </c:pt>
                <c:pt idx="1573">
                  <c:v>33835.012397203951</c:v>
                </c:pt>
                <c:pt idx="1574">
                  <c:v>33835.012397203951</c:v>
                </c:pt>
                <c:pt idx="1575">
                  <c:v>33835.012397203951</c:v>
                </c:pt>
                <c:pt idx="1576">
                  <c:v>33835.012397203951</c:v>
                </c:pt>
                <c:pt idx="1577">
                  <c:v>33835.012397203951</c:v>
                </c:pt>
                <c:pt idx="1578">
                  <c:v>33252.088705444366</c:v>
                </c:pt>
                <c:pt idx="1579">
                  <c:v>33252.088705444366</c:v>
                </c:pt>
                <c:pt idx="1580">
                  <c:v>33252.088705444366</c:v>
                </c:pt>
                <c:pt idx="1581">
                  <c:v>33252.088705444366</c:v>
                </c:pt>
                <c:pt idx="1582">
                  <c:v>33252.088705444366</c:v>
                </c:pt>
                <c:pt idx="1583">
                  <c:v>33252.088705444366</c:v>
                </c:pt>
                <c:pt idx="1584">
                  <c:v>33252.088705444366</c:v>
                </c:pt>
                <c:pt idx="1585">
                  <c:v>33252.088705444366</c:v>
                </c:pt>
                <c:pt idx="1586">
                  <c:v>33252.088705444366</c:v>
                </c:pt>
                <c:pt idx="1587">
                  <c:v>33252.088705444366</c:v>
                </c:pt>
                <c:pt idx="1588">
                  <c:v>33252.088705444366</c:v>
                </c:pt>
                <c:pt idx="1589">
                  <c:v>33252.088705444366</c:v>
                </c:pt>
                <c:pt idx="1590">
                  <c:v>33252.088705444366</c:v>
                </c:pt>
                <c:pt idx="1591">
                  <c:v>33252.088705444366</c:v>
                </c:pt>
                <c:pt idx="1592">
                  <c:v>33252.088705444366</c:v>
                </c:pt>
                <c:pt idx="1593">
                  <c:v>33252.088705444366</c:v>
                </c:pt>
                <c:pt idx="1594">
                  <c:v>33252.088705444366</c:v>
                </c:pt>
                <c:pt idx="1595">
                  <c:v>33252.088705444366</c:v>
                </c:pt>
                <c:pt idx="1596">
                  <c:v>33252.088705444366</c:v>
                </c:pt>
                <c:pt idx="1597">
                  <c:v>33252.088705444366</c:v>
                </c:pt>
                <c:pt idx="1598">
                  <c:v>33252.088705444366</c:v>
                </c:pt>
                <c:pt idx="1599">
                  <c:v>33252.088705444366</c:v>
                </c:pt>
                <c:pt idx="1600">
                  <c:v>33252.088705444366</c:v>
                </c:pt>
                <c:pt idx="1601">
                  <c:v>33252.088705444366</c:v>
                </c:pt>
                <c:pt idx="1602">
                  <c:v>33252.088705444366</c:v>
                </c:pt>
                <c:pt idx="1603">
                  <c:v>33252.088705444366</c:v>
                </c:pt>
                <c:pt idx="1604">
                  <c:v>33252.088705444366</c:v>
                </c:pt>
                <c:pt idx="1605">
                  <c:v>33252.088705444366</c:v>
                </c:pt>
                <c:pt idx="1606">
                  <c:v>33252.088705444366</c:v>
                </c:pt>
                <c:pt idx="1607">
                  <c:v>33252.088705444366</c:v>
                </c:pt>
                <c:pt idx="1608">
                  <c:v>32534.836360088109</c:v>
                </c:pt>
                <c:pt idx="1609">
                  <c:v>32534.836360088109</c:v>
                </c:pt>
                <c:pt idx="1610">
                  <c:v>32534.836360088109</c:v>
                </c:pt>
                <c:pt idx="1611">
                  <c:v>32534.836360088109</c:v>
                </c:pt>
                <c:pt idx="1612">
                  <c:v>32534.836360088109</c:v>
                </c:pt>
                <c:pt idx="1613">
                  <c:v>32534.836360088109</c:v>
                </c:pt>
                <c:pt idx="1614">
                  <c:v>32534.836360088109</c:v>
                </c:pt>
                <c:pt idx="1615">
                  <c:v>32534.836360088109</c:v>
                </c:pt>
                <c:pt idx="1616">
                  <c:v>32534.836360088109</c:v>
                </c:pt>
                <c:pt idx="1617">
                  <c:v>32534.836360088109</c:v>
                </c:pt>
                <c:pt idx="1618">
                  <c:v>32534.836360088109</c:v>
                </c:pt>
                <c:pt idx="1619">
                  <c:v>32534.836360088109</c:v>
                </c:pt>
                <c:pt idx="1620">
                  <c:v>32534.836360088109</c:v>
                </c:pt>
                <c:pt idx="1621">
                  <c:v>32534.836360088109</c:v>
                </c:pt>
                <c:pt idx="1622">
                  <c:v>32534.836360088109</c:v>
                </c:pt>
                <c:pt idx="1623">
                  <c:v>32534.836360088109</c:v>
                </c:pt>
                <c:pt idx="1624">
                  <c:v>32534.836360088109</c:v>
                </c:pt>
                <c:pt idx="1625">
                  <c:v>32534.836360088109</c:v>
                </c:pt>
                <c:pt idx="1626">
                  <c:v>32534.836360088109</c:v>
                </c:pt>
                <c:pt idx="1627">
                  <c:v>32534.836360088109</c:v>
                </c:pt>
                <c:pt idx="1628">
                  <c:v>32534.836360088109</c:v>
                </c:pt>
                <c:pt idx="1629">
                  <c:v>32534.836360088109</c:v>
                </c:pt>
                <c:pt idx="1630">
                  <c:v>32534.836360088109</c:v>
                </c:pt>
                <c:pt idx="1631">
                  <c:v>32534.836360088109</c:v>
                </c:pt>
                <c:pt idx="1632">
                  <c:v>32534.836360088109</c:v>
                </c:pt>
                <c:pt idx="1633">
                  <c:v>32534.836360088109</c:v>
                </c:pt>
                <c:pt idx="1634">
                  <c:v>32534.836360088109</c:v>
                </c:pt>
                <c:pt idx="1635">
                  <c:v>32534.836360088109</c:v>
                </c:pt>
                <c:pt idx="1636">
                  <c:v>32534.836360088109</c:v>
                </c:pt>
                <c:pt idx="1637">
                  <c:v>32534.836360088109</c:v>
                </c:pt>
                <c:pt idx="1638">
                  <c:v>32534.836360088109</c:v>
                </c:pt>
                <c:pt idx="1639">
                  <c:v>31982.833086194511</c:v>
                </c:pt>
                <c:pt idx="1640">
                  <c:v>31982.833086194511</c:v>
                </c:pt>
                <c:pt idx="1641">
                  <c:v>31982.833086194511</c:v>
                </c:pt>
                <c:pt idx="1642">
                  <c:v>31982.833086194511</c:v>
                </c:pt>
                <c:pt idx="1643">
                  <c:v>31982.833086194511</c:v>
                </c:pt>
                <c:pt idx="1644">
                  <c:v>31982.833086194511</c:v>
                </c:pt>
                <c:pt idx="1645">
                  <c:v>31982.833086194511</c:v>
                </c:pt>
                <c:pt idx="1646">
                  <c:v>31982.833086194511</c:v>
                </c:pt>
                <c:pt idx="1647">
                  <c:v>31982.833086194511</c:v>
                </c:pt>
                <c:pt idx="1648">
                  <c:v>31982.833086194511</c:v>
                </c:pt>
                <c:pt idx="1649">
                  <c:v>31982.833086194511</c:v>
                </c:pt>
                <c:pt idx="1650">
                  <c:v>31982.833086194511</c:v>
                </c:pt>
                <c:pt idx="1651">
                  <c:v>31982.833086194511</c:v>
                </c:pt>
                <c:pt idx="1652">
                  <c:v>31982.833086194511</c:v>
                </c:pt>
                <c:pt idx="1653">
                  <c:v>31982.833086194511</c:v>
                </c:pt>
                <c:pt idx="1654">
                  <c:v>31982.833086194511</c:v>
                </c:pt>
                <c:pt idx="1655">
                  <c:v>31982.833086194511</c:v>
                </c:pt>
                <c:pt idx="1656">
                  <c:v>31982.833086194511</c:v>
                </c:pt>
                <c:pt idx="1657">
                  <c:v>31982.833086194511</c:v>
                </c:pt>
                <c:pt idx="1658">
                  <c:v>31982.833086194511</c:v>
                </c:pt>
                <c:pt idx="1659">
                  <c:v>31982.833086194511</c:v>
                </c:pt>
                <c:pt idx="1660">
                  <c:v>31982.833086194511</c:v>
                </c:pt>
                <c:pt idx="1661">
                  <c:v>31982.833086194511</c:v>
                </c:pt>
                <c:pt idx="1662">
                  <c:v>31982.833086194511</c:v>
                </c:pt>
                <c:pt idx="1663">
                  <c:v>31982.833086194511</c:v>
                </c:pt>
                <c:pt idx="1664">
                  <c:v>31982.833086194511</c:v>
                </c:pt>
                <c:pt idx="1665">
                  <c:v>31982.833086194511</c:v>
                </c:pt>
                <c:pt idx="1666">
                  <c:v>31982.833086194511</c:v>
                </c:pt>
                <c:pt idx="1667">
                  <c:v>31982.833086194511</c:v>
                </c:pt>
                <c:pt idx="1668">
                  <c:v>31982.833086194511</c:v>
                </c:pt>
                <c:pt idx="1669">
                  <c:v>31982.833086194511</c:v>
                </c:pt>
                <c:pt idx="1670">
                  <c:v>31442.596553601761</c:v>
                </c:pt>
                <c:pt idx="1671">
                  <c:v>31442.596553601761</c:v>
                </c:pt>
                <c:pt idx="1672">
                  <c:v>31442.596553601761</c:v>
                </c:pt>
                <c:pt idx="1673">
                  <c:v>31442.596553601761</c:v>
                </c:pt>
                <c:pt idx="1674">
                  <c:v>31442.596553601761</c:v>
                </c:pt>
                <c:pt idx="1675">
                  <c:v>31442.596553601761</c:v>
                </c:pt>
                <c:pt idx="1676">
                  <c:v>31442.596553601761</c:v>
                </c:pt>
                <c:pt idx="1677">
                  <c:v>31442.596553601761</c:v>
                </c:pt>
                <c:pt idx="1678">
                  <c:v>31442.596553601761</c:v>
                </c:pt>
                <c:pt idx="1679">
                  <c:v>31442.596553601761</c:v>
                </c:pt>
                <c:pt idx="1680">
                  <c:v>31442.596553601761</c:v>
                </c:pt>
                <c:pt idx="1681">
                  <c:v>31442.596553601761</c:v>
                </c:pt>
                <c:pt idx="1682">
                  <c:v>31442.596553601761</c:v>
                </c:pt>
                <c:pt idx="1683">
                  <c:v>31442.596553601761</c:v>
                </c:pt>
                <c:pt idx="1684">
                  <c:v>31442.596553601761</c:v>
                </c:pt>
                <c:pt idx="1685">
                  <c:v>31442.596553601761</c:v>
                </c:pt>
                <c:pt idx="1686">
                  <c:v>31442.596553601761</c:v>
                </c:pt>
                <c:pt idx="1687">
                  <c:v>31442.596553601761</c:v>
                </c:pt>
                <c:pt idx="1688">
                  <c:v>31442.596553601761</c:v>
                </c:pt>
                <c:pt idx="1689">
                  <c:v>31442.596553601761</c:v>
                </c:pt>
                <c:pt idx="1690">
                  <c:v>31442.596553601761</c:v>
                </c:pt>
                <c:pt idx="1691">
                  <c:v>31442.596553601761</c:v>
                </c:pt>
                <c:pt idx="1692">
                  <c:v>31442.596553601761</c:v>
                </c:pt>
                <c:pt idx="1693">
                  <c:v>31442.596553601761</c:v>
                </c:pt>
                <c:pt idx="1694">
                  <c:v>31442.596553601761</c:v>
                </c:pt>
                <c:pt idx="1695">
                  <c:v>31442.596553601761</c:v>
                </c:pt>
                <c:pt idx="1696">
                  <c:v>31442.596553601761</c:v>
                </c:pt>
                <c:pt idx="1697">
                  <c:v>31442.596553601761</c:v>
                </c:pt>
                <c:pt idx="1698">
                  <c:v>31442.596553601761</c:v>
                </c:pt>
                <c:pt idx="1699">
                  <c:v>31442.596553601761</c:v>
                </c:pt>
                <c:pt idx="1700">
                  <c:v>30913.793558542347</c:v>
                </c:pt>
                <c:pt idx="1701">
                  <c:v>30913.793558542347</c:v>
                </c:pt>
                <c:pt idx="1702">
                  <c:v>30913.793558542347</c:v>
                </c:pt>
                <c:pt idx="1703">
                  <c:v>30913.793558542347</c:v>
                </c:pt>
                <c:pt idx="1704">
                  <c:v>30913.793558542347</c:v>
                </c:pt>
                <c:pt idx="1705">
                  <c:v>30913.793558542347</c:v>
                </c:pt>
                <c:pt idx="1706">
                  <c:v>30913.793558542347</c:v>
                </c:pt>
                <c:pt idx="1707">
                  <c:v>30913.793558542347</c:v>
                </c:pt>
                <c:pt idx="1708">
                  <c:v>30913.793558542347</c:v>
                </c:pt>
                <c:pt idx="1709">
                  <c:v>30913.793558542347</c:v>
                </c:pt>
                <c:pt idx="1710">
                  <c:v>30913.793558542347</c:v>
                </c:pt>
                <c:pt idx="1711">
                  <c:v>30913.793558542347</c:v>
                </c:pt>
                <c:pt idx="1712">
                  <c:v>30913.793558542347</c:v>
                </c:pt>
                <c:pt idx="1713">
                  <c:v>30913.793558542347</c:v>
                </c:pt>
                <c:pt idx="1714">
                  <c:v>30913.793558542347</c:v>
                </c:pt>
                <c:pt idx="1715">
                  <c:v>30913.793558542347</c:v>
                </c:pt>
                <c:pt idx="1716">
                  <c:v>30913.793558542347</c:v>
                </c:pt>
                <c:pt idx="1717">
                  <c:v>30913.793558542347</c:v>
                </c:pt>
                <c:pt idx="1718">
                  <c:v>30913.793558542347</c:v>
                </c:pt>
                <c:pt idx="1719">
                  <c:v>30913.793558542347</c:v>
                </c:pt>
                <c:pt idx="1720">
                  <c:v>30913.793558542347</c:v>
                </c:pt>
                <c:pt idx="1721">
                  <c:v>30913.793558542347</c:v>
                </c:pt>
                <c:pt idx="1722">
                  <c:v>30913.793558542347</c:v>
                </c:pt>
                <c:pt idx="1723">
                  <c:v>30913.793558542347</c:v>
                </c:pt>
                <c:pt idx="1724">
                  <c:v>30913.793558542347</c:v>
                </c:pt>
                <c:pt idx="1725">
                  <c:v>30913.793558542347</c:v>
                </c:pt>
                <c:pt idx="1726">
                  <c:v>30913.793558542347</c:v>
                </c:pt>
                <c:pt idx="1727">
                  <c:v>30913.793558542347</c:v>
                </c:pt>
                <c:pt idx="1728">
                  <c:v>30913.793558542347</c:v>
                </c:pt>
                <c:pt idx="1729">
                  <c:v>30913.793558542347</c:v>
                </c:pt>
                <c:pt idx="1730">
                  <c:v>30913.793558542347</c:v>
                </c:pt>
                <c:pt idx="1731">
                  <c:v>29997.017360647049</c:v>
                </c:pt>
                <c:pt idx="1732">
                  <c:v>29997.017360647049</c:v>
                </c:pt>
                <c:pt idx="1733">
                  <c:v>29997.017360647049</c:v>
                </c:pt>
                <c:pt idx="1734">
                  <c:v>29997.017360647049</c:v>
                </c:pt>
                <c:pt idx="1735">
                  <c:v>29997.017360647049</c:v>
                </c:pt>
                <c:pt idx="1736">
                  <c:v>29997.017360647049</c:v>
                </c:pt>
                <c:pt idx="1737">
                  <c:v>29997.017360647049</c:v>
                </c:pt>
                <c:pt idx="1738">
                  <c:v>29997.017360647049</c:v>
                </c:pt>
                <c:pt idx="1739">
                  <c:v>29997.017360647049</c:v>
                </c:pt>
                <c:pt idx="1740">
                  <c:v>29997.017360647049</c:v>
                </c:pt>
                <c:pt idx="1741">
                  <c:v>29997.017360647049</c:v>
                </c:pt>
                <c:pt idx="1742">
                  <c:v>29997.017360647049</c:v>
                </c:pt>
                <c:pt idx="1743">
                  <c:v>29997.017360647049</c:v>
                </c:pt>
                <c:pt idx="1744">
                  <c:v>29997.017360647049</c:v>
                </c:pt>
                <c:pt idx="1745">
                  <c:v>29997.017360647049</c:v>
                </c:pt>
                <c:pt idx="1746">
                  <c:v>29997.017360647049</c:v>
                </c:pt>
                <c:pt idx="1747">
                  <c:v>29997.017360647049</c:v>
                </c:pt>
                <c:pt idx="1748">
                  <c:v>29997.017360647049</c:v>
                </c:pt>
                <c:pt idx="1749">
                  <c:v>29997.017360647049</c:v>
                </c:pt>
                <c:pt idx="1750">
                  <c:v>29997.017360647049</c:v>
                </c:pt>
                <c:pt idx="1751">
                  <c:v>29997.017360647049</c:v>
                </c:pt>
                <c:pt idx="1752">
                  <c:v>29997.017360647049</c:v>
                </c:pt>
                <c:pt idx="1753">
                  <c:v>29997.017360647049</c:v>
                </c:pt>
                <c:pt idx="1754">
                  <c:v>29997.017360647049</c:v>
                </c:pt>
                <c:pt idx="1755">
                  <c:v>29997.017360647049</c:v>
                </c:pt>
                <c:pt idx="1756">
                  <c:v>29997.017360647049</c:v>
                </c:pt>
                <c:pt idx="1757">
                  <c:v>29997.017360647049</c:v>
                </c:pt>
                <c:pt idx="1758">
                  <c:v>29997.017360647049</c:v>
                </c:pt>
                <c:pt idx="1759">
                  <c:v>29997.017360647049</c:v>
                </c:pt>
                <c:pt idx="1760">
                  <c:v>29997.017360647049</c:v>
                </c:pt>
                <c:pt idx="1761">
                  <c:v>29345.81642970039</c:v>
                </c:pt>
                <c:pt idx="1762">
                  <c:v>29345.81642970039</c:v>
                </c:pt>
                <c:pt idx="1763">
                  <c:v>29345.81642970039</c:v>
                </c:pt>
                <c:pt idx="1764">
                  <c:v>29345.81642970039</c:v>
                </c:pt>
                <c:pt idx="1765">
                  <c:v>29345.81642970039</c:v>
                </c:pt>
                <c:pt idx="1766">
                  <c:v>29345.81642970039</c:v>
                </c:pt>
                <c:pt idx="1767">
                  <c:v>29345.81642970039</c:v>
                </c:pt>
                <c:pt idx="1768">
                  <c:v>29345.81642970039</c:v>
                </c:pt>
                <c:pt idx="1769">
                  <c:v>29345.81642970039</c:v>
                </c:pt>
                <c:pt idx="1770">
                  <c:v>29345.81642970039</c:v>
                </c:pt>
                <c:pt idx="1771">
                  <c:v>29345.81642970039</c:v>
                </c:pt>
                <c:pt idx="1772">
                  <c:v>29345.81642970039</c:v>
                </c:pt>
                <c:pt idx="1773">
                  <c:v>29345.81642970039</c:v>
                </c:pt>
                <c:pt idx="1774">
                  <c:v>29345.81642970039</c:v>
                </c:pt>
                <c:pt idx="1775">
                  <c:v>29345.81642970039</c:v>
                </c:pt>
                <c:pt idx="1776">
                  <c:v>29345.81642970039</c:v>
                </c:pt>
                <c:pt idx="1777">
                  <c:v>29345.81642970039</c:v>
                </c:pt>
                <c:pt idx="1778">
                  <c:v>29345.81642970039</c:v>
                </c:pt>
                <c:pt idx="1779">
                  <c:v>29345.81642970039</c:v>
                </c:pt>
                <c:pt idx="1780">
                  <c:v>29345.81642970039</c:v>
                </c:pt>
                <c:pt idx="1781">
                  <c:v>29345.81642970039</c:v>
                </c:pt>
                <c:pt idx="1782">
                  <c:v>29345.81642970039</c:v>
                </c:pt>
                <c:pt idx="1783">
                  <c:v>29345.81642970039</c:v>
                </c:pt>
                <c:pt idx="1784">
                  <c:v>29345.81642970039</c:v>
                </c:pt>
                <c:pt idx="1785">
                  <c:v>29345.81642970039</c:v>
                </c:pt>
                <c:pt idx="1786">
                  <c:v>29345.81642970039</c:v>
                </c:pt>
                <c:pt idx="1787">
                  <c:v>29345.81642970039</c:v>
                </c:pt>
                <c:pt idx="1788">
                  <c:v>29345.81642970039</c:v>
                </c:pt>
                <c:pt idx="1789">
                  <c:v>29345.81642970039</c:v>
                </c:pt>
                <c:pt idx="1790">
                  <c:v>29345.81642970039</c:v>
                </c:pt>
                <c:pt idx="1791">
                  <c:v>29345.81642970039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B82-4214-8499-0D20D7C4D71A}"/>
            </c:ext>
          </c:extLst>
        </c:ser>
        <c:ser>
          <c:idx val="0"/>
          <c:order val="1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Sheet1!$H$4:$H$2000</c:f>
              <c:numCache>
                <c:formatCode>General</c:formatCode>
                <c:ptCount val="1997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12</c:v>
                </c:pt>
                <c:pt idx="11">
                  <c:v>13</c:v>
                </c:pt>
                <c:pt idx="12">
                  <c:v>14</c:v>
                </c:pt>
                <c:pt idx="13">
                  <c:v>15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100</c:v>
                </c:pt>
                <c:pt idx="99">
                  <c:v>101</c:v>
                </c:pt>
                <c:pt idx="100">
                  <c:v>102</c:v>
                </c:pt>
                <c:pt idx="101">
                  <c:v>103</c:v>
                </c:pt>
                <c:pt idx="102">
                  <c:v>104</c:v>
                </c:pt>
                <c:pt idx="103">
                  <c:v>105</c:v>
                </c:pt>
                <c:pt idx="104">
                  <c:v>106</c:v>
                </c:pt>
                <c:pt idx="105">
                  <c:v>107</c:v>
                </c:pt>
                <c:pt idx="106">
                  <c:v>108</c:v>
                </c:pt>
                <c:pt idx="107">
                  <c:v>109</c:v>
                </c:pt>
                <c:pt idx="108">
                  <c:v>110</c:v>
                </c:pt>
                <c:pt idx="109">
                  <c:v>111</c:v>
                </c:pt>
                <c:pt idx="110">
                  <c:v>112</c:v>
                </c:pt>
                <c:pt idx="111">
                  <c:v>113</c:v>
                </c:pt>
                <c:pt idx="112">
                  <c:v>114</c:v>
                </c:pt>
                <c:pt idx="113">
                  <c:v>115</c:v>
                </c:pt>
                <c:pt idx="114">
                  <c:v>116</c:v>
                </c:pt>
                <c:pt idx="115">
                  <c:v>117</c:v>
                </c:pt>
                <c:pt idx="116">
                  <c:v>118</c:v>
                </c:pt>
                <c:pt idx="117">
                  <c:v>119</c:v>
                </c:pt>
                <c:pt idx="118">
                  <c:v>120</c:v>
                </c:pt>
                <c:pt idx="119">
                  <c:v>121</c:v>
                </c:pt>
                <c:pt idx="120">
                  <c:v>122</c:v>
                </c:pt>
                <c:pt idx="121">
                  <c:v>123</c:v>
                </c:pt>
                <c:pt idx="122">
                  <c:v>124</c:v>
                </c:pt>
                <c:pt idx="123">
                  <c:v>125</c:v>
                </c:pt>
                <c:pt idx="124">
                  <c:v>126</c:v>
                </c:pt>
                <c:pt idx="125">
                  <c:v>127</c:v>
                </c:pt>
                <c:pt idx="126">
                  <c:v>128</c:v>
                </c:pt>
                <c:pt idx="127">
                  <c:v>129</c:v>
                </c:pt>
                <c:pt idx="128">
                  <c:v>130</c:v>
                </c:pt>
                <c:pt idx="129">
                  <c:v>131</c:v>
                </c:pt>
                <c:pt idx="130">
                  <c:v>132</c:v>
                </c:pt>
                <c:pt idx="131">
                  <c:v>133</c:v>
                </c:pt>
                <c:pt idx="132">
                  <c:v>134</c:v>
                </c:pt>
                <c:pt idx="133">
                  <c:v>135</c:v>
                </c:pt>
                <c:pt idx="134">
                  <c:v>136</c:v>
                </c:pt>
                <c:pt idx="135">
                  <c:v>137</c:v>
                </c:pt>
                <c:pt idx="136">
                  <c:v>138</c:v>
                </c:pt>
                <c:pt idx="137">
                  <c:v>139</c:v>
                </c:pt>
                <c:pt idx="138">
                  <c:v>140</c:v>
                </c:pt>
                <c:pt idx="139">
                  <c:v>141</c:v>
                </c:pt>
                <c:pt idx="140">
                  <c:v>142</c:v>
                </c:pt>
                <c:pt idx="141">
                  <c:v>143</c:v>
                </c:pt>
                <c:pt idx="142">
                  <c:v>144</c:v>
                </c:pt>
                <c:pt idx="143">
                  <c:v>145</c:v>
                </c:pt>
                <c:pt idx="144">
                  <c:v>146</c:v>
                </c:pt>
                <c:pt idx="145">
                  <c:v>147</c:v>
                </c:pt>
                <c:pt idx="146">
                  <c:v>148</c:v>
                </c:pt>
                <c:pt idx="147">
                  <c:v>149</c:v>
                </c:pt>
                <c:pt idx="148">
                  <c:v>150</c:v>
                </c:pt>
                <c:pt idx="149">
                  <c:v>151</c:v>
                </c:pt>
                <c:pt idx="150">
                  <c:v>152</c:v>
                </c:pt>
                <c:pt idx="151">
                  <c:v>153</c:v>
                </c:pt>
                <c:pt idx="152">
                  <c:v>154</c:v>
                </c:pt>
                <c:pt idx="153">
                  <c:v>155</c:v>
                </c:pt>
                <c:pt idx="154">
                  <c:v>156</c:v>
                </c:pt>
                <c:pt idx="155">
                  <c:v>157</c:v>
                </c:pt>
                <c:pt idx="156">
                  <c:v>158</c:v>
                </c:pt>
                <c:pt idx="157">
                  <c:v>159</c:v>
                </c:pt>
                <c:pt idx="158">
                  <c:v>160</c:v>
                </c:pt>
                <c:pt idx="159">
                  <c:v>161</c:v>
                </c:pt>
                <c:pt idx="160">
                  <c:v>162</c:v>
                </c:pt>
                <c:pt idx="161">
                  <c:v>163</c:v>
                </c:pt>
                <c:pt idx="162">
                  <c:v>164</c:v>
                </c:pt>
                <c:pt idx="163">
                  <c:v>165</c:v>
                </c:pt>
                <c:pt idx="164">
                  <c:v>166</c:v>
                </c:pt>
                <c:pt idx="165">
                  <c:v>167</c:v>
                </c:pt>
                <c:pt idx="166">
                  <c:v>168</c:v>
                </c:pt>
                <c:pt idx="167">
                  <c:v>169</c:v>
                </c:pt>
                <c:pt idx="168">
                  <c:v>170</c:v>
                </c:pt>
                <c:pt idx="169">
                  <c:v>171</c:v>
                </c:pt>
                <c:pt idx="170">
                  <c:v>172</c:v>
                </c:pt>
                <c:pt idx="171">
                  <c:v>173</c:v>
                </c:pt>
                <c:pt idx="172">
                  <c:v>174</c:v>
                </c:pt>
                <c:pt idx="173">
                  <c:v>175</c:v>
                </c:pt>
                <c:pt idx="174">
                  <c:v>176</c:v>
                </c:pt>
                <c:pt idx="175">
                  <c:v>177</c:v>
                </c:pt>
                <c:pt idx="176">
                  <c:v>178</c:v>
                </c:pt>
                <c:pt idx="177">
                  <c:v>179</c:v>
                </c:pt>
                <c:pt idx="178">
                  <c:v>180</c:v>
                </c:pt>
                <c:pt idx="179">
                  <c:v>181</c:v>
                </c:pt>
                <c:pt idx="180">
                  <c:v>182</c:v>
                </c:pt>
                <c:pt idx="181">
                  <c:v>183</c:v>
                </c:pt>
                <c:pt idx="182">
                  <c:v>184</c:v>
                </c:pt>
                <c:pt idx="183">
                  <c:v>185</c:v>
                </c:pt>
                <c:pt idx="184">
                  <c:v>186</c:v>
                </c:pt>
                <c:pt idx="185">
                  <c:v>187</c:v>
                </c:pt>
                <c:pt idx="186">
                  <c:v>188</c:v>
                </c:pt>
                <c:pt idx="187">
                  <c:v>189</c:v>
                </c:pt>
                <c:pt idx="188">
                  <c:v>190</c:v>
                </c:pt>
                <c:pt idx="189">
                  <c:v>191</c:v>
                </c:pt>
                <c:pt idx="190">
                  <c:v>192</c:v>
                </c:pt>
                <c:pt idx="191">
                  <c:v>193</c:v>
                </c:pt>
                <c:pt idx="192">
                  <c:v>194</c:v>
                </c:pt>
                <c:pt idx="193">
                  <c:v>195</c:v>
                </c:pt>
                <c:pt idx="194">
                  <c:v>196</c:v>
                </c:pt>
                <c:pt idx="195">
                  <c:v>197</c:v>
                </c:pt>
                <c:pt idx="196">
                  <c:v>198</c:v>
                </c:pt>
                <c:pt idx="197">
                  <c:v>199</c:v>
                </c:pt>
                <c:pt idx="198">
                  <c:v>200</c:v>
                </c:pt>
                <c:pt idx="199">
                  <c:v>201</c:v>
                </c:pt>
                <c:pt idx="200">
                  <c:v>202</c:v>
                </c:pt>
                <c:pt idx="201">
                  <c:v>203</c:v>
                </c:pt>
                <c:pt idx="202">
                  <c:v>204</c:v>
                </c:pt>
                <c:pt idx="203">
                  <c:v>205</c:v>
                </c:pt>
                <c:pt idx="204">
                  <c:v>206</c:v>
                </c:pt>
                <c:pt idx="205">
                  <c:v>207</c:v>
                </c:pt>
                <c:pt idx="206">
                  <c:v>208</c:v>
                </c:pt>
                <c:pt idx="207">
                  <c:v>209</c:v>
                </c:pt>
                <c:pt idx="208">
                  <c:v>210</c:v>
                </c:pt>
                <c:pt idx="209">
                  <c:v>211</c:v>
                </c:pt>
                <c:pt idx="210">
                  <c:v>212</c:v>
                </c:pt>
                <c:pt idx="211">
                  <c:v>213</c:v>
                </c:pt>
                <c:pt idx="212">
                  <c:v>214</c:v>
                </c:pt>
                <c:pt idx="213">
                  <c:v>215</c:v>
                </c:pt>
                <c:pt idx="214">
                  <c:v>216</c:v>
                </c:pt>
                <c:pt idx="215">
                  <c:v>217</c:v>
                </c:pt>
                <c:pt idx="216">
                  <c:v>218</c:v>
                </c:pt>
                <c:pt idx="217">
                  <c:v>219</c:v>
                </c:pt>
                <c:pt idx="218">
                  <c:v>220</c:v>
                </c:pt>
                <c:pt idx="219">
                  <c:v>221</c:v>
                </c:pt>
                <c:pt idx="220">
                  <c:v>222</c:v>
                </c:pt>
                <c:pt idx="221">
                  <c:v>223</c:v>
                </c:pt>
                <c:pt idx="222">
                  <c:v>224</c:v>
                </c:pt>
                <c:pt idx="223">
                  <c:v>225</c:v>
                </c:pt>
                <c:pt idx="224">
                  <c:v>226</c:v>
                </c:pt>
                <c:pt idx="225">
                  <c:v>227</c:v>
                </c:pt>
                <c:pt idx="226">
                  <c:v>228</c:v>
                </c:pt>
                <c:pt idx="227">
                  <c:v>229</c:v>
                </c:pt>
                <c:pt idx="228">
                  <c:v>230</c:v>
                </c:pt>
                <c:pt idx="229">
                  <c:v>231</c:v>
                </c:pt>
                <c:pt idx="230">
                  <c:v>232</c:v>
                </c:pt>
                <c:pt idx="231">
                  <c:v>233</c:v>
                </c:pt>
                <c:pt idx="232">
                  <c:v>234</c:v>
                </c:pt>
                <c:pt idx="233">
                  <c:v>235</c:v>
                </c:pt>
                <c:pt idx="234">
                  <c:v>236</c:v>
                </c:pt>
                <c:pt idx="235">
                  <c:v>237</c:v>
                </c:pt>
                <c:pt idx="236">
                  <c:v>238</c:v>
                </c:pt>
                <c:pt idx="237">
                  <c:v>239</c:v>
                </c:pt>
                <c:pt idx="238">
                  <c:v>240</c:v>
                </c:pt>
                <c:pt idx="239">
                  <c:v>241</c:v>
                </c:pt>
                <c:pt idx="240">
                  <c:v>242</c:v>
                </c:pt>
                <c:pt idx="241">
                  <c:v>243</c:v>
                </c:pt>
                <c:pt idx="242">
                  <c:v>244</c:v>
                </c:pt>
                <c:pt idx="243">
                  <c:v>245</c:v>
                </c:pt>
                <c:pt idx="244">
                  <c:v>246</c:v>
                </c:pt>
                <c:pt idx="245">
                  <c:v>247</c:v>
                </c:pt>
                <c:pt idx="246">
                  <c:v>248</c:v>
                </c:pt>
                <c:pt idx="247">
                  <c:v>249</c:v>
                </c:pt>
                <c:pt idx="248">
                  <c:v>250</c:v>
                </c:pt>
                <c:pt idx="249">
                  <c:v>251</c:v>
                </c:pt>
                <c:pt idx="250">
                  <c:v>252</c:v>
                </c:pt>
                <c:pt idx="251">
                  <c:v>253</c:v>
                </c:pt>
                <c:pt idx="252">
                  <c:v>254</c:v>
                </c:pt>
                <c:pt idx="253">
                  <c:v>255</c:v>
                </c:pt>
                <c:pt idx="254">
                  <c:v>256</c:v>
                </c:pt>
                <c:pt idx="255">
                  <c:v>257</c:v>
                </c:pt>
                <c:pt idx="256">
                  <c:v>258</c:v>
                </c:pt>
                <c:pt idx="257">
                  <c:v>259</c:v>
                </c:pt>
                <c:pt idx="258">
                  <c:v>260</c:v>
                </c:pt>
                <c:pt idx="259">
                  <c:v>261</c:v>
                </c:pt>
                <c:pt idx="260">
                  <c:v>262</c:v>
                </c:pt>
                <c:pt idx="261">
                  <c:v>263</c:v>
                </c:pt>
                <c:pt idx="262">
                  <c:v>264</c:v>
                </c:pt>
                <c:pt idx="263">
                  <c:v>265</c:v>
                </c:pt>
                <c:pt idx="264">
                  <c:v>266</c:v>
                </c:pt>
                <c:pt idx="265">
                  <c:v>267</c:v>
                </c:pt>
                <c:pt idx="266">
                  <c:v>268</c:v>
                </c:pt>
                <c:pt idx="267">
                  <c:v>269</c:v>
                </c:pt>
                <c:pt idx="268">
                  <c:v>270</c:v>
                </c:pt>
                <c:pt idx="269">
                  <c:v>271</c:v>
                </c:pt>
                <c:pt idx="270">
                  <c:v>272</c:v>
                </c:pt>
                <c:pt idx="271">
                  <c:v>273</c:v>
                </c:pt>
                <c:pt idx="272">
                  <c:v>274</c:v>
                </c:pt>
                <c:pt idx="273">
                  <c:v>275</c:v>
                </c:pt>
                <c:pt idx="274">
                  <c:v>276</c:v>
                </c:pt>
                <c:pt idx="275">
                  <c:v>277</c:v>
                </c:pt>
                <c:pt idx="276">
                  <c:v>278</c:v>
                </c:pt>
                <c:pt idx="277">
                  <c:v>279</c:v>
                </c:pt>
                <c:pt idx="278">
                  <c:v>280</c:v>
                </c:pt>
                <c:pt idx="279">
                  <c:v>281</c:v>
                </c:pt>
                <c:pt idx="280">
                  <c:v>282</c:v>
                </c:pt>
                <c:pt idx="281">
                  <c:v>283</c:v>
                </c:pt>
                <c:pt idx="282">
                  <c:v>284</c:v>
                </c:pt>
                <c:pt idx="283">
                  <c:v>285</c:v>
                </c:pt>
                <c:pt idx="284">
                  <c:v>286</c:v>
                </c:pt>
                <c:pt idx="285">
                  <c:v>287</c:v>
                </c:pt>
                <c:pt idx="286">
                  <c:v>288</c:v>
                </c:pt>
                <c:pt idx="287">
                  <c:v>289</c:v>
                </c:pt>
                <c:pt idx="288">
                  <c:v>290</c:v>
                </c:pt>
                <c:pt idx="289">
                  <c:v>291</c:v>
                </c:pt>
                <c:pt idx="290">
                  <c:v>292</c:v>
                </c:pt>
                <c:pt idx="291">
                  <c:v>293</c:v>
                </c:pt>
                <c:pt idx="292">
                  <c:v>294</c:v>
                </c:pt>
                <c:pt idx="293">
                  <c:v>295</c:v>
                </c:pt>
                <c:pt idx="294">
                  <c:v>296</c:v>
                </c:pt>
                <c:pt idx="295">
                  <c:v>297</c:v>
                </c:pt>
                <c:pt idx="296">
                  <c:v>298</c:v>
                </c:pt>
                <c:pt idx="297">
                  <c:v>299</c:v>
                </c:pt>
                <c:pt idx="298">
                  <c:v>300</c:v>
                </c:pt>
                <c:pt idx="299">
                  <c:v>301</c:v>
                </c:pt>
                <c:pt idx="300">
                  <c:v>302</c:v>
                </c:pt>
                <c:pt idx="301">
                  <c:v>303</c:v>
                </c:pt>
                <c:pt idx="302">
                  <c:v>304</c:v>
                </c:pt>
                <c:pt idx="303">
                  <c:v>305</c:v>
                </c:pt>
                <c:pt idx="304">
                  <c:v>306</c:v>
                </c:pt>
                <c:pt idx="305">
                  <c:v>307</c:v>
                </c:pt>
                <c:pt idx="306">
                  <c:v>308</c:v>
                </c:pt>
                <c:pt idx="307">
                  <c:v>309</c:v>
                </c:pt>
                <c:pt idx="308">
                  <c:v>310</c:v>
                </c:pt>
                <c:pt idx="309">
                  <c:v>311</c:v>
                </c:pt>
                <c:pt idx="310">
                  <c:v>312</c:v>
                </c:pt>
                <c:pt idx="311">
                  <c:v>313</c:v>
                </c:pt>
                <c:pt idx="312">
                  <c:v>314</c:v>
                </c:pt>
                <c:pt idx="313">
                  <c:v>315</c:v>
                </c:pt>
                <c:pt idx="314">
                  <c:v>316</c:v>
                </c:pt>
                <c:pt idx="315">
                  <c:v>317</c:v>
                </c:pt>
                <c:pt idx="316">
                  <c:v>318</c:v>
                </c:pt>
                <c:pt idx="317">
                  <c:v>319</c:v>
                </c:pt>
                <c:pt idx="318">
                  <c:v>320</c:v>
                </c:pt>
                <c:pt idx="319">
                  <c:v>321</c:v>
                </c:pt>
                <c:pt idx="320">
                  <c:v>322</c:v>
                </c:pt>
                <c:pt idx="321">
                  <c:v>323</c:v>
                </c:pt>
                <c:pt idx="322">
                  <c:v>324</c:v>
                </c:pt>
                <c:pt idx="323">
                  <c:v>325</c:v>
                </c:pt>
                <c:pt idx="324">
                  <c:v>326</c:v>
                </c:pt>
                <c:pt idx="325">
                  <c:v>327</c:v>
                </c:pt>
                <c:pt idx="326">
                  <c:v>328</c:v>
                </c:pt>
                <c:pt idx="327">
                  <c:v>329</c:v>
                </c:pt>
                <c:pt idx="328">
                  <c:v>330</c:v>
                </c:pt>
                <c:pt idx="329">
                  <c:v>331</c:v>
                </c:pt>
                <c:pt idx="330">
                  <c:v>332</c:v>
                </c:pt>
                <c:pt idx="331">
                  <c:v>333</c:v>
                </c:pt>
                <c:pt idx="332">
                  <c:v>334</c:v>
                </c:pt>
                <c:pt idx="333">
                  <c:v>335</c:v>
                </c:pt>
                <c:pt idx="334">
                  <c:v>336</c:v>
                </c:pt>
                <c:pt idx="335">
                  <c:v>337</c:v>
                </c:pt>
                <c:pt idx="336">
                  <c:v>338</c:v>
                </c:pt>
                <c:pt idx="337">
                  <c:v>339</c:v>
                </c:pt>
                <c:pt idx="338">
                  <c:v>340</c:v>
                </c:pt>
                <c:pt idx="339">
                  <c:v>341</c:v>
                </c:pt>
                <c:pt idx="340">
                  <c:v>342</c:v>
                </c:pt>
                <c:pt idx="341">
                  <c:v>343</c:v>
                </c:pt>
                <c:pt idx="342">
                  <c:v>344</c:v>
                </c:pt>
                <c:pt idx="343">
                  <c:v>345</c:v>
                </c:pt>
                <c:pt idx="344">
                  <c:v>346</c:v>
                </c:pt>
                <c:pt idx="345">
                  <c:v>347</c:v>
                </c:pt>
                <c:pt idx="346">
                  <c:v>348</c:v>
                </c:pt>
                <c:pt idx="347">
                  <c:v>349</c:v>
                </c:pt>
                <c:pt idx="348">
                  <c:v>350</c:v>
                </c:pt>
                <c:pt idx="349">
                  <c:v>351</c:v>
                </c:pt>
                <c:pt idx="350">
                  <c:v>352</c:v>
                </c:pt>
                <c:pt idx="351">
                  <c:v>353</c:v>
                </c:pt>
                <c:pt idx="352">
                  <c:v>354</c:v>
                </c:pt>
                <c:pt idx="353">
                  <c:v>355</c:v>
                </c:pt>
                <c:pt idx="354">
                  <c:v>356</c:v>
                </c:pt>
                <c:pt idx="355">
                  <c:v>357</c:v>
                </c:pt>
                <c:pt idx="356">
                  <c:v>358</c:v>
                </c:pt>
                <c:pt idx="357">
                  <c:v>359</c:v>
                </c:pt>
                <c:pt idx="358">
                  <c:v>360</c:v>
                </c:pt>
                <c:pt idx="359">
                  <c:v>361</c:v>
                </c:pt>
                <c:pt idx="360">
                  <c:v>362</c:v>
                </c:pt>
                <c:pt idx="361">
                  <c:v>363</c:v>
                </c:pt>
                <c:pt idx="362">
                  <c:v>364</c:v>
                </c:pt>
                <c:pt idx="363">
                  <c:v>365</c:v>
                </c:pt>
                <c:pt idx="364">
                  <c:v>366</c:v>
                </c:pt>
                <c:pt idx="365">
                  <c:v>367</c:v>
                </c:pt>
                <c:pt idx="366">
                  <c:v>368</c:v>
                </c:pt>
                <c:pt idx="367">
                  <c:v>369</c:v>
                </c:pt>
                <c:pt idx="368">
                  <c:v>370</c:v>
                </c:pt>
                <c:pt idx="369">
                  <c:v>371</c:v>
                </c:pt>
                <c:pt idx="370">
                  <c:v>372</c:v>
                </c:pt>
                <c:pt idx="371">
                  <c:v>373</c:v>
                </c:pt>
                <c:pt idx="372">
                  <c:v>374</c:v>
                </c:pt>
                <c:pt idx="373">
                  <c:v>375</c:v>
                </c:pt>
                <c:pt idx="374">
                  <c:v>376</c:v>
                </c:pt>
                <c:pt idx="375">
                  <c:v>377</c:v>
                </c:pt>
                <c:pt idx="376">
                  <c:v>378</c:v>
                </c:pt>
                <c:pt idx="377">
                  <c:v>379</c:v>
                </c:pt>
                <c:pt idx="378">
                  <c:v>380</c:v>
                </c:pt>
                <c:pt idx="379">
                  <c:v>381</c:v>
                </c:pt>
                <c:pt idx="380">
                  <c:v>382</c:v>
                </c:pt>
                <c:pt idx="381">
                  <c:v>383</c:v>
                </c:pt>
                <c:pt idx="382">
                  <c:v>384</c:v>
                </c:pt>
                <c:pt idx="383">
                  <c:v>385</c:v>
                </c:pt>
                <c:pt idx="384">
                  <c:v>386</c:v>
                </c:pt>
                <c:pt idx="385">
                  <c:v>387</c:v>
                </c:pt>
                <c:pt idx="386">
                  <c:v>388</c:v>
                </c:pt>
                <c:pt idx="387">
                  <c:v>389</c:v>
                </c:pt>
                <c:pt idx="388">
                  <c:v>390</c:v>
                </c:pt>
                <c:pt idx="389">
                  <c:v>391</c:v>
                </c:pt>
                <c:pt idx="390">
                  <c:v>392</c:v>
                </c:pt>
                <c:pt idx="391">
                  <c:v>393</c:v>
                </c:pt>
                <c:pt idx="392">
                  <c:v>394</c:v>
                </c:pt>
                <c:pt idx="393">
                  <c:v>395</c:v>
                </c:pt>
                <c:pt idx="394">
                  <c:v>396</c:v>
                </c:pt>
                <c:pt idx="395">
                  <c:v>397</c:v>
                </c:pt>
                <c:pt idx="396">
                  <c:v>398</c:v>
                </c:pt>
                <c:pt idx="397">
                  <c:v>399</c:v>
                </c:pt>
                <c:pt idx="398">
                  <c:v>400</c:v>
                </c:pt>
                <c:pt idx="399">
                  <c:v>401</c:v>
                </c:pt>
                <c:pt idx="400">
                  <c:v>402</c:v>
                </c:pt>
                <c:pt idx="401">
                  <c:v>403</c:v>
                </c:pt>
                <c:pt idx="402">
                  <c:v>404</c:v>
                </c:pt>
                <c:pt idx="403">
                  <c:v>405</c:v>
                </c:pt>
                <c:pt idx="404">
                  <c:v>406</c:v>
                </c:pt>
                <c:pt idx="405">
                  <c:v>407</c:v>
                </c:pt>
                <c:pt idx="406">
                  <c:v>408</c:v>
                </c:pt>
                <c:pt idx="407">
                  <c:v>409</c:v>
                </c:pt>
                <c:pt idx="408">
                  <c:v>410</c:v>
                </c:pt>
                <c:pt idx="409">
                  <c:v>411</c:v>
                </c:pt>
                <c:pt idx="410">
                  <c:v>412</c:v>
                </c:pt>
                <c:pt idx="411">
                  <c:v>413</c:v>
                </c:pt>
                <c:pt idx="412">
                  <c:v>414</c:v>
                </c:pt>
                <c:pt idx="413">
                  <c:v>415</c:v>
                </c:pt>
                <c:pt idx="414">
                  <c:v>416</c:v>
                </c:pt>
                <c:pt idx="415">
                  <c:v>417</c:v>
                </c:pt>
                <c:pt idx="416">
                  <c:v>418</c:v>
                </c:pt>
                <c:pt idx="417">
                  <c:v>419</c:v>
                </c:pt>
                <c:pt idx="418">
                  <c:v>420</c:v>
                </c:pt>
                <c:pt idx="419">
                  <c:v>421</c:v>
                </c:pt>
                <c:pt idx="420">
                  <c:v>422</c:v>
                </c:pt>
                <c:pt idx="421">
                  <c:v>423</c:v>
                </c:pt>
                <c:pt idx="422">
                  <c:v>424</c:v>
                </c:pt>
                <c:pt idx="423">
                  <c:v>425</c:v>
                </c:pt>
                <c:pt idx="424">
                  <c:v>426</c:v>
                </c:pt>
                <c:pt idx="425">
                  <c:v>427</c:v>
                </c:pt>
                <c:pt idx="426">
                  <c:v>428</c:v>
                </c:pt>
                <c:pt idx="427">
                  <c:v>429</c:v>
                </c:pt>
                <c:pt idx="428">
                  <c:v>430</c:v>
                </c:pt>
                <c:pt idx="429">
                  <c:v>431</c:v>
                </c:pt>
                <c:pt idx="430">
                  <c:v>432</c:v>
                </c:pt>
                <c:pt idx="431">
                  <c:v>433</c:v>
                </c:pt>
                <c:pt idx="432">
                  <c:v>434</c:v>
                </c:pt>
                <c:pt idx="433">
                  <c:v>435</c:v>
                </c:pt>
                <c:pt idx="434">
                  <c:v>436</c:v>
                </c:pt>
                <c:pt idx="435">
                  <c:v>437</c:v>
                </c:pt>
                <c:pt idx="436">
                  <c:v>438</c:v>
                </c:pt>
                <c:pt idx="437">
                  <c:v>439</c:v>
                </c:pt>
                <c:pt idx="438">
                  <c:v>440</c:v>
                </c:pt>
                <c:pt idx="439">
                  <c:v>441</c:v>
                </c:pt>
                <c:pt idx="440">
                  <c:v>442</c:v>
                </c:pt>
                <c:pt idx="441">
                  <c:v>443</c:v>
                </c:pt>
                <c:pt idx="442">
                  <c:v>444</c:v>
                </c:pt>
                <c:pt idx="443">
                  <c:v>445</c:v>
                </c:pt>
                <c:pt idx="444">
                  <c:v>446</c:v>
                </c:pt>
                <c:pt idx="445">
                  <c:v>447</c:v>
                </c:pt>
                <c:pt idx="446">
                  <c:v>448</c:v>
                </c:pt>
                <c:pt idx="447">
                  <c:v>449</c:v>
                </c:pt>
                <c:pt idx="448">
                  <c:v>450</c:v>
                </c:pt>
                <c:pt idx="449">
                  <c:v>451</c:v>
                </c:pt>
                <c:pt idx="450">
                  <c:v>452</c:v>
                </c:pt>
                <c:pt idx="451">
                  <c:v>453</c:v>
                </c:pt>
                <c:pt idx="452">
                  <c:v>454</c:v>
                </c:pt>
                <c:pt idx="453">
                  <c:v>455</c:v>
                </c:pt>
                <c:pt idx="454">
                  <c:v>456</c:v>
                </c:pt>
                <c:pt idx="455">
                  <c:v>457</c:v>
                </c:pt>
                <c:pt idx="456">
                  <c:v>458</c:v>
                </c:pt>
                <c:pt idx="457">
                  <c:v>459</c:v>
                </c:pt>
                <c:pt idx="458">
                  <c:v>460</c:v>
                </c:pt>
                <c:pt idx="459">
                  <c:v>461</c:v>
                </c:pt>
                <c:pt idx="460">
                  <c:v>462</c:v>
                </c:pt>
                <c:pt idx="461">
                  <c:v>463</c:v>
                </c:pt>
                <c:pt idx="462">
                  <c:v>464</c:v>
                </c:pt>
                <c:pt idx="463">
                  <c:v>465</c:v>
                </c:pt>
                <c:pt idx="464">
                  <c:v>466</c:v>
                </c:pt>
                <c:pt idx="465">
                  <c:v>467</c:v>
                </c:pt>
                <c:pt idx="466">
                  <c:v>468</c:v>
                </c:pt>
                <c:pt idx="467">
                  <c:v>469</c:v>
                </c:pt>
                <c:pt idx="468">
                  <c:v>470</c:v>
                </c:pt>
                <c:pt idx="469">
                  <c:v>471</c:v>
                </c:pt>
                <c:pt idx="470">
                  <c:v>472</c:v>
                </c:pt>
                <c:pt idx="471">
                  <c:v>473</c:v>
                </c:pt>
                <c:pt idx="472">
                  <c:v>474</c:v>
                </c:pt>
                <c:pt idx="473">
                  <c:v>475</c:v>
                </c:pt>
                <c:pt idx="474">
                  <c:v>476</c:v>
                </c:pt>
                <c:pt idx="475">
                  <c:v>477</c:v>
                </c:pt>
                <c:pt idx="476">
                  <c:v>478</c:v>
                </c:pt>
                <c:pt idx="477">
                  <c:v>479</c:v>
                </c:pt>
                <c:pt idx="478">
                  <c:v>480</c:v>
                </c:pt>
                <c:pt idx="479">
                  <c:v>481</c:v>
                </c:pt>
                <c:pt idx="480">
                  <c:v>482</c:v>
                </c:pt>
                <c:pt idx="481">
                  <c:v>483</c:v>
                </c:pt>
                <c:pt idx="482">
                  <c:v>484</c:v>
                </c:pt>
                <c:pt idx="483">
                  <c:v>485</c:v>
                </c:pt>
                <c:pt idx="484">
                  <c:v>486</c:v>
                </c:pt>
                <c:pt idx="485">
                  <c:v>487</c:v>
                </c:pt>
                <c:pt idx="486">
                  <c:v>488</c:v>
                </c:pt>
                <c:pt idx="487">
                  <c:v>489</c:v>
                </c:pt>
                <c:pt idx="488">
                  <c:v>490</c:v>
                </c:pt>
                <c:pt idx="489">
                  <c:v>491</c:v>
                </c:pt>
                <c:pt idx="490">
                  <c:v>492</c:v>
                </c:pt>
                <c:pt idx="491">
                  <c:v>493</c:v>
                </c:pt>
                <c:pt idx="492">
                  <c:v>494</c:v>
                </c:pt>
                <c:pt idx="493">
                  <c:v>495</c:v>
                </c:pt>
                <c:pt idx="494">
                  <c:v>496</c:v>
                </c:pt>
                <c:pt idx="495">
                  <c:v>497</c:v>
                </c:pt>
                <c:pt idx="496">
                  <c:v>498</c:v>
                </c:pt>
                <c:pt idx="497">
                  <c:v>499</c:v>
                </c:pt>
                <c:pt idx="498">
                  <c:v>500</c:v>
                </c:pt>
                <c:pt idx="499">
                  <c:v>501</c:v>
                </c:pt>
                <c:pt idx="500">
                  <c:v>502</c:v>
                </c:pt>
                <c:pt idx="501">
                  <c:v>503</c:v>
                </c:pt>
                <c:pt idx="502">
                  <c:v>504</c:v>
                </c:pt>
                <c:pt idx="503">
                  <c:v>505</c:v>
                </c:pt>
                <c:pt idx="504">
                  <c:v>506</c:v>
                </c:pt>
                <c:pt idx="505">
                  <c:v>507</c:v>
                </c:pt>
                <c:pt idx="506">
                  <c:v>508</c:v>
                </c:pt>
                <c:pt idx="507">
                  <c:v>509</c:v>
                </c:pt>
                <c:pt idx="508">
                  <c:v>510</c:v>
                </c:pt>
                <c:pt idx="509">
                  <c:v>511</c:v>
                </c:pt>
                <c:pt idx="510">
                  <c:v>512</c:v>
                </c:pt>
                <c:pt idx="511">
                  <c:v>513</c:v>
                </c:pt>
                <c:pt idx="512">
                  <c:v>514</c:v>
                </c:pt>
                <c:pt idx="513">
                  <c:v>515</c:v>
                </c:pt>
                <c:pt idx="514">
                  <c:v>516</c:v>
                </c:pt>
                <c:pt idx="515">
                  <c:v>517</c:v>
                </c:pt>
                <c:pt idx="516">
                  <c:v>518</c:v>
                </c:pt>
                <c:pt idx="517">
                  <c:v>519</c:v>
                </c:pt>
                <c:pt idx="518">
                  <c:v>520</c:v>
                </c:pt>
                <c:pt idx="519">
                  <c:v>521</c:v>
                </c:pt>
                <c:pt idx="520">
                  <c:v>522</c:v>
                </c:pt>
                <c:pt idx="521">
                  <c:v>523</c:v>
                </c:pt>
                <c:pt idx="522">
                  <c:v>524</c:v>
                </c:pt>
                <c:pt idx="523">
                  <c:v>525</c:v>
                </c:pt>
                <c:pt idx="524">
                  <c:v>526</c:v>
                </c:pt>
                <c:pt idx="525">
                  <c:v>527</c:v>
                </c:pt>
                <c:pt idx="526">
                  <c:v>528</c:v>
                </c:pt>
                <c:pt idx="527">
                  <c:v>529</c:v>
                </c:pt>
                <c:pt idx="528">
                  <c:v>530</c:v>
                </c:pt>
                <c:pt idx="529">
                  <c:v>531</c:v>
                </c:pt>
                <c:pt idx="530">
                  <c:v>532</c:v>
                </c:pt>
                <c:pt idx="531">
                  <c:v>533</c:v>
                </c:pt>
                <c:pt idx="532">
                  <c:v>534</c:v>
                </c:pt>
                <c:pt idx="533">
                  <c:v>535</c:v>
                </c:pt>
                <c:pt idx="534">
                  <c:v>536</c:v>
                </c:pt>
                <c:pt idx="535">
                  <c:v>537</c:v>
                </c:pt>
                <c:pt idx="536">
                  <c:v>538</c:v>
                </c:pt>
                <c:pt idx="537">
                  <c:v>539</c:v>
                </c:pt>
                <c:pt idx="538">
                  <c:v>540</c:v>
                </c:pt>
                <c:pt idx="539">
                  <c:v>541</c:v>
                </c:pt>
                <c:pt idx="540">
                  <c:v>542</c:v>
                </c:pt>
                <c:pt idx="541">
                  <c:v>543</c:v>
                </c:pt>
                <c:pt idx="542">
                  <c:v>544</c:v>
                </c:pt>
                <c:pt idx="543">
                  <c:v>545</c:v>
                </c:pt>
                <c:pt idx="544">
                  <c:v>546</c:v>
                </c:pt>
                <c:pt idx="545">
                  <c:v>547</c:v>
                </c:pt>
                <c:pt idx="546">
                  <c:v>548</c:v>
                </c:pt>
                <c:pt idx="547">
                  <c:v>549</c:v>
                </c:pt>
                <c:pt idx="548">
                  <c:v>550</c:v>
                </c:pt>
                <c:pt idx="549">
                  <c:v>551</c:v>
                </c:pt>
                <c:pt idx="550">
                  <c:v>552</c:v>
                </c:pt>
                <c:pt idx="551">
                  <c:v>553</c:v>
                </c:pt>
                <c:pt idx="552">
                  <c:v>554</c:v>
                </c:pt>
                <c:pt idx="553">
                  <c:v>555</c:v>
                </c:pt>
                <c:pt idx="554">
                  <c:v>556</c:v>
                </c:pt>
                <c:pt idx="555">
                  <c:v>557</c:v>
                </c:pt>
                <c:pt idx="556">
                  <c:v>558</c:v>
                </c:pt>
                <c:pt idx="557">
                  <c:v>559</c:v>
                </c:pt>
                <c:pt idx="558">
                  <c:v>560</c:v>
                </c:pt>
                <c:pt idx="559">
                  <c:v>561</c:v>
                </c:pt>
                <c:pt idx="560">
                  <c:v>562</c:v>
                </c:pt>
                <c:pt idx="561">
                  <c:v>563</c:v>
                </c:pt>
                <c:pt idx="562">
                  <c:v>564</c:v>
                </c:pt>
                <c:pt idx="563">
                  <c:v>565</c:v>
                </c:pt>
                <c:pt idx="564">
                  <c:v>566</c:v>
                </c:pt>
                <c:pt idx="565">
                  <c:v>567</c:v>
                </c:pt>
                <c:pt idx="566">
                  <c:v>568</c:v>
                </c:pt>
                <c:pt idx="567">
                  <c:v>569</c:v>
                </c:pt>
                <c:pt idx="568">
                  <c:v>570</c:v>
                </c:pt>
                <c:pt idx="569">
                  <c:v>571</c:v>
                </c:pt>
                <c:pt idx="570">
                  <c:v>572</c:v>
                </c:pt>
                <c:pt idx="571">
                  <c:v>573</c:v>
                </c:pt>
                <c:pt idx="572">
                  <c:v>574</c:v>
                </c:pt>
                <c:pt idx="573">
                  <c:v>575</c:v>
                </c:pt>
                <c:pt idx="574">
                  <c:v>576</c:v>
                </c:pt>
                <c:pt idx="575">
                  <c:v>577</c:v>
                </c:pt>
                <c:pt idx="576">
                  <c:v>578</c:v>
                </c:pt>
                <c:pt idx="577">
                  <c:v>579</c:v>
                </c:pt>
                <c:pt idx="578">
                  <c:v>580</c:v>
                </c:pt>
                <c:pt idx="579">
                  <c:v>581</c:v>
                </c:pt>
                <c:pt idx="580">
                  <c:v>582</c:v>
                </c:pt>
                <c:pt idx="581">
                  <c:v>583</c:v>
                </c:pt>
                <c:pt idx="582">
                  <c:v>584</c:v>
                </c:pt>
                <c:pt idx="583">
                  <c:v>585</c:v>
                </c:pt>
                <c:pt idx="584">
                  <c:v>586</c:v>
                </c:pt>
                <c:pt idx="585">
                  <c:v>587</c:v>
                </c:pt>
                <c:pt idx="586">
                  <c:v>588</c:v>
                </c:pt>
                <c:pt idx="587">
                  <c:v>589</c:v>
                </c:pt>
                <c:pt idx="588">
                  <c:v>590</c:v>
                </c:pt>
                <c:pt idx="589">
                  <c:v>591</c:v>
                </c:pt>
                <c:pt idx="590">
                  <c:v>592</c:v>
                </c:pt>
                <c:pt idx="591">
                  <c:v>593</c:v>
                </c:pt>
                <c:pt idx="592">
                  <c:v>594</c:v>
                </c:pt>
                <c:pt idx="593">
                  <c:v>595</c:v>
                </c:pt>
                <c:pt idx="594">
                  <c:v>596</c:v>
                </c:pt>
                <c:pt idx="595">
                  <c:v>597</c:v>
                </c:pt>
                <c:pt idx="596">
                  <c:v>598</c:v>
                </c:pt>
                <c:pt idx="597">
                  <c:v>599</c:v>
                </c:pt>
                <c:pt idx="598">
                  <c:v>600</c:v>
                </c:pt>
                <c:pt idx="599">
                  <c:v>601</c:v>
                </c:pt>
                <c:pt idx="600">
                  <c:v>602</c:v>
                </c:pt>
                <c:pt idx="601">
                  <c:v>603</c:v>
                </c:pt>
                <c:pt idx="602">
                  <c:v>604</c:v>
                </c:pt>
                <c:pt idx="603">
                  <c:v>605</c:v>
                </c:pt>
                <c:pt idx="604">
                  <c:v>606</c:v>
                </c:pt>
                <c:pt idx="605">
                  <c:v>607</c:v>
                </c:pt>
                <c:pt idx="606">
                  <c:v>608</c:v>
                </c:pt>
                <c:pt idx="607">
                  <c:v>609</c:v>
                </c:pt>
                <c:pt idx="608">
                  <c:v>610</c:v>
                </c:pt>
                <c:pt idx="609">
                  <c:v>611</c:v>
                </c:pt>
                <c:pt idx="610">
                  <c:v>612</c:v>
                </c:pt>
                <c:pt idx="611">
                  <c:v>613</c:v>
                </c:pt>
                <c:pt idx="612">
                  <c:v>614</c:v>
                </c:pt>
                <c:pt idx="613">
                  <c:v>615</c:v>
                </c:pt>
                <c:pt idx="614">
                  <c:v>616</c:v>
                </c:pt>
                <c:pt idx="615">
                  <c:v>617</c:v>
                </c:pt>
                <c:pt idx="616">
                  <c:v>618</c:v>
                </c:pt>
                <c:pt idx="617">
                  <c:v>619</c:v>
                </c:pt>
                <c:pt idx="618">
                  <c:v>620</c:v>
                </c:pt>
                <c:pt idx="619">
                  <c:v>621</c:v>
                </c:pt>
                <c:pt idx="620">
                  <c:v>622</c:v>
                </c:pt>
                <c:pt idx="621">
                  <c:v>623</c:v>
                </c:pt>
                <c:pt idx="622">
                  <c:v>624</c:v>
                </c:pt>
                <c:pt idx="623">
                  <c:v>625</c:v>
                </c:pt>
                <c:pt idx="624">
                  <c:v>626</c:v>
                </c:pt>
                <c:pt idx="625">
                  <c:v>627</c:v>
                </c:pt>
                <c:pt idx="626">
                  <c:v>628</c:v>
                </c:pt>
                <c:pt idx="627">
                  <c:v>629</c:v>
                </c:pt>
                <c:pt idx="628">
                  <c:v>630</c:v>
                </c:pt>
                <c:pt idx="629">
                  <c:v>631</c:v>
                </c:pt>
                <c:pt idx="630">
                  <c:v>632</c:v>
                </c:pt>
                <c:pt idx="631">
                  <c:v>633</c:v>
                </c:pt>
                <c:pt idx="632">
                  <c:v>634</c:v>
                </c:pt>
                <c:pt idx="633">
                  <c:v>635</c:v>
                </c:pt>
                <c:pt idx="634">
                  <c:v>636</c:v>
                </c:pt>
                <c:pt idx="635">
                  <c:v>637</c:v>
                </c:pt>
                <c:pt idx="636">
                  <c:v>638</c:v>
                </c:pt>
                <c:pt idx="637">
                  <c:v>639</c:v>
                </c:pt>
                <c:pt idx="638">
                  <c:v>640</c:v>
                </c:pt>
                <c:pt idx="639">
                  <c:v>641</c:v>
                </c:pt>
                <c:pt idx="640">
                  <c:v>642</c:v>
                </c:pt>
                <c:pt idx="641">
                  <c:v>643</c:v>
                </c:pt>
                <c:pt idx="642">
                  <c:v>644</c:v>
                </c:pt>
                <c:pt idx="643">
                  <c:v>645</c:v>
                </c:pt>
                <c:pt idx="644">
                  <c:v>646</c:v>
                </c:pt>
                <c:pt idx="645">
                  <c:v>647</c:v>
                </c:pt>
                <c:pt idx="646">
                  <c:v>648</c:v>
                </c:pt>
                <c:pt idx="647">
                  <c:v>649</c:v>
                </c:pt>
                <c:pt idx="648">
                  <c:v>650</c:v>
                </c:pt>
                <c:pt idx="649">
                  <c:v>651</c:v>
                </c:pt>
                <c:pt idx="650">
                  <c:v>652</c:v>
                </c:pt>
                <c:pt idx="651">
                  <c:v>653</c:v>
                </c:pt>
                <c:pt idx="652">
                  <c:v>654</c:v>
                </c:pt>
                <c:pt idx="653">
                  <c:v>655</c:v>
                </c:pt>
                <c:pt idx="654">
                  <c:v>656</c:v>
                </c:pt>
                <c:pt idx="655">
                  <c:v>657</c:v>
                </c:pt>
                <c:pt idx="656">
                  <c:v>658</c:v>
                </c:pt>
                <c:pt idx="657">
                  <c:v>659</c:v>
                </c:pt>
                <c:pt idx="658">
                  <c:v>660</c:v>
                </c:pt>
                <c:pt idx="659">
                  <c:v>661</c:v>
                </c:pt>
                <c:pt idx="660">
                  <c:v>662</c:v>
                </c:pt>
                <c:pt idx="661">
                  <c:v>663</c:v>
                </c:pt>
                <c:pt idx="662">
                  <c:v>664</c:v>
                </c:pt>
                <c:pt idx="663">
                  <c:v>665</c:v>
                </c:pt>
                <c:pt idx="664">
                  <c:v>666</c:v>
                </c:pt>
                <c:pt idx="665">
                  <c:v>667</c:v>
                </c:pt>
                <c:pt idx="666">
                  <c:v>668</c:v>
                </c:pt>
                <c:pt idx="667">
                  <c:v>669</c:v>
                </c:pt>
                <c:pt idx="668">
                  <c:v>670</c:v>
                </c:pt>
                <c:pt idx="669">
                  <c:v>671</c:v>
                </c:pt>
                <c:pt idx="670">
                  <c:v>672</c:v>
                </c:pt>
                <c:pt idx="671">
                  <c:v>673</c:v>
                </c:pt>
                <c:pt idx="672">
                  <c:v>674</c:v>
                </c:pt>
                <c:pt idx="673">
                  <c:v>675</c:v>
                </c:pt>
                <c:pt idx="674">
                  <c:v>676</c:v>
                </c:pt>
                <c:pt idx="675">
                  <c:v>677</c:v>
                </c:pt>
                <c:pt idx="676">
                  <c:v>678</c:v>
                </c:pt>
                <c:pt idx="677">
                  <c:v>679</c:v>
                </c:pt>
                <c:pt idx="678">
                  <c:v>680</c:v>
                </c:pt>
                <c:pt idx="679">
                  <c:v>681</c:v>
                </c:pt>
                <c:pt idx="680">
                  <c:v>682</c:v>
                </c:pt>
                <c:pt idx="681">
                  <c:v>683</c:v>
                </c:pt>
                <c:pt idx="682">
                  <c:v>684</c:v>
                </c:pt>
                <c:pt idx="683">
                  <c:v>685</c:v>
                </c:pt>
                <c:pt idx="684">
                  <c:v>686</c:v>
                </c:pt>
                <c:pt idx="685">
                  <c:v>687</c:v>
                </c:pt>
                <c:pt idx="686">
                  <c:v>688</c:v>
                </c:pt>
                <c:pt idx="687">
                  <c:v>689</c:v>
                </c:pt>
                <c:pt idx="688">
                  <c:v>690</c:v>
                </c:pt>
                <c:pt idx="689">
                  <c:v>691</c:v>
                </c:pt>
                <c:pt idx="690">
                  <c:v>692</c:v>
                </c:pt>
                <c:pt idx="691">
                  <c:v>693</c:v>
                </c:pt>
                <c:pt idx="692">
                  <c:v>694</c:v>
                </c:pt>
                <c:pt idx="693">
                  <c:v>695</c:v>
                </c:pt>
                <c:pt idx="694">
                  <c:v>696</c:v>
                </c:pt>
                <c:pt idx="695">
                  <c:v>697</c:v>
                </c:pt>
                <c:pt idx="696">
                  <c:v>698</c:v>
                </c:pt>
                <c:pt idx="697">
                  <c:v>699</c:v>
                </c:pt>
                <c:pt idx="698">
                  <c:v>700</c:v>
                </c:pt>
                <c:pt idx="699">
                  <c:v>701</c:v>
                </c:pt>
                <c:pt idx="700">
                  <c:v>702</c:v>
                </c:pt>
                <c:pt idx="701">
                  <c:v>703</c:v>
                </c:pt>
                <c:pt idx="702">
                  <c:v>704</c:v>
                </c:pt>
                <c:pt idx="703">
                  <c:v>705</c:v>
                </c:pt>
                <c:pt idx="704">
                  <c:v>706</c:v>
                </c:pt>
                <c:pt idx="705">
                  <c:v>707</c:v>
                </c:pt>
                <c:pt idx="706">
                  <c:v>708</c:v>
                </c:pt>
                <c:pt idx="707">
                  <c:v>709</c:v>
                </c:pt>
                <c:pt idx="708">
                  <c:v>710</c:v>
                </c:pt>
                <c:pt idx="709">
                  <c:v>711</c:v>
                </c:pt>
                <c:pt idx="710">
                  <c:v>712</c:v>
                </c:pt>
                <c:pt idx="711">
                  <c:v>713</c:v>
                </c:pt>
                <c:pt idx="712">
                  <c:v>714</c:v>
                </c:pt>
                <c:pt idx="713">
                  <c:v>715</c:v>
                </c:pt>
                <c:pt idx="714">
                  <c:v>716</c:v>
                </c:pt>
                <c:pt idx="715">
                  <c:v>717</c:v>
                </c:pt>
                <c:pt idx="716">
                  <c:v>718</c:v>
                </c:pt>
                <c:pt idx="717">
                  <c:v>719</c:v>
                </c:pt>
                <c:pt idx="718">
                  <c:v>720</c:v>
                </c:pt>
                <c:pt idx="719">
                  <c:v>721</c:v>
                </c:pt>
                <c:pt idx="720">
                  <c:v>722</c:v>
                </c:pt>
                <c:pt idx="721">
                  <c:v>723</c:v>
                </c:pt>
                <c:pt idx="722">
                  <c:v>724</c:v>
                </c:pt>
                <c:pt idx="723">
                  <c:v>725</c:v>
                </c:pt>
                <c:pt idx="724">
                  <c:v>726</c:v>
                </c:pt>
                <c:pt idx="725">
                  <c:v>727</c:v>
                </c:pt>
                <c:pt idx="726">
                  <c:v>728</c:v>
                </c:pt>
                <c:pt idx="727">
                  <c:v>729</c:v>
                </c:pt>
                <c:pt idx="728">
                  <c:v>730</c:v>
                </c:pt>
                <c:pt idx="729">
                  <c:v>731</c:v>
                </c:pt>
                <c:pt idx="730">
                  <c:v>732</c:v>
                </c:pt>
                <c:pt idx="731">
                  <c:v>733</c:v>
                </c:pt>
                <c:pt idx="732">
                  <c:v>734</c:v>
                </c:pt>
                <c:pt idx="733">
                  <c:v>735</c:v>
                </c:pt>
                <c:pt idx="734">
                  <c:v>736</c:v>
                </c:pt>
                <c:pt idx="735">
                  <c:v>737</c:v>
                </c:pt>
                <c:pt idx="736">
                  <c:v>738</c:v>
                </c:pt>
                <c:pt idx="737">
                  <c:v>739</c:v>
                </c:pt>
                <c:pt idx="738">
                  <c:v>740</c:v>
                </c:pt>
                <c:pt idx="739">
                  <c:v>741</c:v>
                </c:pt>
                <c:pt idx="740">
                  <c:v>742</c:v>
                </c:pt>
                <c:pt idx="741">
                  <c:v>743</c:v>
                </c:pt>
                <c:pt idx="742">
                  <c:v>744</c:v>
                </c:pt>
                <c:pt idx="743">
                  <c:v>745</c:v>
                </c:pt>
                <c:pt idx="744">
                  <c:v>746</c:v>
                </c:pt>
                <c:pt idx="745">
                  <c:v>747</c:v>
                </c:pt>
                <c:pt idx="746">
                  <c:v>748</c:v>
                </c:pt>
                <c:pt idx="747">
                  <c:v>749</c:v>
                </c:pt>
                <c:pt idx="748">
                  <c:v>750</c:v>
                </c:pt>
                <c:pt idx="749">
                  <c:v>751</c:v>
                </c:pt>
                <c:pt idx="750">
                  <c:v>752</c:v>
                </c:pt>
                <c:pt idx="751">
                  <c:v>753</c:v>
                </c:pt>
                <c:pt idx="752">
                  <c:v>754</c:v>
                </c:pt>
                <c:pt idx="753">
                  <c:v>755</c:v>
                </c:pt>
                <c:pt idx="754">
                  <c:v>756</c:v>
                </c:pt>
                <c:pt idx="755">
                  <c:v>757</c:v>
                </c:pt>
                <c:pt idx="756">
                  <c:v>758</c:v>
                </c:pt>
                <c:pt idx="757">
                  <c:v>759</c:v>
                </c:pt>
                <c:pt idx="758">
                  <c:v>760</c:v>
                </c:pt>
                <c:pt idx="759">
                  <c:v>761</c:v>
                </c:pt>
                <c:pt idx="760">
                  <c:v>762</c:v>
                </c:pt>
                <c:pt idx="761">
                  <c:v>763</c:v>
                </c:pt>
                <c:pt idx="762">
                  <c:v>764</c:v>
                </c:pt>
                <c:pt idx="763">
                  <c:v>765</c:v>
                </c:pt>
                <c:pt idx="764">
                  <c:v>766</c:v>
                </c:pt>
                <c:pt idx="765">
                  <c:v>767</c:v>
                </c:pt>
                <c:pt idx="766">
                  <c:v>768</c:v>
                </c:pt>
                <c:pt idx="767">
                  <c:v>769</c:v>
                </c:pt>
                <c:pt idx="768">
                  <c:v>770</c:v>
                </c:pt>
                <c:pt idx="769">
                  <c:v>771</c:v>
                </c:pt>
                <c:pt idx="770">
                  <c:v>772</c:v>
                </c:pt>
                <c:pt idx="771">
                  <c:v>773</c:v>
                </c:pt>
                <c:pt idx="772">
                  <c:v>774</c:v>
                </c:pt>
                <c:pt idx="773">
                  <c:v>775</c:v>
                </c:pt>
                <c:pt idx="774">
                  <c:v>776</c:v>
                </c:pt>
                <c:pt idx="775">
                  <c:v>777</c:v>
                </c:pt>
                <c:pt idx="776">
                  <c:v>778</c:v>
                </c:pt>
                <c:pt idx="777">
                  <c:v>779</c:v>
                </c:pt>
                <c:pt idx="778">
                  <c:v>780</c:v>
                </c:pt>
                <c:pt idx="779">
                  <c:v>781</c:v>
                </c:pt>
                <c:pt idx="780">
                  <c:v>782</c:v>
                </c:pt>
                <c:pt idx="781">
                  <c:v>783</c:v>
                </c:pt>
                <c:pt idx="782">
                  <c:v>784</c:v>
                </c:pt>
                <c:pt idx="783">
                  <c:v>785</c:v>
                </c:pt>
                <c:pt idx="784">
                  <c:v>786</c:v>
                </c:pt>
                <c:pt idx="785">
                  <c:v>787</c:v>
                </c:pt>
                <c:pt idx="786">
                  <c:v>788</c:v>
                </c:pt>
                <c:pt idx="787">
                  <c:v>789</c:v>
                </c:pt>
                <c:pt idx="788">
                  <c:v>790</c:v>
                </c:pt>
                <c:pt idx="789">
                  <c:v>791</c:v>
                </c:pt>
                <c:pt idx="790">
                  <c:v>792</c:v>
                </c:pt>
                <c:pt idx="791">
                  <c:v>793</c:v>
                </c:pt>
                <c:pt idx="792">
                  <c:v>794</c:v>
                </c:pt>
                <c:pt idx="793">
                  <c:v>795</c:v>
                </c:pt>
                <c:pt idx="794">
                  <c:v>796</c:v>
                </c:pt>
                <c:pt idx="795">
                  <c:v>797</c:v>
                </c:pt>
                <c:pt idx="796">
                  <c:v>798</c:v>
                </c:pt>
                <c:pt idx="797">
                  <c:v>799</c:v>
                </c:pt>
                <c:pt idx="798">
                  <c:v>800</c:v>
                </c:pt>
                <c:pt idx="799">
                  <c:v>801</c:v>
                </c:pt>
                <c:pt idx="800">
                  <c:v>802</c:v>
                </c:pt>
                <c:pt idx="801">
                  <c:v>803</c:v>
                </c:pt>
                <c:pt idx="802">
                  <c:v>804</c:v>
                </c:pt>
                <c:pt idx="803">
                  <c:v>805</c:v>
                </c:pt>
                <c:pt idx="804">
                  <c:v>806</c:v>
                </c:pt>
                <c:pt idx="805">
                  <c:v>807</c:v>
                </c:pt>
                <c:pt idx="806">
                  <c:v>808</c:v>
                </c:pt>
                <c:pt idx="807">
                  <c:v>809</c:v>
                </c:pt>
                <c:pt idx="808">
                  <c:v>810</c:v>
                </c:pt>
                <c:pt idx="809">
                  <c:v>811</c:v>
                </c:pt>
                <c:pt idx="810">
                  <c:v>812</c:v>
                </c:pt>
                <c:pt idx="811">
                  <c:v>813</c:v>
                </c:pt>
                <c:pt idx="812">
                  <c:v>814</c:v>
                </c:pt>
                <c:pt idx="813">
                  <c:v>815</c:v>
                </c:pt>
                <c:pt idx="814">
                  <c:v>816</c:v>
                </c:pt>
                <c:pt idx="815">
                  <c:v>817</c:v>
                </c:pt>
                <c:pt idx="816">
                  <c:v>818</c:v>
                </c:pt>
                <c:pt idx="817">
                  <c:v>819</c:v>
                </c:pt>
                <c:pt idx="818">
                  <c:v>820</c:v>
                </c:pt>
                <c:pt idx="819">
                  <c:v>821</c:v>
                </c:pt>
                <c:pt idx="820">
                  <c:v>822</c:v>
                </c:pt>
                <c:pt idx="821">
                  <c:v>823</c:v>
                </c:pt>
                <c:pt idx="822">
                  <c:v>824</c:v>
                </c:pt>
                <c:pt idx="823">
                  <c:v>825</c:v>
                </c:pt>
                <c:pt idx="824">
                  <c:v>826</c:v>
                </c:pt>
                <c:pt idx="825">
                  <c:v>827</c:v>
                </c:pt>
                <c:pt idx="826">
                  <c:v>828</c:v>
                </c:pt>
                <c:pt idx="827">
                  <c:v>829</c:v>
                </c:pt>
                <c:pt idx="828">
                  <c:v>830</c:v>
                </c:pt>
                <c:pt idx="829">
                  <c:v>831</c:v>
                </c:pt>
                <c:pt idx="830">
                  <c:v>832</c:v>
                </c:pt>
                <c:pt idx="831">
                  <c:v>833</c:v>
                </c:pt>
                <c:pt idx="832">
                  <c:v>834</c:v>
                </c:pt>
                <c:pt idx="833">
                  <c:v>835</c:v>
                </c:pt>
                <c:pt idx="834">
                  <c:v>836</c:v>
                </c:pt>
                <c:pt idx="835">
                  <c:v>837</c:v>
                </c:pt>
                <c:pt idx="836">
                  <c:v>838</c:v>
                </c:pt>
                <c:pt idx="837">
                  <c:v>839</c:v>
                </c:pt>
                <c:pt idx="838">
                  <c:v>840</c:v>
                </c:pt>
                <c:pt idx="839">
                  <c:v>841</c:v>
                </c:pt>
                <c:pt idx="840">
                  <c:v>842</c:v>
                </c:pt>
                <c:pt idx="841">
                  <c:v>843</c:v>
                </c:pt>
                <c:pt idx="842">
                  <c:v>844</c:v>
                </c:pt>
                <c:pt idx="843">
                  <c:v>845</c:v>
                </c:pt>
                <c:pt idx="844">
                  <c:v>846</c:v>
                </c:pt>
                <c:pt idx="845">
                  <c:v>847</c:v>
                </c:pt>
                <c:pt idx="846">
                  <c:v>848</c:v>
                </c:pt>
                <c:pt idx="847">
                  <c:v>849</c:v>
                </c:pt>
                <c:pt idx="848">
                  <c:v>850</c:v>
                </c:pt>
                <c:pt idx="849">
                  <c:v>851</c:v>
                </c:pt>
                <c:pt idx="850">
                  <c:v>852</c:v>
                </c:pt>
                <c:pt idx="851">
                  <c:v>853</c:v>
                </c:pt>
                <c:pt idx="852">
                  <c:v>854</c:v>
                </c:pt>
                <c:pt idx="853">
                  <c:v>855</c:v>
                </c:pt>
                <c:pt idx="854">
                  <c:v>856</c:v>
                </c:pt>
                <c:pt idx="855">
                  <c:v>857</c:v>
                </c:pt>
                <c:pt idx="856">
                  <c:v>858</c:v>
                </c:pt>
                <c:pt idx="857">
                  <c:v>859</c:v>
                </c:pt>
                <c:pt idx="858">
                  <c:v>860</c:v>
                </c:pt>
                <c:pt idx="859">
                  <c:v>861</c:v>
                </c:pt>
                <c:pt idx="860">
                  <c:v>862</c:v>
                </c:pt>
                <c:pt idx="861">
                  <c:v>863</c:v>
                </c:pt>
                <c:pt idx="862">
                  <c:v>864</c:v>
                </c:pt>
                <c:pt idx="863">
                  <c:v>865</c:v>
                </c:pt>
                <c:pt idx="864">
                  <c:v>866</c:v>
                </c:pt>
                <c:pt idx="865">
                  <c:v>867</c:v>
                </c:pt>
                <c:pt idx="866">
                  <c:v>868</c:v>
                </c:pt>
                <c:pt idx="867">
                  <c:v>869</c:v>
                </c:pt>
                <c:pt idx="868">
                  <c:v>870</c:v>
                </c:pt>
                <c:pt idx="869">
                  <c:v>871</c:v>
                </c:pt>
                <c:pt idx="870">
                  <c:v>872</c:v>
                </c:pt>
                <c:pt idx="871">
                  <c:v>873</c:v>
                </c:pt>
                <c:pt idx="872">
                  <c:v>874</c:v>
                </c:pt>
                <c:pt idx="873">
                  <c:v>875</c:v>
                </c:pt>
                <c:pt idx="874">
                  <c:v>876</c:v>
                </c:pt>
                <c:pt idx="875">
                  <c:v>877</c:v>
                </c:pt>
                <c:pt idx="876">
                  <c:v>878</c:v>
                </c:pt>
                <c:pt idx="877">
                  <c:v>879</c:v>
                </c:pt>
                <c:pt idx="878">
                  <c:v>880</c:v>
                </c:pt>
                <c:pt idx="879">
                  <c:v>881</c:v>
                </c:pt>
                <c:pt idx="880">
                  <c:v>882</c:v>
                </c:pt>
                <c:pt idx="881">
                  <c:v>883</c:v>
                </c:pt>
                <c:pt idx="882">
                  <c:v>884</c:v>
                </c:pt>
                <c:pt idx="883">
                  <c:v>885</c:v>
                </c:pt>
                <c:pt idx="884">
                  <c:v>886</c:v>
                </c:pt>
                <c:pt idx="885">
                  <c:v>887</c:v>
                </c:pt>
                <c:pt idx="886">
                  <c:v>888</c:v>
                </c:pt>
                <c:pt idx="887">
                  <c:v>889</c:v>
                </c:pt>
                <c:pt idx="888">
                  <c:v>890</c:v>
                </c:pt>
                <c:pt idx="889">
                  <c:v>891</c:v>
                </c:pt>
                <c:pt idx="890">
                  <c:v>892</c:v>
                </c:pt>
                <c:pt idx="891">
                  <c:v>893</c:v>
                </c:pt>
                <c:pt idx="892">
                  <c:v>894</c:v>
                </c:pt>
                <c:pt idx="893">
                  <c:v>895</c:v>
                </c:pt>
                <c:pt idx="894">
                  <c:v>896</c:v>
                </c:pt>
                <c:pt idx="895">
                  <c:v>897</c:v>
                </c:pt>
                <c:pt idx="896">
                  <c:v>898</c:v>
                </c:pt>
                <c:pt idx="897">
                  <c:v>899</c:v>
                </c:pt>
                <c:pt idx="898">
                  <c:v>900</c:v>
                </c:pt>
                <c:pt idx="899">
                  <c:v>901</c:v>
                </c:pt>
                <c:pt idx="900">
                  <c:v>902</c:v>
                </c:pt>
                <c:pt idx="901">
                  <c:v>903</c:v>
                </c:pt>
                <c:pt idx="902">
                  <c:v>904</c:v>
                </c:pt>
                <c:pt idx="903">
                  <c:v>905</c:v>
                </c:pt>
                <c:pt idx="904">
                  <c:v>906</c:v>
                </c:pt>
                <c:pt idx="905">
                  <c:v>907</c:v>
                </c:pt>
                <c:pt idx="906">
                  <c:v>908</c:v>
                </c:pt>
                <c:pt idx="907">
                  <c:v>909</c:v>
                </c:pt>
                <c:pt idx="908">
                  <c:v>910</c:v>
                </c:pt>
                <c:pt idx="909">
                  <c:v>911</c:v>
                </c:pt>
                <c:pt idx="910">
                  <c:v>912</c:v>
                </c:pt>
                <c:pt idx="911">
                  <c:v>913</c:v>
                </c:pt>
                <c:pt idx="912">
                  <c:v>914</c:v>
                </c:pt>
                <c:pt idx="913">
                  <c:v>915</c:v>
                </c:pt>
                <c:pt idx="914">
                  <c:v>916</c:v>
                </c:pt>
                <c:pt idx="915">
                  <c:v>917</c:v>
                </c:pt>
                <c:pt idx="916">
                  <c:v>918</c:v>
                </c:pt>
                <c:pt idx="917">
                  <c:v>919</c:v>
                </c:pt>
                <c:pt idx="918">
                  <c:v>920</c:v>
                </c:pt>
                <c:pt idx="919">
                  <c:v>921</c:v>
                </c:pt>
                <c:pt idx="920">
                  <c:v>922</c:v>
                </c:pt>
                <c:pt idx="921">
                  <c:v>923</c:v>
                </c:pt>
                <c:pt idx="922">
                  <c:v>924</c:v>
                </c:pt>
                <c:pt idx="923">
                  <c:v>925</c:v>
                </c:pt>
                <c:pt idx="924">
                  <c:v>926</c:v>
                </c:pt>
                <c:pt idx="925">
                  <c:v>927</c:v>
                </c:pt>
                <c:pt idx="926">
                  <c:v>928</c:v>
                </c:pt>
                <c:pt idx="927">
                  <c:v>929</c:v>
                </c:pt>
                <c:pt idx="928">
                  <c:v>930</c:v>
                </c:pt>
                <c:pt idx="929">
                  <c:v>931</c:v>
                </c:pt>
                <c:pt idx="930">
                  <c:v>932</c:v>
                </c:pt>
                <c:pt idx="931">
                  <c:v>933</c:v>
                </c:pt>
                <c:pt idx="932">
                  <c:v>934</c:v>
                </c:pt>
                <c:pt idx="933">
                  <c:v>935</c:v>
                </c:pt>
                <c:pt idx="934">
                  <c:v>936</c:v>
                </c:pt>
                <c:pt idx="935">
                  <c:v>937</c:v>
                </c:pt>
                <c:pt idx="936">
                  <c:v>938</c:v>
                </c:pt>
                <c:pt idx="937">
                  <c:v>939</c:v>
                </c:pt>
                <c:pt idx="938">
                  <c:v>940</c:v>
                </c:pt>
                <c:pt idx="939">
                  <c:v>941</c:v>
                </c:pt>
                <c:pt idx="940">
                  <c:v>942</c:v>
                </c:pt>
                <c:pt idx="941">
                  <c:v>943</c:v>
                </c:pt>
                <c:pt idx="942">
                  <c:v>944</c:v>
                </c:pt>
                <c:pt idx="943">
                  <c:v>945</c:v>
                </c:pt>
                <c:pt idx="944">
                  <c:v>946</c:v>
                </c:pt>
                <c:pt idx="945">
                  <c:v>947</c:v>
                </c:pt>
                <c:pt idx="946">
                  <c:v>948</c:v>
                </c:pt>
                <c:pt idx="947">
                  <c:v>949</c:v>
                </c:pt>
                <c:pt idx="948">
                  <c:v>950</c:v>
                </c:pt>
                <c:pt idx="949">
                  <c:v>951</c:v>
                </c:pt>
                <c:pt idx="950">
                  <c:v>952</c:v>
                </c:pt>
                <c:pt idx="951">
                  <c:v>953</c:v>
                </c:pt>
                <c:pt idx="952">
                  <c:v>954</c:v>
                </c:pt>
                <c:pt idx="953">
                  <c:v>955</c:v>
                </c:pt>
                <c:pt idx="954">
                  <c:v>956</c:v>
                </c:pt>
                <c:pt idx="955">
                  <c:v>957</c:v>
                </c:pt>
                <c:pt idx="956">
                  <c:v>958</c:v>
                </c:pt>
                <c:pt idx="957">
                  <c:v>959</c:v>
                </c:pt>
                <c:pt idx="958">
                  <c:v>960</c:v>
                </c:pt>
                <c:pt idx="959">
                  <c:v>961</c:v>
                </c:pt>
                <c:pt idx="960">
                  <c:v>962</c:v>
                </c:pt>
                <c:pt idx="961">
                  <c:v>963</c:v>
                </c:pt>
                <c:pt idx="962">
                  <c:v>964</c:v>
                </c:pt>
                <c:pt idx="963">
                  <c:v>965</c:v>
                </c:pt>
                <c:pt idx="964">
                  <c:v>966</c:v>
                </c:pt>
                <c:pt idx="965">
                  <c:v>967</c:v>
                </c:pt>
                <c:pt idx="966">
                  <c:v>968</c:v>
                </c:pt>
                <c:pt idx="967">
                  <c:v>969</c:v>
                </c:pt>
                <c:pt idx="968">
                  <c:v>970</c:v>
                </c:pt>
                <c:pt idx="969">
                  <c:v>971</c:v>
                </c:pt>
                <c:pt idx="970">
                  <c:v>972</c:v>
                </c:pt>
                <c:pt idx="971">
                  <c:v>973</c:v>
                </c:pt>
                <c:pt idx="972">
                  <c:v>974</c:v>
                </c:pt>
                <c:pt idx="973">
                  <c:v>975</c:v>
                </c:pt>
                <c:pt idx="974">
                  <c:v>976</c:v>
                </c:pt>
                <c:pt idx="975">
                  <c:v>977</c:v>
                </c:pt>
                <c:pt idx="976">
                  <c:v>978</c:v>
                </c:pt>
                <c:pt idx="977">
                  <c:v>979</c:v>
                </c:pt>
                <c:pt idx="978">
                  <c:v>980</c:v>
                </c:pt>
                <c:pt idx="979">
                  <c:v>981</c:v>
                </c:pt>
                <c:pt idx="980">
                  <c:v>982</c:v>
                </c:pt>
                <c:pt idx="981">
                  <c:v>983</c:v>
                </c:pt>
                <c:pt idx="982">
                  <c:v>984</c:v>
                </c:pt>
                <c:pt idx="983">
                  <c:v>985</c:v>
                </c:pt>
                <c:pt idx="984">
                  <c:v>986</c:v>
                </c:pt>
                <c:pt idx="985">
                  <c:v>987</c:v>
                </c:pt>
                <c:pt idx="986">
                  <c:v>988</c:v>
                </c:pt>
                <c:pt idx="987">
                  <c:v>989</c:v>
                </c:pt>
                <c:pt idx="988">
                  <c:v>990</c:v>
                </c:pt>
                <c:pt idx="989">
                  <c:v>991</c:v>
                </c:pt>
                <c:pt idx="990">
                  <c:v>992</c:v>
                </c:pt>
                <c:pt idx="991">
                  <c:v>993</c:v>
                </c:pt>
                <c:pt idx="992">
                  <c:v>994</c:v>
                </c:pt>
                <c:pt idx="993">
                  <c:v>995</c:v>
                </c:pt>
                <c:pt idx="994">
                  <c:v>996</c:v>
                </c:pt>
                <c:pt idx="995">
                  <c:v>997</c:v>
                </c:pt>
                <c:pt idx="996">
                  <c:v>998</c:v>
                </c:pt>
                <c:pt idx="997">
                  <c:v>999</c:v>
                </c:pt>
                <c:pt idx="998">
                  <c:v>1000</c:v>
                </c:pt>
                <c:pt idx="999">
                  <c:v>1001</c:v>
                </c:pt>
                <c:pt idx="1000">
                  <c:v>1002</c:v>
                </c:pt>
                <c:pt idx="1001">
                  <c:v>1003</c:v>
                </c:pt>
                <c:pt idx="1002">
                  <c:v>1004</c:v>
                </c:pt>
                <c:pt idx="1003">
                  <c:v>1005</c:v>
                </c:pt>
                <c:pt idx="1004">
                  <c:v>1006</c:v>
                </c:pt>
                <c:pt idx="1005">
                  <c:v>1007</c:v>
                </c:pt>
                <c:pt idx="1006">
                  <c:v>1008</c:v>
                </c:pt>
                <c:pt idx="1007">
                  <c:v>1009</c:v>
                </c:pt>
                <c:pt idx="1008">
                  <c:v>1010</c:v>
                </c:pt>
                <c:pt idx="1009">
                  <c:v>1011</c:v>
                </c:pt>
                <c:pt idx="1010">
                  <c:v>1012</c:v>
                </c:pt>
                <c:pt idx="1011">
                  <c:v>1013</c:v>
                </c:pt>
                <c:pt idx="1012">
                  <c:v>1014</c:v>
                </c:pt>
                <c:pt idx="1013">
                  <c:v>1015</c:v>
                </c:pt>
                <c:pt idx="1014">
                  <c:v>1016</c:v>
                </c:pt>
                <c:pt idx="1015">
                  <c:v>1017</c:v>
                </c:pt>
                <c:pt idx="1016">
                  <c:v>1018</c:v>
                </c:pt>
                <c:pt idx="1017">
                  <c:v>1019</c:v>
                </c:pt>
                <c:pt idx="1018">
                  <c:v>1020</c:v>
                </c:pt>
                <c:pt idx="1019">
                  <c:v>1021</c:v>
                </c:pt>
                <c:pt idx="1020">
                  <c:v>1022</c:v>
                </c:pt>
                <c:pt idx="1021">
                  <c:v>1023</c:v>
                </c:pt>
                <c:pt idx="1022">
                  <c:v>1024</c:v>
                </c:pt>
                <c:pt idx="1023">
                  <c:v>1025</c:v>
                </c:pt>
                <c:pt idx="1024">
                  <c:v>1026</c:v>
                </c:pt>
                <c:pt idx="1025">
                  <c:v>1027</c:v>
                </c:pt>
                <c:pt idx="1026">
                  <c:v>1028</c:v>
                </c:pt>
                <c:pt idx="1027">
                  <c:v>1029</c:v>
                </c:pt>
                <c:pt idx="1028">
                  <c:v>1030</c:v>
                </c:pt>
                <c:pt idx="1029">
                  <c:v>1031</c:v>
                </c:pt>
                <c:pt idx="1030">
                  <c:v>1032</c:v>
                </c:pt>
                <c:pt idx="1031">
                  <c:v>1033</c:v>
                </c:pt>
                <c:pt idx="1032">
                  <c:v>1034</c:v>
                </c:pt>
                <c:pt idx="1033">
                  <c:v>1035</c:v>
                </c:pt>
                <c:pt idx="1034">
                  <c:v>1036</c:v>
                </c:pt>
                <c:pt idx="1035">
                  <c:v>1037</c:v>
                </c:pt>
                <c:pt idx="1036">
                  <c:v>1038</c:v>
                </c:pt>
                <c:pt idx="1037">
                  <c:v>1039</c:v>
                </c:pt>
                <c:pt idx="1038">
                  <c:v>1040</c:v>
                </c:pt>
                <c:pt idx="1039">
                  <c:v>1041</c:v>
                </c:pt>
                <c:pt idx="1040">
                  <c:v>1042</c:v>
                </c:pt>
                <c:pt idx="1041">
                  <c:v>1043</c:v>
                </c:pt>
                <c:pt idx="1042">
                  <c:v>1044</c:v>
                </c:pt>
                <c:pt idx="1043">
                  <c:v>1045</c:v>
                </c:pt>
                <c:pt idx="1044">
                  <c:v>1046</c:v>
                </c:pt>
                <c:pt idx="1045">
                  <c:v>1047</c:v>
                </c:pt>
                <c:pt idx="1046">
                  <c:v>1048</c:v>
                </c:pt>
                <c:pt idx="1047">
                  <c:v>1049</c:v>
                </c:pt>
                <c:pt idx="1048">
                  <c:v>1050</c:v>
                </c:pt>
                <c:pt idx="1049">
                  <c:v>1051</c:v>
                </c:pt>
                <c:pt idx="1050">
                  <c:v>1052</c:v>
                </c:pt>
                <c:pt idx="1051">
                  <c:v>1053</c:v>
                </c:pt>
                <c:pt idx="1052">
                  <c:v>1054</c:v>
                </c:pt>
                <c:pt idx="1053">
                  <c:v>1055</c:v>
                </c:pt>
                <c:pt idx="1054">
                  <c:v>1056</c:v>
                </c:pt>
                <c:pt idx="1055">
                  <c:v>1057</c:v>
                </c:pt>
                <c:pt idx="1056">
                  <c:v>1058</c:v>
                </c:pt>
                <c:pt idx="1057">
                  <c:v>1059</c:v>
                </c:pt>
                <c:pt idx="1058">
                  <c:v>1060</c:v>
                </c:pt>
                <c:pt idx="1059">
                  <c:v>1061</c:v>
                </c:pt>
                <c:pt idx="1060">
                  <c:v>1062</c:v>
                </c:pt>
                <c:pt idx="1061">
                  <c:v>1063</c:v>
                </c:pt>
                <c:pt idx="1062">
                  <c:v>1064</c:v>
                </c:pt>
                <c:pt idx="1063">
                  <c:v>1065</c:v>
                </c:pt>
                <c:pt idx="1064">
                  <c:v>1066</c:v>
                </c:pt>
                <c:pt idx="1065">
                  <c:v>1067</c:v>
                </c:pt>
                <c:pt idx="1066">
                  <c:v>1068</c:v>
                </c:pt>
                <c:pt idx="1067">
                  <c:v>1069</c:v>
                </c:pt>
                <c:pt idx="1068">
                  <c:v>1070</c:v>
                </c:pt>
                <c:pt idx="1069">
                  <c:v>1071</c:v>
                </c:pt>
                <c:pt idx="1070">
                  <c:v>1072</c:v>
                </c:pt>
                <c:pt idx="1071">
                  <c:v>1073</c:v>
                </c:pt>
                <c:pt idx="1072">
                  <c:v>1074</c:v>
                </c:pt>
                <c:pt idx="1073">
                  <c:v>1075</c:v>
                </c:pt>
                <c:pt idx="1074">
                  <c:v>1076</c:v>
                </c:pt>
                <c:pt idx="1075">
                  <c:v>1077</c:v>
                </c:pt>
                <c:pt idx="1076">
                  <c:v>1078</c:v>
                </c:pt>
                <c:pt idx="1077">
                  <c:v>1079</c:v>
                </c:pt>
                <c:pt idx="1078">
                  <c:v>1080</c:v>
                </c:pt>
                <c:pt idx="1079">
                  <c:v>1081</c:v>
                </c:pt>
                <c:pt idx="1080">
                  <c:v>1082</c:v>
                </c:pt>
                <c:pt idx="1081">
                  <c:v>1083</c:v>
                </c:pt>
                <c:pt idx="1082">
                  <c:v>1084</c:v>
                </c:pt>
                <c:pt idx="1083">
                  <c:v>1085</c:v>
                </c:pt>
                <c:pt idx="1084">
                  <c:v>1086</c:v>
                </c:pt>
                <c:pt idx="1085">
                  <c:v>1087</c:v>
                </c:pt>
                <c:pt idx="1086">
                  <c:v>1088</c:v>
                </c:pt>
                <c:pt idx="1087">
                  <c:v>1089</c:v>
                </c:pt>
                <c:pt idx="1088">
                  <c:v>1090</c:v>
                </c:pt>
                <c:pt idx="1089">
                  <c:v>1091</c:v>
                </c:pt>
                <c:pt idx="1090">
                  <c:v>1092</c:v>
                </c:pt>
                <c:pt idx="1091">
                  <c:v>1093</c:v>
                </c:pt>
                <c:pt idx="1092">
                  <c:v>1094</c:v>
                </c:pt>
                <c:pt idx="1093">
                  <c:v>1095</c:v>
                </c:pt>
                <c:pt idx="1094">
                  <c:v>1096</c:v>
                </c:pt>
                <c:pt idx="1095">
                  <c:v>1097</c:v>
                </c:pt>
                <c:pt idx="1096">
                  <c:v>1098</c:v>
                </c:pt>
                <c:pt idx="1097">
                  <c:v>1099</c:v>
                </c:pt>
                <c:pt idx="1098">
                  <c:v>1100</c:v>
                </c:pt>
                <c:pt idx="1099">
                  <c:v>1101</c:v>
                </c:pt>
                <c:pt idx="1100">
                  <c:v>1102</c:v>
                </c:pt>
                <c:pt idx="1101">
                  <c:v>1103</c:v>
                </c:pt>
                <c:pt idx="1102">
                  <c:v>1104</c:v>
                </c:pt>
                <c:pt idx="1103">
                  <c:v>1105</c:v>
                </c:pt>
                <c:pt idx="1104">
                  <c:v>1106</c:v>
                </c:pt>
                <c:pt idx="1105">
                  <c:v>1107</c:v>
                </c:pt>
                <c:pt idx="1106">
                  <c:v>1108</c:v>
                </c:pt>
                <c:pt idx="1107">
                  <c:v>1109</c:v>
                </c:pt>
                <c:pt idx="1108">
                  <c:v>1110</c:v>
                </c:pt>
                <c:pt idx="1109">
                  <c:v>1111</c:v>
                </c:pt>
                <c:pt idx="1110">
                  <c:v>1112</c:v>
                </c:pt>
                <c:pt idx="1111">
                  <c:v>1113</c:v>
                </c:pt>
                <c:pt idx="1112">
                  <c:v>1114</c:v>
                </c:pt>
                <c:pt idx="1113">
                  <c:v>1115</c:v>
                </c:pt>
                <c:pt idx="1114">
                  <c:v>1116</c:v>
                </c:pt>
                <c:pt idx="1115">
                  <c:v>1117</c:v>
                </c:pt>
                <c:pt idx="1116">
                  <c:v>1118</c:v>
                </c:pt>
                <c:pt idx="1117">
                  <c:v>1119</c:v>
                </c:pt>
                <c:pt idx="1118">
                  <c:v>1120</c:v>
                </c:pt>
                <c:pt idx="1119">
                  <c:v>1121</c:v>
                </c:pt>
                <c:pt idx="1120">
                  <c:v>1122</c:v>
                </c:pt>
                <c:pt idx="1121">
                  <c:v>1123</c:v>
                </c:pt>
                <c:pt idx="1122">
                  <c:v>1124</c:v>
                </c:pt>
                <c:pt idx="1123">
                  <c:v>1125</c:v>
                </c:pt>
                <c:pt idx="1124">
                  <c:v>1126</c:v>
                </c:pt>
                <c:pt idx="1125">
                  <c:v>1127</c:v>
                </c:pt>
                <c:pt idx="1126">
                  <c:v>1128</c:v>
                </c:pt>
                <c:pt idx="1127">
                  <c:v>1129</c:v>
                </c:pt>
                <c:pt idx="1128">
                  <c:v>1130</c:v>
                </c:pt>
                <c:pt idx="1129">
                  <c:v>1131</c:v>
                </c:pt>
                <c:pt idx="1130">
                  <c:v>1132</c:v>
                </c:pt>
                <c:pt idx="1131">
                  <c:v>1133</c:v>
                </c:pt>
                <c:pt idx="1132">
                  <c:v>1134</c:v>
                </c:pt>
                <c:pt idx="1133">
                  <c:v>1135</c:v>
                </c:pt>
                <c:pt idx="1134">
                  <c:v>1136</c:v>
                </c:pt>
                <c:pt idx="1135">
                  <c:v>1137</c:v>
                </c:pt>
                <c:pt idx="1136">
                  <c:v>1138</c:v>
                </c:pt>
                <c:pt idx="1137">
                  <c:v>1139</c:v>
                </c:pt>
                <c:pt idx="1138">
                  <c:v>1140</c:v>
                </c:pt>
                <c:pt idx="1139">
                  <c:v>1141</c:v>
                </c:pt>
                <c:pt idx="1140">
                  <c:v>1142</c:v>
                </c:pt>
                <c:pt idx="1141">
                  <c:v>1143</c:v>
                </c:pt>
                <c:pt idx="1142">
                  <c:v>1144</c:v>
                </c:pt>
                <c:pt idx="1143">
                  <c:v>1145</c:v>
                </c:pt>
                <c:pt idx="1144">
                  <c:v>1146</c:v>
                </c:pt>
                <c:pt idx="1145">
                  <c:v>1147</c:v>
                </c:pt>
                <c:pt idx="1146">
                  <c:v>1148</c:v>
                </c:pt>
                <c:pt idx="1147">
                  <c:v>1149</c:v>
                </c:pt>
                <c:pt idx="1148">
                  <c:v>1150</c:v>
                </c:pt>
                <c:pt idx="1149">
                  <c:v>1151</c:v>
                </c:pt>
                <c:pt idx="1150">
                  <c:v>1152</c:v>
                </c:pt>
                <c:pt idx="1151">
                  <c:v>1153</c:v>
                </c:pt>
                <c:pt idx="1152">
                  <c:v>1154</c:v>
                </c:pt>
                <c:pt idx="1153">
                  <c:v>1155</c:v>
                </c:pt>
                <c:pt idx="1154">
                  <c:v>1156</c:v>
                </c:pt>
                <c:pt idx="1155">
                  <c:v>1157</c:v>
                </c:pt>
                <c:pt idx="1156">
                  <c:v>1158</c:v>
                </c:pt>
                <c:pt idx="1157">
                  <c:v>1159</c:v>
                </c:pt>
                <c:pt idx="1158">
                  <c:v>1160</c:v>
                </c:pt>
                <c:pt idx="1159">
                  <c:v>1161</c:v>
                </c:pt>
                <c:pt idx="1160">
                  <c:v>1162</c:v>
                </c:pt>
                <c:pt idx="1161">
                  <c:v>1163</c:v>
                </c:pt>
                <c:pt idx="1162">
                  <c:v>1164</c:v>
                </c:pt>
                <c:pt idx="1163">
                  <c:v>1165</c:v>
                </c:pt>
                <c:pt idx="1164">
                  <c:v>1166</c:v>
                </c:pt>
                <c:pt idx="1165">
                  <c:v>1167</c:v>
                </c:pt>
                <c:pt idx="1166">
                  <c:v>1168</c:v>
                </c:pt>
                <c:pt idx="1167">
                  <c:v>1169</c:v>
                </c:pt>
                <c:pt idx="1168">
                  <c:v>1170</c:v>
                </c:pt>
                <c:pt idx="1169">
                  <c:v>1171</c:v>
                </c:pt>
                <c:pt idx="1170">
                  <c:v>1172</c:v>
                </c:pt>
                <c:pt idx="1171">
                  <c:v>1173</c:v>
                </c:pt>
                <c:pt idx="1172">
                  <c:v>1174</c:v>
                </c:pt>
                <c:pt idx="1173">
                  <c:v>1175</c:v>
                </c:pt>
                <c:pt idx="1174">
                  <c:v>1176</c:v>
                </c:pt>
                <c:pt idx="1175">
                  <c:v>1177</c:v>
                </c:pt>
                <c:pt idx="1176">
                  <c:v>1178</c:v>
                </c:pt>
                <c:pt idx="1177">
                  <c:v>1179</c:v>
                </c:pt>
                <c:pt idx="1178">
                  <c:v>1180</c:v>
                </c:pt>
                <c:pt idx="1179">
                  <c:v>1181</c:v>
                </c:pt>
                <c:pt idx="1180">
                  <c:v>1182</c:v>
                </c:pt>
                <c:pt idx="1181">
                  <c:v>1183</c:v>
                </c:pt>
                <c:pt idx="1182">
                  <c:v>1184</c:v>
                </c:pt>
                <c:pt idx="1183">
                  <c:v>1185</c:v>
                </c:pt>
                <c:pt idx="1184">
                  <c:v>1186</c:v>
                </c:pt>
                <c:pt idx="1185">
                  <c:v>1187</c:v>
                </c:pt>
                <c:pt idx="1186">
                  <c:v>1188</c:v>
                </c:pt>
                <c:pt idx="1187">
                  <c:v>1189</c:v>
                </c:pt>
                <c:pt idx="1188">
                  <c:v>1190</c:v>
                </c:pt>
                <c:pt idx="1189">
                  <c:v>1191</c:v>
                </c:pt>
                <c:pt idx="1190">
                  <c:v>1192</c:v>
                </c:pt>
                <c:pt idx="1191">
                  <c:v>1193</c:v>
                </c:pt>
                <c:pt idx="1192">
                  <c:v>1194</c:v>
                </c:pt>
                <c:pt idx="1193">
                  <c:v>1195</c:v>
                </c:pt>
                <c:pt idx="1194">
                  <c:v>1196</c:v>
                </c:pt>
                <c:pt idx="1195">
                  <c:v>1197</c:v>
                </c:pt>
                <c:pt idx="1196">
                  <c:v>1198</c:v>
                </c:pt>
                <c:pt idx="1197">
                  <c:v>1199</c:v>
                </c:pt>
                <c:pt idx="1198">
                  <c:v>1200</c:v>
                </c:pt>
                <c:pt idx="1199">
                  <c:v>1201</c:v>
                </c:pt>
                <c:pt idx="1200">
                  <c:v>1202</c:v>
                </c:pt>
                <c:pt idx="1201">
                  <c:v>1203</c:v>
                </c:pt>
                <c:pt idx="1202">
                  <c:v>1204</c:v>
                </c:pt>
                <c:pt idx="1203">
                  <c:v>1205</c:v>
                </c:pt>
                <c:pt idx="1204">
                  <c:v>1206</c:v>
                </c:pt>
                <c:pt idx="1205">
                  <c:v>1207</c:v>
                </c:pt>
                <c:pt idx="1206">
                  <c:v>1208</c:v>
                </c:pt>
                <c:pt idx="1207">
                  <c:v>1209</c:v>
                </c:pt>
                <c:pt idx="1208">
                  <c:v>1210</c:v>
                </c:pt>
                <c:pt idx="1209">
                  <c:v>1211</c:v>
                </c:pt>
                <c:pt idx="1210">
                  <c:v>1212</c:v>
                </c:pt>
                <c:pt idx="1211">
                  <c:v>1213</c:v>
                </c:pt>
                <c:pt idx="1212">
                  <c:v>1214</c:v>
                </c:pt>
                <c:pt idx="1213">
                  <c:v>1215</c:v>
                </c:pt>
                <c:pt idx="1214">
                  <c:v>1216</c:v>
                </c:pt>
                <c:pt idx="1215">
                  <c:v>1217</c:v>
                </c:pt>
                <c:pt idx="1216">
                  <c:v>1218</c:v>
                </c:pt>
                <c:pt idx="1217">
                  <c:v>1219</c:v>
                </c:pt>
                <c:pt idx="1218">
                  <c:v>1220</c:v>
                </c:pt>
                <c:pt idx="1219">
                  <c:v>1221</c:v>
                </c:pt>
                <c:pt idx="1220">
                  <c:v>1222</c:v>
                </c:pt>
                <c:pt idx="1221">
                  <c:v>1223</c:v>
                </c:pt>
                <c:pt idx="1222">
                  <c:v>1224</c:v>
                </c:pt>
                <c:pt idx="1223">
                  <c:v>1225</c:v>
                </c:pt>
                <c:pt idx="1224">
                  <c:v>1226</c:v>
                </c:pt>
                <c:pt idx="1225">
                  <c:v>1227</c:v>
                </c:pt>
                <c:pt idx="1226">
                  <c:v>1228</c:v>
                </c:pt>
                <c:pt idx="1227">
                  <c:v>1229</c:v>
                </c:pt>
                <c:pt idx="1228">
                  <c:v>1230</c:v>
                </c:pt>
                <c:pt idx="1229">
                  <c:v>1231</c:v>
                </c:pt>
                <c:pt idx="1230">
                  <c:v>1232</c:v>
                </c:pt>
                <c:pt idx="1231">
                  <c:v>1233</c:v>
                </c:pt>
                <c:pt idx="1232">
                  <c:v>1234</c:v>
                </c:pt>
                <c:pt idx="1233">
                  <c:v>1235</c:v>
                </c:pt>
                <c:pt idx="1234">
                  <c:v>1236</c:v>
                </c:pt>
                <c:pt idx="1235">
                  <c:v>1237</c:v>
                </c:pt>
                <c:pt idx="1236">
                  <c:v>1238</c:v>
                </c:pt>
                <c:pt idx="1237">
                  <c:v>1239</c:v>
                </c:pt>
                <c:pt idx="1238">
                  <c:v>1240</c:v>
                </c:pt>
                <c:pt idx="1239">
                  <c:v>1241</c:v>
                </c:pt>
                <c:pt idx="1240">
                  <c:v>1242</c:v>
                </c:pt>
                <c:pt idx="1241">
                  <c:v>1243</c:v>
                </c:pt>
                <c:pt idx="1242">
                  <c:v>1244</c:v>
                </c:pt>
                <c:pt idx="1243">
                  <c:v>1245</c:v>
                </c:pt>
                <c:pt idx="1244">
                  <c:v>1246</c:v>
                </c:pt>
                <c:pt idx="1245">
                  <c:v>1247</c:v>
                </c:pt>
                <c:pt idx="1246">
                  <c:v>1248</c:v>
                </c:pt>
                <c:pt idx="1247">
                  <c:v>1249</c:v>
                </c:pt>
                <c:pt idx="1248">
                  <c:v>1250</c:v>
                </c:pt>
                <c:pt idx="1249">
                  <c:v>1251</c:v>
                </c:pt>
                <c:pt idx="1250">
                  <c:v>1252</c:v>
                </c:pt>
                <c:pt idx="1251">
                  <c:v>1253</c:v>
                </c:pt>
                <c:pt idx="1252">
                  <c:v>1254</c:v>
                </c:pt>
                <c:pt idx="1253">
                  <c:v>1255</c:v>
                </c:pt>
                <c:pt idx="1254">
                  <c:v>1256</c:v>
                </c:pt>
                <c:pt idx="1255">
                  <c:v>1257</c:v>
                </c:pt>
                <c:pt idx="1256">
                  <c:v>1258</c:v>
                </c:pt>
                <c:pt idx="1257">
                  <c:v>1259</c:v>
                </c:pt>
                <c:pt idx="1258">
                  <c:v>1260</c:v>
                </c:pt>
                <c:pt idx="1259">
                  <c:v>1261</c:v>
                </c:pt>
                <c:pt idx="1260">
                  <c:v>1262</c:v>
                </c:pt>
                <c:pt idx="1261">
                  <c:v>1263</c:v>
                </c:pt>
                <c:pt idx="1262">
                  <c:v>1264</c:v>
                </c:pt>
                <c:pt idx="1263">
                  <c:v>1265</c:v>
                </c:pt>
                <c:pt idx="1264">
                  <c:v>1266</c:v>
                </c:pt>
                <c:pt idx="1265">
                  <c:v>1267</c:v>
                </c:pt>
                <c:pt idx="1266">
                  <c:v>1268</c:v>
                </c:pt>
                <c:pt idx="1267">
                  <c:v>1269</c:v>
                </c:pt>
                <c:pt idx="1268">
                  <c:v>1270</c:v>
                </c:pt>
                <c:pt idx="1269">
                  <c:v>1271</c:v>
                </c:pt>
                <c:pt idx="1270">
                  <c:v>1272</c:v>
                </c:pt>
                <c:pt idx="1271">
                  <c:v>1273</c:v>
                </c:pt>
                <c:pt idx="1272">
                  <c:v>1274</c:v>
                </c:pt>
                <c:pt idx="1273">
                  <c:v>1275</c:v>
                </c:pt>
                <c:pt idx="1274">
                  <c:v>1276</c:v>
                </c:pt>
                <c:pt idx="1275">
                  <c:v>1277</c:v>
                </c:pt>
                <c:pt idx="1276">
                  <c:v>1278</c:v>
                </c:pt>
                <c:pt idx="1277">
                  <c:v>1279</c:v>
                </c:pt>
                <c:pt idx="1278">
                  <c:v>1280</c:v>
                </c:pt>
                <c:pt idx="1279">
                  <c:v>1281</c:v>
                </c:pt>
                <c:pt idx="1280">
                  <c:v>1282</c:v>
                </c:pt>
                <c:pt idx="1281">
                  <c:v>1283</c:v>
                </c:pt>
                <c:pt idx="1282">
                  <c:v>1284</c:v>
                </c:pt>
                <c:pt idx="1283">
                  <c:v>1285</c:v>
                </c:pt>
                <c:pt idx="1284">
                  <c:v>1286</c:v>
                </c:pt>
                <c:pt idx="1285">
                  <c:v>1287</c:v>
                </c:pt>
                <c:pt idx="1286">
                  <c:v>1288</c:v>
                </c:pt>
                <c:pt idx="1287">
                  <c:v>1289</c:v>
                </c:pt>
                <c:pt idx="1288">
                  <c:v>1290</c:v>
                </c:pt>
                <c:pt idx="1289">
                  <c:v>1291</c:v>
                </c:pt>
                <c:pt idx="1290">
                  <c:v>1292</c:v>
                </c:pt>
                <c:pt idx="1291">
                  <c:v>1293</c:v>
                </c:pt>
                <c:pt idx="1292">
                  <c:v>1294</c:v>
                </c:pt>
                <c:pt idx="1293">
                  <c:v>1295</c:v>
                </c:pt>
                <c:pt idx="1294">
                  <c:v>1296</c:v>
                </c:pt>
                <c:pt idx="1295">
                  <c:v>1297</c:v>
                </c:pt>
                <c:pt idx="1296">
                  <c:v>1298</c:v>
                </c:pt>
                <c:pt idx="1297">
                  <c:v>1299</c:v>
                </c:pt>
                <c:pt idx="1298">
                  <c:v>1300</c:v>
                </c:pt>
                <c:pt idx="1299">
                  <c:v>1301</c:v>
                </c:pt>
                <c:pt idx="1300">
                  <c:v>1302</c:v>
                </c:pt>
                <c:pt idx="1301">
                  <c:v>1303</c:v>
                </c:pt>
                <c:pt idx="1302">
                  <c:v>1304</c:v>
                </c:pt>
                <c:pt idx="1303">
                  <c:v>1305</c:v>
                </c:pt>
                <c:pt idx="1304">
                  <c:v>1306</c:v>
                </c:pt>
                <c:pt idx="1305">
                  <c:v>1307</c:v>
                </c:pt>
                <c:pt idx="1306">
                  <c:v>1308</c:v>
                </c:pt>
                <c:pt idx="1307">
                  <c:v>1309</c:v>
                </c:pt>
                <c:pt idx="1308">
                  <c:v>1310</c:v>
                </c:pt>
                <c:pt idx="1309">
                  <c:v>1311</c:v>
                </c:pt>
                <c:pt idx="1310">
                  <c:v>1312</c:v>
                </c:pt>
                <c:pt idx="1311">
                  <c:v>1313</c:v>
                </c:pt>
                <c:pt idx="1312">
                  <c:v>1314</c:v>
                </c:pt>
                <c:pt idx="1313">
                  <c:v>1315</c:v>
                </c:pt>
                <c:pt idx="1314">
                  <c:v>1316</c:v>
                </c:pt>
                <c:pt idx="1315">
                  <c:v>1317</c:v>
                </c:pt>
                <c:pt idx="1316">
                  <c:v>1318</c:v>
                </c:pt>
                <c:pt idx="1317">
                  <c:v>1319</c:v>
                </c:pt>
                <c:pt idx="1318">
                  <c:v>1320</c:v>
                </c:pt>
                <c:pt idx="1319">
                  <c:v>1321</c:v>
                </c:pt>
                <c:pt idx="1320">
                  <c:v>1322</c:v>
                </c:pt>
                <c:pt idx="1321">
                  <c:v>1323</c:v>
                </c:pt>
                <c:pt idx="1322">
                  <c:v>1324</c:v>
                </c:pt>
                <c:pt idx="1323">
                  <c:v>1325</c:v>
                </c:pt>
                <c:pt idx="1324">
                  <c:v>1326</c:v>
                </c:pt>
                <c:pt idx="1325">
                  <c:v>1327</c:v>
                </c:pt>
                <c:pt idx="1326">
                  <c:v>1328</c:v>
                </c:pt>
                <c:pt idx="1327">
                  <c:v>1329</c:v>
                </c:pt>
                <c:pt idx="1328">
                  <c:v>1330</c:v>
                </c:pt>
                <c:pt idx="1329">
                  <c:v>1331</c:v>
                </c:pt>
                <c:pt idx="1330">
                  <c:v>1332</c:v>
                </c:pt>
                <c:pt idx="1331">
                  <c:v>1333</c:v>
                </c:pt>
                <c:pt idx="1332">
                  <c:v>1334</c:v>
                </c:pt>
                <c:pt idx="1333">
                  <c:v>1335</c:v>
                </c:pt>
                <c:pt idx="1334">
                  <c:v>1336</c:v>
                </c:pt>
                <c:pt idx="1335">
                  <c:v>1337</c:v>
                </c:pt>
                <c:pt idx="1336">
                  <c:v>1338</c:v>
                </c:pt>
                <c:pt idx="1337">
                  <c:v>1339</c:v>
                </c:pt>
                <c:pt idx="1338">
                  <c:v>1340</c:v>
                </c:pt>
                <c:pt idx="1339">
                  <c:v>1341</c:v>
                </c:pt>
                <c:pt idx="1340">
                  <c:v>1342</c:v>
                </c:pt>
                <c:pt idx="1341">
                  <c:v>1343</c:v>
                </c:pt>
                <c:pt idx="1342">
                  <c:v>1344</c:v>
                </c:pt>
                <c:pt idx="1343">
                  <c:v>1345</c:v>
                </c:pt>
                <c:pt idx="1344">
                  <c:v>1346</c:v>
                </c:pt>
                <c:pt idx="1345">
                  <c:v>1347</c:v>
                </c:pt>
                <c:pt idx="1346">
                  <c:v>1348</c:v>
                </c:pt>
                <c:pt idx="1347">
                  <c:v>1349</c:v>
                </c:pt>
                <c:pt idx="1348">
                  <c:v>1350</c:v>
                </c:pt>
                <c:pt idx="1349">
                  <c:v>1351</c:v>
                </c:pt>
                <c:pt idx="1350">
                  <c:v>1352</c:v>
                </c:pt>
                <c:pt idx="1351">
                  <c:v>1353</c:v>
                </c:pt>
                <c:pt idx="1352">
                  <c:v>1354</c:v>
                </c:pt>
                <c:pt idx="1353">
                  <c:v>1355</c:v>
                </c:pt>
                <c:pt idx="1354">
                  <c:v>1356</c:v>
                </c:pt>
                <c:pt idx="1355">
                  <c:v>1357</c:v>
                </c:pt>
                <c:pt idx="1356">
                  <c:v>1358</c:v>
                </c:pt>
                <c:pt idx="1357">
                  <c:v>1359</c:v>
                </c:pt>
                <c:pt idx="1358">
                  <c:v>1360</c:v>
                </c:pt>
                <c:pt idx="1359">
                  <c:v>1361</c:v>
                </c:pt>
                <c:pt idx="1360">
                  <c:v>1362</c:v>
                </c:pt>
                <c:pt idx="1361">
                  <c:v>1363</c:v>
                </c:pt>
                <c:pt idx="1362">
                  <c:v>1364</c:v>
                </c:pt>
                <c:pt idx="1363">
                  <c:v>1365</c:v>
                </c:pt>
                <c:pt idx="1364">
                  <c:v>1366</c:v>
                </c:pt>
                <c:pt idx="1365">
                  <c:v>1367</c:v>
                </c:pt>
                <c:pt idx="1366">
                  <c:v>1368</c:v>
                </c:pt>
                <c:pt idx="1367">
                  <c:v>1369</c:v>
                </c:pt>
                <c:pt idx="1368">
                  <c:v>1370</c:v>
                </c:pt>
                <c:pt idx="1369">
                  <c:v>1371</c:v>
                </c:pt>
                <c:pt idx="1370">
                  <c:v>1372</c:v>
                </c:pt>
                <c:pt idx="1371">
                  <c:v>1373</c:v>
                </c:pt>
                <c:pt idx="1372">
                  <c:v>1374</c:v>
                </c:pt>
                <c:pt idx="1373">
                  <c:v>1375</c:v>
                </c:pt>
                <c:pt idx="1374">
                  <c:v>1376</c:v>
                </c:pt>
                <c:pt idx="1375">
                  <c:v>1377</c:v>
                </c:pt>
                <c:pt idx="1376">
                  <c:v>1378</c:v>
                </c:pt>
                <c:pt idx="1377">
                  <c:v>1379</c:v>
                </c:pt>
                <c:pt idx="1378">
                  <c:v>1380</c:v>
                </c:pt>
                <c:pt idx="1379">
                  <c:v>1381</c:v>
                </c:pt>
                <c:pt idx="1380">
                  <c:v>1382</c:v>
                </c:pt>
                <c:pt idx="1381">
                  <c:v>1383</c:v>
                </c:pt>
                <c:pt idx="1382">
                  <c:v>1384</c:v>
                </c:pt>
                <c:pt idx="1383">
                  <c:v>1385</c:v>
                </c:pt>
                <c:pt idx="1384">
                  <c:v>1386</c:v>
                </c:pt>
                <c:pt idx="1385">
                  <c:v>1387</c:v>
                </c:pt>
                <c:pt idx="1386">
                  <c:v>1388</c:v>
                </c:pt>
                <c:pt idx="1387">
                  <c:v>1389</c:v>
                </c:pt>
                <c:pt idx="1388">
                  <c:v>1390</c:v>
                </c:pt>
                <c:pt idx="1389">
                  <c:v>1391</c:v>
                </c:pt>
                <c:pt idx="1390">
                  <c:v>1392</c:v>
                </c:pt>
                <c:pt idx="1391">
                  <c:v>1393</c:v>
                </c:pt>
                <c:pt idx="1392">
                  <c:v>1394</c:v>
                </c:pt>
                <c:pt idx="1393">
                  <c:v>1395</c:v>
                </c:pt>
                <c:pt idx="1394">
                  <c:v>1396</c:v>
                </c:pt>
                <c:pt idx="1395">
                  <c:v>1397</c:v>
                </c:pt>
                <c:pt idx="1396">
                  <c:v>1398</c:v>
                </c:pt>
                <c:pt idx="1397">
                  <c:v>1399</c:v>
                </c:pt>
                <c:pt idx="1398">
                  <c:v>1400</c:v>
                </c:pt>
                <c:pt idx="1399">
                  <c:v>1401</c:v>
                </c:pt>
                <c:pt idx="1400">
                  <c:v>1402</c:v>
                </c:pt>
                <c:pt idx="1401">
                  <c:v>1403</c:v>
                </c:pt>
                <c:pt idx="1402">
                  <c:v>1404</c:v>
                </c:pt>
                <c:pt idx="1403">
                  <c:v>1405</c:v>
                </c:pt>
                <c:pt idx="1404">
                  <c:v>1406</c:v>
                </c:pt>
                <c:pt idx="1405">
                  <c:v>1407</c:v>
                </c:pt>
                <c:pt idx="1406">
                  <c:v>1408</c:v>
                </c:pt>
                <c:pt idx="1407">
                  <c:v>1409</c:v>
                </c:pt>
                <c:pt idx="1408">
                  <c:v>1410</c:v>
                </c:pt>
                <c:pt idx="1409">
                  <c:v>1411</c:v>
                </c:pt>
                <c:pt idx="1410">
                  <c:v>1412</c:v>
                </c:pt>
                <c:pt idx="1411">
                  <c:v>1413</c:v>
                </c:pt>
                <c:pt idx="1412">
                  <c:v>1414</c:v>
                </c:pt>
                <c:pt idx="1413">
                  <c:v>1415</c:v>
                </c:pt>
                <c:pt idx="1414">
                  <c:v>1416</c:v>
                </c:pt>
                <c:pt idx="1415">
                  <c:v>1417</c:v>
                </c:pt>
                <c:pt idx="1416">
                  <c:v>1418</c:v>
                </c:pt>
                <c:pt idx="1417">
                  <c:v>1419</c:v>
                </c:pt>
                <c:pt idx="1418">
                  <c:v>1420</c:v>
                </c:pt>
                <c:pt idx="1419">
                  <c:v>1421</c:v>
                </c:pt>
                <c:pt idx="1420">
                  <c:v>1422</c:v>
                </c:pt>
                <c:pt idx="1421">
                  <c:v>1423</c:v>
                </c:pt>
                <c:pt idx="1422">
                  <c:v>1424</c:v>
                </c:pt>
                <c:pt idx="1423">
                  <c:v>1425</c:v>
                </c:pt>
                <c:pt idx="1424">
                  <c:v>1426</c:v>
                </c:pt>
                <c:pt idx="1425">
                  <c:v>1427</c:v>
                </c:pt>
                <c:pt idx="1426">
                  <c:v>1428</c:v>
                </c:pt>
                <c:pt idx="1427">
                  <c:v>1429</c:v>
                </c:pt>
                <c:pt idx="1428">
                  <c:v>1430</c:v>
                </c:pt>
                <c:pt idx="1429">
                  <c:v>1431</c:v>
                </c:pt>
                <c:pt idx="1430">
                  <c:v>1432</c:v>
                </c:pt>
                <c:pt idx="1431">
                  <c:v>1433</c:v>
                </c:pt>
                <c:pt idx="1432">
                  <c:v>1434</c:v>
                </c:pt>
                <c:pt idx="1433">
                  <c:v>1435</c:v>
                </c:pt>
                <c:pt idx="1434">
                  <c:v>1436</c:v>
                </c:pt>
                <c:pt idx="1435">
                  <c:v>1437</c:v>
                </c:pt>
                <c:pt idx="1436">
                  <c:v>1438</c:v>
                </c:pt>
                <c:pt idx="1437">
                  <c:v>1439</c:v>
                </c:pt>
                <c:pt idx="1438">
                  <c:v>1440</c:v>
                </c:pt>
                <c:pt idx="1439">
                  <c:v>1441</c:v>
                </c:pt>
                <c:pt idx="1440">
                  <c:v>1442</c:v>
                </c:pt>
                <c:pt idx="1441">
                  <c:v>1443</c:v>
                </c:pt>
                <c:pt idx="1442">
                  <c:v>1444</c:v>
                </c:pt>
                <c:pt idx="1443">
                  <c:v>1445</c:v>
                </c:pt>
                <c:pt idx="1444">
                  <c:v>1446</c:v>
                </c:pt>
                <c:pt idx="1445">
                  <c:v>1447</c:v>
                </c:pt>
                <c:pt idx="1446">
                  <c:v>1448</c:v>
                </c:pt>
                <c:pt idx="1447">
                  <c:v>1449</c:v>
                </c:pt>
                <c:pt idx="1448">
                  <c:v>1450</c:v>
                </c:pt>
                <c:pt idx="1449">
                  <c:v>1451</c:v>
                </c:pt>
                <c:pt idx="1450">
                  <c:v>1452</c:v>
                </c:pt>
                <c:pt idx="1451">
                  <c:v>1453</c:v>
                </c:pt>
                <c:pt idx="1452">
                  <c:v>1454</c:v>
                </c:pt>
                <c:pt idx="1453">
                  <c:v>1455</c:v>
                </c:pt>
                <c:pt idx="1454">
                  <c:v>1456</c:v>
                </c:pt>
                <c:pt idx="1455">
                  <c:v>1457</c:v>
                </c:pt>
                <c:pt idx="1456">
                  <c:v>1458</c:v>
                </c:pt>
                <c:pt idx="1457">
                  <c:v>1459</c:v>
                </c:pt>
                <c:pt idx="1458">
                  <c:v>1460</c:v>
                </c:pt>
                <c:pt idx="1459">
                  <c:v>1461</c:v>
                </c:pt>
                <c:pt idx="1460">
                  <c:v>1462</c:v>
                </c:pt>
                <c:pt idx="1461">
                  <c:v>1463</c:v>
                </c:pt>
                <c:pt idx="1462">
                  <c:v>1464</c:v>
                </c:pt>
                <c:pt idx="1463">
                  <c:v>1465</c:v>
                </c:pt>
                <c:pt idx="1464">
                  <c:v>1466</c:v>
                </c:pt>
                <c:pt idx="1465">
                  <c:v>1467</c:v>
                </c:pt>
                <c:pt idx="1466">
                  <c:v>1468</c:v>
                </c:pt>
                <c:pt idx="1467">
                  <c:v>1469</c:v>
                </c:pt>
                <c:pt idx="1468">
                  <c:v>1470</c:v>
                </c:pt>
                <c:pt idx="1469">
                  <c:v>1471</c:v>
                </c:pt>
                <c:pt idx="1470">
                  <c:v>1472</c:v>
                </c:pt>
                <c:pt idx="1471">
                  <c:v>1473</c:v>
                </c:pt>
                <c:pt idx="1472">
                  <c:v>1474</c:v>
                </c:pt>
                <c:pt idx="1473">
                  <c:v>1475</c:v>
                </c:pt>
                <c:pt idx="1474">
                  <c:v>1476</c:v>
                </c:pt>
                <c:pt idx="1475">
                  <c:v>1477</c:v>
                </c:pt>
                <c:pt idx="1476">
                  <c:v>1478</c:v>
                </c:pt>
                <c:pt idx="1477">
                  <c:v>1479</c:v>
                </c:pt>
                <c:pt idx="1478">
                  <c:v>1480</c:v>
                </c:pt>
                <c:pt idx="1479">
                  <c:v>1481</c:v>
                </c:pt>
                <c:pt idx="1480">
                  <c:v>1482</c:v>
                </c:pt>
                <c:pt idx="1481">
                  <c:v>1483</c:v>
                </c:pt>
                <c:pt idx="1482">
                  <c:v>1484</c:v>
                </c:pt>
                <c:pt idx="1483">
                  <c:v>1485</c:v>
                </c:pt>
                <c:pt idx="1484">
                  <c:v>1486</c:v>
                </c:pt>
                <c:pt idx="1485">
                  <c:v>1487</c:v>
                </c:pt>
                <c:pt idx="1486">
                  <c:v>1488</c:v>
                </c:pt>
                <c:pt idx="1487">
                  <c:v>1489</c:v>
                </c:pt>
                <c:pt idx="1488">
                  <c:v>1490</c:v>
                </c:pt>
                <c:pt idx="1489">
                  <c:v>1491</c:v>
                </c:pt>
                <c:pt idx="1490">
                  <c:v>1492</c:v>
                </c:pt>
                <c:pt idx="1491">
                  <c:v>1493</c:v>
                </c:pt>
                <c:pt idx="1492">
                  <c:v>1494</c:v>
                </c:pt>
                <c:pt idx="1493">
                  <c:v>1495</c:v>
                </c:pt>
                <c:pt idx="1494">
                  <c:v>1496</c:v>
                </c:pt>
                <c:pt idx="1495">
                  <c:v>1497</c:v>
                </c:pt>
                <c:pt idx="1496">
                  <c:v>1498</c:v>
                </c:pt>
                <c:pt idx="1497">
                  <c:v>1499</c:v>
                </c:pt>
                <c:pt idx="1498">
                  <c:v>1500</c:v>
                </c:pt>
                <c:pt idx="1499">
                  <c:v>1501</c:v>
                </c:pt>
                <c:pt idx="1500">
                  <c:v>1502</c:v>
                </c:pt>
                <c:pt idx="1501">
                  <c:v>1503</c:v>
                </c:pt>
                <c:pt idx="1502">
                  <c:v>1504</c:v>
                </c:pt>
                <c:pt idx="1503">
                  <c:v>1505</c:v>
                </c:pt>
                <c:pt idx="1504">
                  <c:v>1506</c:v>
                </c:pt>
                <c:pt idx="1505">
                  <c:v>1507</c:v>
                </c:pt>
                <c:pt idx="1506">
                  <c:v>1508</c:v>
                </c:pt>
                <c:pt idx="1507">
                  <c:v>1509</c:v>
                </c:pt>
                <c:pt idx="1508">
                  <c:v>1510</c:v>
                </c:pt>
                <c:pt idx="1509">
                  <c:v>1511</c:v>
                </c:pt>
                <c:pt idx="1510">
                  <c:v>1512</c:v>
                </c:pt>
                <c:pt idx="1511">
                  <c:v>1513</c:v>
                </c:pt>
                <c:pt idx="1512">
                  <c:v>1514</c:v>
                </c:pt>
                <c:pt idx="1513">
                  <c:v>1515</c:v>
                </c:pt>
                <c:pt idx="1514">
                  <c:v>1516</c:v>
                </c:pt>
                <c:pt idx="1515">
                  <c:v>1517</c:v>
                </c:pt>
                <c:pt idx="1516">
                  <c:v>1518</c:v>
                </c:pt>
                <c:pt idx="1517">
                  <c:v>1519</c:v>
                </c:pt>
                <c:pt idx="1518">
                  <c:v>1520</c:v>
                </c:pt>
                <c:pt idx="1519">
                  <c:v>1521</c:v>
                </c:pt>
                <c:pt idx="1520">
                  <c:v>1522</c:v>
                </c:pt>
                <c:pt idx="1521">
                  <c:v>1523</c:v>
                </c:pt>
                <c:pt idx="1522">
                  <c:v>1524</c:v>
                </c:pt>
                <c:pt idx="1523">
                  <c:v>1525</c:v>
                </c:pt>
                <c:pt idx="1524">
                  <c:v>1526</c:v>
                </c:pt>
                <c:pt idx="1525">
                  <c:v>1527</c:v>
                </c:pt>
                <c:pt idx="1526">
                  <c:v>1528</c:v>
                </c:pt>
                <c:pt idx="1527">
                  <c:v>1529</c:v>
                </c:pt>
                <c:pt idx="1528">
                  <c:v>1530</c:v>
                </c:pt>
                <c:pt idx="1529">
                  <c:v>1531</c:v>
                </c:pt>
                <c:pt idx="1530">
                  <c:v>1532</c:v>
                </c:pt>
                <c:pt idx="1531">
                  <c:v>1533</c:v>
                </c:pt>
                <c:pt idx="1532">
                  <c:v>1534</c:v>
                </c:pt>
                <c:pt idx="1533">
                  <c:v>1535</c:v>
                </c:pt>
                <c:pt idx="1534">
                  <c:v>1536</c:v>
                </c:pt>
                <c:pt idx="1535">
                  <c:v>1537</c:v>
                </c:pt>
                <c:pt idx="1536">
                  <c:v>1538</c:v>
                </c:pt>
                <c:pt idx="1537">
                  <c:v>1539</c:v>
                </c:pt>
                <c:pt idx="1538">
                  <c:v>1540</c:v>
                </c:pt>
                <c:pt idx="1539">
                  <c:v>1541</c:v>
                </c:pt>
                <c:pt idx="1540">
                  <c:v>1542</c:v>
                </c:pt>
                <c:pt idx="1541">
                  <c:v>1543</c:v>
                </c:pt>
                <c:pt idx="1542">
                  <c:v>1544</c:v>
                </c:pt>
                <c:pt idx="1543">
                  <c:v>1545</c:v>
                </c:pt>
                <c:pt idx="1544">
                  <c:v>1546</c:v>
                </c:pt>
                <c:pt idx="1545">
                  <c:v>1547</c:v>
                </c:pt>
                <c:pt idx="1546">
                  <c:v>1548</c:v>
                </c:pt>
                <c:pt idx="1547">
                  <c:v>1549</c:v>
                </c:pt>
                <c:pt idx="1548">
                  <c:v>1550</c:v>
                </c:pt>
                <c:pt idx="1549">
                  <c:v>1551</c:v>
                </c:pt>
                <c:pt idx="1550">
                  <c:v>1552</c:v>
                </c:pt>
                <c:pt idx="1551">
                  <c:v>1553</c:v>
                </c:pt>
                <c:pt idx="1552">
                  <c:v>1554</c:v>
                </c:pt>
                <c:pt idx="1553">
                  <c:v>1555</c:v>
                </c:pt>
                <c:pt idx="1554">
                  <c:v>1556</c:v>
                </c:pt>
                <c:pt idx="1555">
                  <c:v>1557</c:v>
                </c:pt>
                <c:pt idx="1556">
                  <c:v>1558</c:v>
                </c:pt>
                <c:pt idx="1557">
                  <c:v>1559</c:v>
                </c:pt>
                <c:pt idx="1558">
                  <c:v>1560</c:v>
                </c:pt>
                <c:pt idx="1559">
                  <c:v>1561</c:v>
                </c:pt>
                <c:pt idx="1560">
                  <c:v>1562</c:v>
                </c:pt>
                <c:pt idx="1561">
                  <c:v>1563</c:v>
                </c:pt>
                <c:pt idx="1562">
                  <c:v>1564</c:v>
                </c:pt>
                <c:pt idx="1563">
                  <c:v>1565</c:v>
                </c:pt>
                <c:pt idx="1564">
                  <c:v>1566</c:v>
                </c:pt>
                <c:pt idx="1565">
                  <c:v>1567</c:v>
                </c:pt>
                <c:pt idx="1566">
                  <c:v>1568</c:v>
                </c:pt>
                <c:pt idx="1567">
                  <c:v>1569</c:v>
                </c:pt>
                <c:pt idx="1568">
                  <c:v>1570</c:v>
                </c:pt>
                <c:pt idx="1569">
                  <c:v>1571</c:v>
                </c:pt>
                <c:pt idx="1570">
                  <c:v>1572</c:v>
                </c:pt>
                <c:pt idx="1571">
                  <c:v>1573</c:v>
                </c:pt>
                <c:pt idx="1572">
                  <c:v>1574</c:v>
                </c:pt>
                <c:pt idx="1573">
                  <c:v>1575</c:v>
                </c:pt>
                <c:pt idx="1574">
                  <c:v>1576</c:v>
                </c:pt>
                <c:pt idx="1575">
                  <c:v>1577</c:v>
                </c:pt>
                <c:pt idx="1576">
                  <c:v>1578</c:v>
                </c:pt>
                <c:pt idx="1577">
                  <c:v>1579</c:v>
                </c:pt>
                <c:pt idx="1578">
                  <c:v>1580</c:v>
                </c:pt>
                <c:pt idx="1579">
                  <c:v>1581</c:v>
                </c:pt>
                <c:pt idx="1580">
                  <c:v>1582</c:v>
                </c:pt>
                <c:pt idx="1581">
                  <c:v>1583</c:v>
                </c:pt>
                <c:pt idx="1582">
                  <c:v>1584</c:v>
                </c:pt>
                <c:pt idx="1583">
                  <c:v>1585</c:v>
                </c:pt>
                <c:pt idx="1584">
                  <c:v>1586</c:v>
                </c:pt>
                <c:pt idx="1585">
                  <c:v>1587</c:v>
                </c:pt>
                <c:pt idx="1586">
                  <c:v>1588</c:v>
                </c:pt>
                <c:pt idx="1587">
                  <c:v>1589</c:v>
                </c:pt>
                <c:pt idx="1588">
                  <c:v>1590</c:v>
                </c:pt>
                <c:pt idx="1589">
                  <c:v>1591</c:v>
                </c:pt>
                <c:pt idx="1590">
                  <c:v>1592</c:v>
                </c:pt>
                <c:pt idx="1591">
                  <c:v>1593</c:v>
                </c:pt>
                <c:pt idx="1592">
                  <c:v>1594</c:v>
                </c:pt>
                <c:pt idx="1593">
                  <c:v>1595</c:v>
                </c:pt>
                <c:pt idx="1594">
                  <c:v>1596</c:v>
                </c:pt>
                <c:pt idx="1595">
                  <c:v>1597</c:v>
                </c:pt>
                <c:pt idx="1596">
                  <c:v>1598</c:v>
                </c:pt>
                <c:pt idx="1597">
                  <c:v>1599</c:v>
                </c:pt>
                <c:pt idx="1598">
                  <c:v>1600</c:v>
                </c:pt>
                <c:pt idx="1599">
                  <c:v>1601</c:v>
                </c:pt>
                <c:pt idx="1600">
                  <c:v>1602</c:v>
                </c:pt>
                <c:pt idx="1601">
                  <c:v>1603</c:v>
                </c:pt>
                <c:pt idx="1602">
                  <c:v>1604</c:v>
                </c:pt>
                <c:pt idx="1603">
                  <c:v>1605</c:v>
                </c:pt>
                <c:pt idx="1604">
                  <c:v>1606</c:v>
                </c:pt>
                <c:pt idx="1605">
                  <c:v>1607</c:v>
                </c:pt>
                <c:pt idx="1606">
                  <c:v>1608</c:v>
                </c:pt>
                <c:pt idx="1607">
                  <c:v>1609</c:v>
                </c:pt>
                <c:pt idx="1608">
                  <c:v>1610</c:v>
                </c:pt>
                <c:pt idx="1609">
                  <c:v>1611</c:v>
                </c:pt>
                <c:pt idx="1610">
                  <c:v>1612</c:v>
                </c:pt>
                <c:pt idx="1611">
                  <c:v>1613</c:v>
                </c:pt>
                <c:pt idx="1612">
                  <c:v>1614</c:v>
                </c:pt>
                <c:pt idx="1613">
                  <c:v>1615</c:v>
                </c:pt>
                <c:pt idx="1614">
                  <c:v>1616</c:v>
                </c:pt>
                <c:pt idx="1615">
                  <c:v>1617</c:v>
                </c:pt>
                <c:pt idx="1616">
                  <c:v>1618</c:v>
                </c:pt>
                <c:pt idx="1617">
                  <c:v>1619</c:v>
                </c:pt>
                <c:pt idx="1618">
                  <c:v>1620</c:v>
                </c:pt>
                <c:pt idx="1619">
                  <c:v>1621</c:v>
                </c:pt>
                <c:pt idx="1620">
                  <c:v>1622</c:v>
                </c:pt>
                <c:pt idx="1621">
                  <c:v>1623</c:v>
                </c:pt>
                <c:pt idx="1622">
                  <c:v>1624</c:v>
                </c:pt>
                <c:pt idx="1623">
                  <c:v>1625</c:v>
                </c:pt>
                <c:pt idx="1624">
                  <c:v>1626</c:v>
                </c:pt>
                <c:pt idx="1625">
                  <c:v>1627</c:v>
                </c:pt>
                <c:pt idx="1626">
                  <c:v>1628</c:v>
                </c:pt>
                <c:pt idx="1627">
                  <c:v>1629</c:v>
                </c:pt>
                <c:pt idx="1628">
                  <c:v>1630</c:v>
                </c:pt>
                <c:pt idx="1629">
                  <c:v>1631</c:v>
                </c:pt>
                <c:pt idx="1630">
                  <c:v>1632</c:v>
                </c:pt>
                <c:pt idx="1631">
                  <c:v>1633</c:v>
                </c:pt>
                <c:pt idx="1632">
                  <c:v>1634</c:v>
                </c:pt>
                <c:pt idx="1633">
                  <c:v>1635</c:v>
                </c:pt>
                <c:pt idx="1634">
                  <c:v>1636</c:v>
                </c:pt>
                <c:pt idx="1635">
                  <c:v>1637</c:v>
                </c:pt>
                <c:pt idx="1636">
                  <c:v>1638</c:v>
                </c:pt>
                <c:pt idx="1637">
                  <c:v>1639</c:v>
                </c:pt>
                <c:pt idx="1638">
                  <c:v>1640</c:v>
                </c:pt>
                <c:pt idx="1639">
                  <c:v>1641</c:v>
                </c:pt>
                <c:pt idx="1640">
                  <c:v>1642</c:v>
                </c:pt>
                <c:pt idx="1641">
                  <c:v>1643</c:v>
                </c:pt>
                <c:pt idx="1642">
                  <c:v>1644</c:v>
                </c:pt>
                <c:pt idx="1643">
                  <c:v>1645</c:v>
                </c:pt>
                <c:pt idx="1644">
                  <c:v>1646</c:v>
                </c:pt>
                <c:pt idx="1645">
                  <c:v>1647</c:v>
                </c:pt>
                <c:pt idx="1646">
                  <c:v>1648</c:v>
                </c:pt>
                <c:pt idx="1647">
                  <c:v>1649</c:v>
                </c:pt>
                <c:pt idx="1648">
                  <c:v>1650</c:v>
                </c:pt>
                <c:pt idx="1649">
                  <c:v>1651</c:v>
                </c:pt>
                <c:pt idx="1650">
                  <c:v>1652</c:v>
                </c:pt>
                <c:pt idx="1651">
                  <c:v>1653</c:v>
                </c:pt>
                <c:pt idx="1652">
                  <c:v>1654</c:v>
                </c:pt>
                <c:pt idx="1653">
                  <c:v>1655</c:v>
                </c:pt>
                <c:pt idx="1654">
                  <c:v>1656</c:v>
                </c:pt>
                <c:pt idx="1655">
                  <c:v>1657</c:v>
                </c:pt>
                <c:pt idx="1656">
                  <c:v>1658</c:v>
                </c:pt>
                <c:pt idx="1657">
                  <c:v>1659</c:v>
                </c:pt>
                <c:pt idx="1658">
                  <c:v>1660</c:v>
                </c:pt>
                <c:pt idx="1659">
                  <c:v>1661</c:v>
                </c:pt>
                <c:pt idx="1660">
                  <c:v>1662</c:v>
                </c:pt>
                <c:pt idx="1661">
                  <c:v>1663</c:v>
                </c:pt>
                <c:pt idx="1662">
                  <c:v>1664</c:v>
                </c:pt>
                <c:pt idx="1663">
                  <c:v>1665</c:v>
                </c:pt>
                <c:pt idx="1664">
                  <c:v>1666</c:v>
                </c:pt>
                <c:pt idx="1665">
                  <c:v>1667</c:v>
                </c:pt>
                <c:pt idx="1666">
                  <c:v>1668</c:v>
                </c:pt>
                <c:pt idx="1667">
                  <c:v>1669</c:v>
                </c:pt>
                <c:pt idx="1668">
                  <c:v>1670</c:v>
                </c:pt>
                <c:pt idx="1669">
                  <c:v>1671</c:v>
                </c:pt>
                <c:pt idx="1670">
                  <c:v>1672</c:v>
                </c:pt>
                <c:pt idx="1671">
                  <c:v>1673</c:v>
                </c:pt>
                <c:pt idx="1672">
                  <c:v>1674</c:v>
                </c:pt>
                <c:pt idx="1673">
                  <c:v>1675</c:v>
                </c:pt>
                <c:pt idx="1674">
                  <c:v>1676</c:v>
                </c:pt>
                <c:pt idx="1675">
                  <c:v>1677</c:v>
                </c:pt>
                <c:pt idx="1676">
                  <c:v>1678</c:v>
                </c:pt>
                <c:pt idx="1677">
                  <c:v>1679</c:v>
                </c:pt>
                <c:pt idx="1678">
                  <c:v>1680</c:v>
                </c:pt>
                <c:pt idx="1679">
                  <c:v>1681</c:v>
                </c:pt>
                <c:pt idx="1680">
                  <c:v>1682</c:v>
                </c:pt>
                <c:pt idx="1681">
                  <c:v>1683</c:v>
                </c:pt>
                <c:pt idx="1682">
                  <c:v>1684</c:v>
                </c:pt>
                <c:pt idx="1683">
                  <c:v>1685</c:v>
                </c:pt>
                <c:pt idx="1684">
                  <c:v>1686</c:v>
                </c:pt>
                <c:pt idx="1685">
                  <c:v>1687</c:v>
                </c:pt>
                <c:pt idx="1686">
                  <c:v>1688</c:v>
                </c:pt>
                <c:pt idx="1687">
                  <c:v>1689</c:v>
                </c:pt>
                <c:pt idx="1688">
                  <c:v>1690</c:v>
                </c:pt>
                <c:pt idx="1689">
                  <c:v>1691</c:v>
                </c:pt>
                <c:pt idx="1690">
                  <c:v>1692</c:v>
                </c:pt>
                <c:pt idx="1691">
                  <c:v>1693</c:v>
                </c:pt>
                <c:pt idx="1692">
                  <c:v>1694</c:v>
                </c:pt>
                <c:pt idx="1693">
                  <c:v>1695</c:v>
                </c:pt>
                <c:pt idx="1694">
                  <c:v>1696</c:v>
                </c:pt>
                <c:pt idx="1695">
                  <c:v>1697</c:v>
                </c:pt>
                <c:pt idx="1696">
                  <c:v>1698</c:v>
                </c:pt>
                <c:pt idx="1697">
                  <c:v>1699</c:v>
                </c:pt>
                <c:pt idx="1698">
                  <c:v>1700</c:v>
                </c:pt>
                <c:pt idx="1699">
                  <c:v>1701</c:v>
                </c:pt>
                <c:pt idx="1700">
                  <c:v>1702</c:v>
                </c:pt>
                <c:pt idx="1701">
                  <c:v>1703</c:v>
                </c:pt>
                <c:pt idx="1702">
                  <c:v>1704</c:v>
                </c:pt>
                <c:pt idx="1703">
                  <c:v>1705</c:v>
                </c:pt>
                <c:pt idx="1704">
                  <c:v>1706</c:v>
                </c:pt>
                <c:pt idx="1705">
                  <c:v>1707</c:v>
                </c:pt>
                <c:pt idx="1706">
                  <c:v>1708</c:v>
                </c:pt>
                <c:pt idx="1707">
                  <c:v>1709</c:v>
                </c:pt>
                <c:pt idx="1708">
                  <c:v>1710</c:v>
                </c:pt>
                <c:pt idx="1709">
                  <c:v>1711</c:v>
                </c:pt>
                <c:pt idx="1710">
                  <c:v>1712</c:v>
                </c:pt>
                <c:pt idx="1711">
                  <c:v>1713</c:v>
                </c:pt>
                <c:pt idx="1712">
                  <c:v>1714</c:v>
                </c:pt>
                <c:pt idx="1713">
                  <c:v>1715</c:v>
                </c:pt>
                <c:pt idx="1714">
                  <c:v>1716</c:v>
                </c:pt>
                <c:pt idx="1715">
                  <c:v>1717</c:v>
                </c:pt>
                <c:pt idx="1716">
                  <c:v>1718</c:v>
                </c:pt>
                <c:pt idx="1717">
                  <c:v>1719</c:v>
                </c:pt>
                <c:pt idx="1718">
                  <c:v>1720</c:v>
                </c:pt>
                <c:pt idx="1719">
                  <c:v>1721</c:v>
                </c:pt>
                <c:pt idx="1720">
                  <c:v>1722</c:v>
                </c:pt>
                <c:pt idx="1721">
                  <c:v>1723</c:v>
                </c:pt>
                <c:pt idx="1722">
                  <c:v>1724</c:v>
                </c:pt>
                <c:pt idx="1723">
                  <c:v>1725</c:v>
                </c:pt>
                <c:pt idx="1724">
                  <c:v>1726</c:v>
                </c:pt>
                <c:pt idx="1725">
                  <c:v>1727</c:v>
                </c:pt>
                <c:pt idx="1726">
                  <c:v>1728</c:v>
                </c:pt>
                <c:pt idx="1727">
                  <c:v>1729</c:v>
                </c:pt>
                <c:pt idx="1728">
                  <c:v>1730</c:v>
                </c:pt>
                <c:pt idx="1729">
                  <c:v>1731</c:v>
                </c:pt>
                <c:pt idx="1730">
                  <c:v>1732</c:v>
                </c:pt>
                <c:pt idx="1731">
                  <c:v>1733</c:v>
                </c:pt>
                <c:pt idx="1732">
                  <c:v>1734</c:v>
                </c:pt>
                <c:pt idx="1733">
                  <c:v>1735</c:v>
                </c:pt>
                <c:pt idx="1734">
                  <c:v>1736</c:v>
                </c:pt>
                <c:pt idx="1735">
                  <c:v>1737</c:v>
                </c:pt>
                <c:pt idx="1736">
                  <c:v>1738</c:v>
                </c:pt>
                <c:pt idx="1737">
                  <c:v>1739</c:v>
                </c:pt>
                <c:pt idx="1738">
                  <c:v>1740</c:v>
                </c:pt>
                <c:pt idx="1739">
                  <c:v>1741</c:v>
                </c:pt>
                <c:pt idx="1740">
                  <c:v>1742</c:v>
                </c:pt>
                <c:pt idx="1741">
                  <c:v>1743</c:v>
                </c:pt>
                <c:pt idx="1742">
                  <c:v>1744</c:v>
                </c:pt>
                <c:pt idx="1743">
                  <c:v>1745</c:v>
                </c:pt>
                <c:pt idx="1744">
                  <c:v>1746</c:v>
                </c:pt>
                <c:pt idx="1745">
                  <c:v>1747</c:v>
                </c:pt>
                <c:pt idx="1746">
                  <c:v>1748</c:v>
                </c:pt>
                <c:pt idx="1747">
                  <c:v>1749</c:v>
                </c:pt>
                <c:pt idx="1748">
                  <c:v>1750</c:v>
                </c:pt>
                <c:pt idx="1749">
                  <c:v>1751</c:v>
                </c:pt>
                <c:pt idx="1750">
                  <c:v>1752</c:v>
                </c:pt>
                <c:pt idx="1751">
                  <c:v>1753</c:v>
                </c:pt>
                <c:pt idx="1752">
                  <c:v>1754</c:v>
                </c:pt>
                <c:pt idx="1753">
                  <c:v>1755</c:v>
                </c:pt>
                <c:pt idx="1754">
                  <c:v>1756</c:v>
                </c:pt>
                <c:pt idx="1755">
                  <c:v>1757</c:v>
                </c:pt>
                <c:pt idx="1756">
                  <c:v>1758</c:v>
                </c:pt>
                <c:pt idx="1757">
                  <c:v>1759</c:v>
                </c:pt>
                <c:pt idx="1758">
                  <c:v>1760</c:v>
                </c:pt>
                <c:pt idx="1759">
                  <c:v>1761</c:v>
                </c:pt>
                <c:pt idx="1760">
                  <c:v>1762</c:v>
                </c:pt>
                <c:pt idx="1761">
                  <c:v>1763</c:v>
                </c:pt>
                <c:pt idx="1762">
                  <c:v>1764</c:v>
                </c:pt>
                <c:pt idx="1763">
                  <c:v>1765</c:v>
                </c:pt>
                <c:pt idx="1764">
                  <c:v>1766</c:v>
                </c:pt>
                <c:pt idx="1765">
                  <c:v>1767</c:v>
                </c:pt>
                <c:pt idx="1766">
                  <c:v>1768</c:v>
                </c:pt>
                <c:pt idx="1767">
                  <c:v>1769</c:v>
                </c:pt>
                <c:pt idx="1768">
                  <c:v>1770</c:v>
                </c:pt>
                <c:pt idx="1769">
                  <c:v>1771</c:v>
                </c:pt>
                <c:pt idx="1770">
                  <c:v>1772</c:v>
                </c:pt>
                <c:pt idx="1771">
                  <c:v>1773</c:v>
                </c:pt>
                <c:pt idx="1772">
                  <c:v>1774</c:v>
                </c:pt>
                <c:pt idx="1773">
                  <c:v>1775</c:v>
                </c:pt>
                <c:pt idx="1774">
                  <c:v>1776</c:v>
                </c:pt>
                <c:pt idx="1775">
                  <c:v>1777</c:v>
                </c:pt>
                <c:pt idx="1776">
                  <c:v>1778</c:v>
                </c:pt>
                <c:pt idx="1777">
                  <c:v>1779</c:v>
                </c:pt>
                <c:pt idx="1778">
                  <c:v>1780</c:v>
                </c:pt>
                <c:pt idx="1779">
                  <c:v>1781</c:v>
                </c:pt>
                <c:pt idx="1780">
                  <c:v>1782</c:v>
                </c:pt>
                <c:pt idx="1781">
                  <c:v>1783</c:v>
                </c:pt>
                <c:pt idx="1782">
                  <c:v>1784</c:v>
                </c:pt>
                <c:pt idx="1783">
                  <c:v>1785</c:v>
                </c:pt>
                <c:pt idx="1784">
                  <c:v>1786</c:v>
                </c:pt>
                <c:pt idx="1785">
                  <c:v>1787</c:v>
                </c:pt>
                <c:pt idx="1786">
                  <c:v>1788</c:v>
                </c:pt>
                <c:pt idx="1787">
                  <c:v>1789</c:v>
                </c:pt>
                <c:pt idx="1788">
                  <c:v>1790</c:v>
                </c:pt>
                <c:pt idx="1789">
                  <c:v>1791</c:v>
                </c:pt>
                <c:pt idx="1790">
                  <c:v>1792</c:v>
                </c:pt>
                <c:pt idx="1791">
                  <c:v>1793</c:v>
                </c:pt>
              </c:numCache>
            </c:numRef>
          </c:xVal>
          <c:yVal>
            <c:numRef>
              <c:f>Sheet1!$K$4:$K$2000</c:f>
              <c:numCache>
                <c:formatCode>General</c:formatCode>
                <c:ptCount val="1997"/>
                <c:pt idx="0">
                  <c:v>164849.57980218195</c:v>
                </c:pt>
                <c:pt idx="1">
                  <c:v>164849.57980218195</c:v>
                </c:pt>
                <c:pt idx="2">
                  <c:v>164849.57980218195</c:v>
                </c:pt>
                <c:pt idx="3">
                  <c:v>164849.57980218195</c:v>
                </c:pt>
                <c:pt idx="4">
                  <c:v>164849.57980218195</c:v>
                </c:pt>
                <c:pt idx="5">
                  <c:v>164849.57980218195</c:v>
                </c:pt>
                <c:pt idx="6">
                  <c:v>164849.57980218195</c:v>
                </c:pt>
                <c:pt idx="7">
                  <c:v>164849.57980218195</c:v>
                </c:pt>
                <c:pt idx="8">
                  <c:v>164849.57980218195</c:v>
                </c:pt>
                <c:pt idx="9">
                  <c:v>164849.57980218195</c:v>
                </c:pt>
                <c:pt idx="10">
                  <c:v>164849.57980218195</c:v>
                </c:pt>
                <c:pt idx="11">
                  <c:v>164849.57980218195</c:v>
                </c:pt>
                <c:pt idx="12">
                  <c:v>164849.57980218195</c:v>
                </c:pt>
                <c:pt idx="13">
                  <c:v>164849.57980218195</c:v>
                </c:pt>
                <c:pt idx="14">
                  <c:v>164849.57980218195</c:v>
                </c:pt>
                <c:pt idx="15">
                  <c:v>164849.57980218195</c:v>
                </c:pt>
                <c:pt idx="16">
                  <c:v>164849.57980218195</c:v>
                </c:pt>
                <c:pt idx="17">
                  <c:v>164849.57980218195</c:v>
                </c:pt>
                <c:pt idx="18">
                  <c:v>164849.57980218195</c:v>
                </c:pt>
                <c:pt idx="19">
                  <c:v>164849.57980218195</c:v>
                </c:pt>
                <c:pt idx="20">
                  <c:v>164849.57980218195</c:v>
                </c:pt>
                <c:pt idx="21">
                  <c:v>164849.57980218195</c:v>
                </c:pt>
                <c:pt idx="22">
                  <c:v>164849.57980218195</c:v>
                </c:pt>
                <c:pt idx="23">
                  <c:v>164849.57980218195</c:v>
                </c:pt>
                <c:pt idx="24">
                  <c:v>164849.57980218195</c:v>
                </c:pt>
                <c:pt idx="25">
                  <c:v>158750.32596468361</c:v>
                </c:pt>
                <c:pt idx="26">
                  <c:v>158750.32596468361</c:v>
                </c:pt>
                <c:pt idx="27">
                  <c:v>158750.32596468361</c:v>
                </c:pt>
                <c:pt idx="28">
                  <c:v>158750.32596468361</c:v>
                </c:pt>
                <c:pt idx="29">
                  <c:v>158750.32596468361</c:v>
                </c:pt>
                <c:pt idx="30">
                  <c:v>158750.32596468361</c:v>
                </c:pt>
                <c:pt idx="31">
                  <c:v>158750.32596468361</c:v>
                </c:pt>
                <c:pt idx="32">
                  <c:v>158750.32596468361</c:v>
                </c:pt>
                <c:pt idx="33">
                  <c:v>158750.32596468361</c:v>
                </c:pt>
                <c:pt idx="34">
                  <c:v>158750.32596468361</c:v>
                </c:pt>
                <c:pt idx="35">
                  <c:v>158750.32596468361</c:v>
                </c:pt>
                <c:pt idx="36">
                  <c:v>158750.32596468361</c:v>
                </c:pt>
                <c:pt idx="37">
                  <c:v>158750.32596468361</c:v>
                </c:pt>
                <c:pt idx="38">
                  <c:v>158750.32596468361</c:v>
                </c:pt>
                <c:pt idx="39">
                  <c:v>158750.32596468361</c:v>
                </c:pt>
                <c:pt idx="40">
                  <c:v>158750.32596468361</c:v>
                </c:pt>
                <c:pt idx="41">
                  <c:v>158750.32596468361</c:v>
                </c:pt>
                <c:pt idx="42">
                  <c:v>158750.32596468361</c:v>
                </c:pt>
                <c:pt idx="43">
                  <c:v>158750.32596468361</c:v>
                </c:pt>
                <c:pt idx="44">
                  <c:v>158750.32596468361</c:v>
                </c:pt>
                <c:pt idx="45">
                  <c:v>158750.32596468361</c:v>
                </c:pt>
                <c:pt idx="46">
                  <c:v>158750.32596468361</c:v>
                </c:pt>
                <c:pt idx="47">
                  <c:v>158750.32596468361</c:v>
                </c:pt>
                <c:pt idx="48">
                  <c:v>158750.32596468361</c:v>
                </c:pt>
                <c:pt idx="49">
                  <c:v>158750.32596468361</c:v>
                </c:pt>
                <c:pt idx="50">
                  <c:v>158750.32596468361</c:v>
                </c:pt>
                <c:pt idx="51">
                  <c:v>158750.32596468361</c:v>
                </c:pt>
                <c:pt idx="52">
                  <c:v>158750.32596468361</c:v>
                </c:pt>
                <c:pt idx="53">
                  <c:v>158750.32596468361</c:v>
                </c:pt>
                <c:pt idx="54">
                  <c:v>158750.32596468361</c:v>
                </c:pt>
                <c:pt idx="55">
                  <c:v>158750.32596468361</c:v>
                </c:pt>
                <c:pt idx="56">
                  <c:v>158485.75094781502</c:v>
                </c:pt>
                <c:pt idx="57">
                  <c:v>158485.75094781502</c:v>
                </c:pt>
                <c:pt idx="58">
                  <c:v>158485.75094781502</c:v>
                </c:pt>
                <c:pt idx="59">
                  <c:v>158485.75094781502</c:v>
                </c:pt>
                <c:pt idx="60">
                  <c:v>158485.75094781502</c:v>
                </c:pt>
                <c:pt idx="61">
                  <c:v>158485.75094781502</c:v>
                </c:pt>
                <c:pt idx="62">
                  <c:v>158485.75094781502</c:v>
                </c:pt>
                <c:pt idx="63">
                  <c:v>158485.75094781502</c:v>
                </c:pt>
                <c:pt idx="64">
                  <c:v>158485.75094781502</c:v>
                </c:pt>
                <c:pt idx="65">
                  <c:v>158485.75094781502</c:v>
                </c:pt>
                <c:pt idx="66">
                  <c:v>158485.75094781502</c:v>
                </c:pt>
                <c:pt idx="67">
                  <c:v>158485.75094781502</c:v>
                </c:pt>
                <c:pt idx="68">
                  <c:v>158485.75094781502</c:v>
                </c:pt>
                <c:pt idx="69">
                  <c:v>158485.75094781502</c:v>
                </c:pt>
                <c:pt idx="70">
                  <c:v>158485.75094781502</c:v>
                </c:pt>
                <c:pt idx="71">
                  <c:v>158485.75094781502</c:v>
                </c:pt>
                <c:pt idx="72">
                  <c:v>158485.75094781502</c:v>
                </c:pt>
                <c:pt idx="73">
                  <c:v>158485.75094781502</c:v>
                </c:pt>
                <c:pt idx="74">
                  <c:v>158485.75094781502</c:v>
                </c:pt>
                <c:pt idx="75">
                  <c:v>158485.75094781502</c:v>
                </c:pt>
                <c:pt idx="76">
                  <c:v>158485.75094781502</c:v>
                </c:pt>
                <c:pt idx="77">
                  <c:v>158485.75094781502</c:v>
                </c:pt>
                <c:pt idx="78">
                  <c:v>158485.75094781502</c:v>
                </c:pt>
                <c:pt idx="79">
                  <c:v>158485.75094781502</c:v>
                </c:pt>
                <c:pt idx="80">
                  <c:v>158485.75094781502</c:v>
                </c:pt>
                <c:pt idx="81">
                  <c:v>158485.75094781502</c:v>
                </c:pt>
                <c:pt idx="82">
                  <c:v>158485.75094781502</c:v>
                </c:pt>
                <c:pt idx="83">
                  <c:v>158485.75094781502</c:v>
                </c:pt>
                <c:pt idx="84">
                  <c:v>158485.75094781502</c:v>
                </c:pt>
                <c:pt idx="85">
                  <c:v>158485.75094781502</c:v>
                </c:pt>
                <c:pt idx="86">
                  <c:v>157440.54172781217</c:v>
                </c:pt>
                <c:pt idx="87">
                  <c:v>157440.54172781217</c:v>
                </c:pt>
                <c:pt idx="88">
                  <c:v>157440.54172781217</c:v>
                </c:pt>
                <c:pt idx="89">
                  <c:v>157440.54172781217</c:v>
                </c:pt>
                <c:pt idx="90">
                  <c:v>157440.54172781217</c:v>
                </c:pt>
                <c:pt idx="91">
                  <c:v>157440.54172781217</c:v>
                </c:pt>
                <c:pt idx="92">
                  <c:v>157440.54172781217</c:v>
                </c:pt>
                <c:pt idx="93">
                  <c:v>157440.54172781217</c:v>
                </c:pt>
                <c:pt idx="94">
                  <c:v>157440.54172781217</c:v>
                </c:pt>
                <c:pt idx="95">
                  <c:v>157440.54172781217</c:v>
                </c:pt>
                <c:pt idx="96">
                  <c:v>157440.54172781217</c:v>
                </c:pt>
                <c:pt idx="97">
                  <c:v>157440.54172781217</c:v>
                </c:pt>
                <c:pt idx="98">
                  <c:v>157440.54172781217</c:v>
                </c:pt>
                <c:pt idx="99">
                  <c:v>157440.54172781217</c:v>
                </c:pt>
                <c:pt idx="100">
                  <c:v>157440.54172781217</c:v>
                </c:pt>
                <c:pt idx="101">
                  <c:v>157440.54172781217</c:v>
                </c:pt>
                <c:pt idx="102">
                  <c:v>157440.54172781217</c:v>
                </c:pt>
                <c:pt idx="103">
                  <c:v>157440.54172781217</c:v>
                </c:pt>
                <c:pt idx="104">
                  <c:v>157440.54172781217</c:v>
                </c:pt>
                <c:pt idx="105">
                  <c:v>157440.54172781217</c:v>
                </c:pt>
                <c:pt idx="106">
                  <c:v>157440.54172781217</c:v>
                </c:pt>
                <c:pt idx="107">
                  <c:v>157440.54172781217</c:v>
                </c:pt>
                <c:pt idx="108">
                  <c:v>157440.54172781217</c:v>
                </c:pt>
                <c:pt idx="109">
                  <c:v>157440.54172781217</c:v>
                </c:pt>
                <c:pt idx="110">
                  <c:v>157440.54172781217</c:v>
                </c:pt>
                <c:pt idx="111">
                  <c:v>157440.54172781217</c:v>
                </c:pt>
                <c:pt idx="112">
                  <c:v>157440.54172781217</c:v>
                </c:pt>
                <c:pt idx="113">
                  <c:v>157440.54172781217</c:v>
                </c:pt>
                <c:pt idx="114">
                  <c:v>157440.54172781217</c:v>
                </c:pt>
                <c:pt idx="115">
                  <c:v>157440.54172781217</c:v>
                </c:pt>
                <c:pt idx="116">
                  <c:v>157440.54172781217</c:v>
                </c:pt>
                <c:pt idx="117">
                  <c:v>162058.43039566814</c:v>
                </c:pt>
                <c:pt idx="118">
                  <c:v>162058.43039566814</c:v>
                </c:pt>
                <c:pt idx="119">
                  <c:v>162058.43039566814</c:v>
                </c:pt>
                <c:pt idx="120">
                  <c:v>162058.43039566814</c:v>
                </c:pt>
                <c:pt idx="121">
                  <c:v>162058.43039566814</c:v>
                </c:pt>
                <c:pt idx="122">
                  <c:v>162058.43039566814</c:v>
                </c:pt>
                <c:pt idx="123">
                  <c:v>162058.43039566814</c:v>
                </c:pt>
                <c:pt idx="124">
                  <c:v>162058.43039566814</c:v>
                </c:pt>
                <c:pt idx="125">
                  <c:v>162058.43039566814</c:v>
                </c:pt>
                <c:pt idx="126">
                  <c:v>162058.43039566814</c:v>
                </c:pt>
                <c:pt idx="127">
                  <c:v>162058.43039566814</c:v>
                </c:pt>
                <c:pt idx="128">
                  <c:v>162058.43039566814</c:v>
                </c:pt>
                <c:pt idx="129">
                  <c:v>162058.43039566814</c:v>
                </c:pt>
                <c:pt idx="130">
                  <c:v>162058.43039566814</c:v>
                </c:pt>
                <c:pt idx="131">
                  <c:v>162058.43039566814</c:v>
                </c:pt>
                <c:pt idx="132">
                  <c:v>162058.43039566814</c:v>
                </c:pt>
                <c:pt idx="133">
                  <c:v>162058.43039566814</c:v>
                </c:pt>
                <c:pt idx="134">
                  <c:v>162058.43039566814</c:v>
                </c:pt>
                <c:pt idx="135">
                  <c:v>162058.43039566814</c:v>
                </c:pt>
                <c:pt idx="136">
                  <c:v>162058.43039566814</c:v>
                </c:pt>
                <c:pt idx="137">
                  <c:v>162058.43039566814</c:v>
                </c:pt>
                <c:pt idx="138">
                  <c:v>162058.43039566814</c:v>
                </c:pt>
                <c:pt idx="139">
                  <c:v>162058.43039566814</c:v>
                </c:pt>
                <c:pt idx="140">
                  <c:v>162058.43039566814</c:v>
                </c:pt>
                <c:pt idx="141">
                  <c:v>162058.43039566814</c:v>
                </c:pt>
                <c:pt idx="142">
                  <c:v>162058.43039566814</c:v>
                </c:pt>
                <c:pt idx="143">
                  <c:v>162058.43039566814</c:v>
                </c:pt>
                <c:pt idx="144">
                  <c:v>162058.43039566814</c:v>
                </c:pt>
                <c:pt idx="145">
                  <c:v>162058.43039566814</c:v>
                </c:pt>
                <c:pt idx="146">
                  <c:v>162058.43039566814</c:v>
                </c:pt>
                <c:pt idx="147">
                  <c:v>158934.3083266411</c:v>
                </c:pt>
                <c:pt idx="148">
                  <c:v>158934.3083266411</c:v>
                </c:pt>
                <c:pt idx="149">
                  <c:v>158934.3083266411</c:v>
                </c:pt>
                <c:pt idx="150">
                  <c:v>158934.3083266411</c:v>
                </c:pt>
                <c:pt idx="151">
                  <c:v>158934.3083266411</c:v>
                </c:pt>
                <c:pt idx="152">
                  <c:v>158934.3083266411</c:v>
                </c:pt>
                <c:pt idx="153">
                  <c:v>158934.3083266411</c:v>
                </c:pt>
                <c:pt idx="154">
                  <c:v>158934.3083266411</c:v>
                </c:pt>
                <c:pt idx="155">
                  <c:v>158934.3083266411</c:v>
                </c:pt>
                <c:pt idx="156">
                  <c:v>158934.3083266411</c:v>
                </c:pt>
                <c:pt idx="157">
                  <c:v>158934.3083266411</c:v>
                </c:pt>
                <c:pt idx="158">
                  <c:v>158934.3083266411</c:v>
                </c:pt>
                <c:pt idx="159">
                  <c:v>158934.3083266411</c:v>
                </c:pt>
                <c:pt idx="160">
                  <c:v>158934.3083266411</c:v>
                </c:pt>
                <c:pt idx="161">
                  <c:v>158934.3083266411</c:v>
                </c:pt>
                <c:pt idx="162">
                  <c:v>158934.3083266411</c:v>
                </c:pt>
                <c:pt idx="163">
                  <c:v>158934.3083266411</c:v>
                </c:pt>
                <c:pt idx="164">
                  <c:v>158934.3083266411</c:v>
                </c:pt>
                <c:pt idx="165">
                  <c:v>158934.3083266411</c:v>
                </c:pt>
                <c:pt idx="166">
                  <c:v>158934.3083266411</c:v>
                </c:pt>
                <c:pt idx="167">
                  <c:v>158934.3083266411</c:v>
                </c:pt>
                <c:pt idx="168">
                  <c:v>158934.3083266411</c:v>
                </c:pt>
                <c:pt idx="169">
                  <c:v>158934.3083266411</c:v>
                </c:pt>
                <c:pt idx="170">
                  <c:v>158934.3083266411</c:v>
                </c:pt>
                <c:pt idx="171">
                  <c:v>158934.3083266411</c:v>
                </c:pt>
                <c:pt idx="172">
                  <c:v>158934.3083266411</c:v>
                </c:pt>
                <c:pt idx="173">
                  <c:v>158934.3083266411</c:v>
                </c:pt>
                <c:pt idx="174">
                  <c:v>158934.3083266411</c:v>
                </c:pt>
                <c:pt idx="175">
                  <c:v>158934.3083266411</c:v>
                </c:pt>
                <c:pt idx="176">
                  <c:v>158934.3083266411</c:v>
                </c:pt>
                <c:pt idx="177">
                  <c:v>158934.3083266411</c:v>
                </c:pt>
                <c:pt idx="178">
                  <c:v>156896.13280993374</c:v>
                </c:pt>
                <c:pt idx="179">
                  <c:v>156896.13280993374</c:v>
                </c:pt>
                <c:pt idx="180">
                  <c:v>156896.13280993374</c:v>
                </c:pt>
                <c:pt idx="181">
                  <c:v>156896.13280993374</c:v>
                </c:pt>
                <c:pt idx="182">
                  <c:v>156896.13280993374</c:v>
                </c:pt>
                <c:pt idx="183">
                  <c:v>156896.13280993374</c:v>
                </c:pt>
                <c:pt idx="184">
                  <c:v>156896.13280993374</c:v>
                </c:pt>
                <c:pt idx="185">
                  <c:v>156896.13280993374</c:v>
                </c:pt>
                <c:pt idx="186">
                  <c:v>156896.13280993374</c:v>
                </c:pt>
                <c:pt idx="187">
                  <c:v>156896.13280993374</c:v>
                </c:pt>
                <c:pt idx="188">
                  <c:v>156896.13280993374</c:v>
                </c:pt>
                <c:pt idx="189">
                  <c:v>156896.13280993374</c:v>
                </c:pt>
                <c:pt idx="190">
                  <c:v>156896.13280993374</c:v>
                </c:pt>
                <c:pt idx="191">
                  <c:v>156896.13280993374</c:v>
                </c:pt>
                <c:pt idx="192">
                  <c:v>156896.13280993374</c:v>
                </c:pt>
                <c:pt idx="193">
                  <c:v>156896.13280993374</c:v>
                </c:pt>
                <c:pt idx="194">
                  <c:v>156896.13280993374</c:v>
                </c:pt>
                <c:pt idx="195">
                  <c:v>156896.13280993374</c:v>
                </c:pt>
                <c:pt idx="196">
                  <c:v>156896.13280993374</c:v>
                </c:pt>
                <c:pt idx="197">
                  <c:v>156896.13280993374</c:v>
                </c:pt>
                <c:pt idx="198">
                  <c:v>156896.13280993374</c:v>
                </c:pt>
                <c:pt idx="199">
                  <c:v>156896.13280993374</c:v>
                </c:pt>
                <c:pt idx="200">
                  <c:v>156896.13280993374</c:v>
                </c:pt>
                <c:pt idx="201">
                  <c:v>156896.13280993374</c:v>
                </c:pt>
                <c:pt idx="202">
                  <c:v>156896.13280993374</c:v>
                </c:pt>
                <c:pt idx="203">
                  <c:v>156896.13280993374</c:v>
                </c:pt>
                <c:pt idx="204">
                  <c:v>156896.13280993374</c:v>
                </c:pt>
                <c:pt idx="205">
                  <c:v>156896.13280993374</c:v>
                </c:pt>
                <c:pt idx="206">
                  <c:v>156896.13280993374</c:v>
                </c:pt>
                <c:pt idx="207">
                  <c:v>156896.13280993374</c:v>
                </c:pt>
                <c:pt idx="208">
                  <c:v>156896.13280993374</c:v>
                </c:pt>
                <c:pt idx="209">
                  <c:v>153840.94417226737</c:v>
                </c:pt>
                <c:pt idx="210">
                  <c:v>153840.94417226737</c:v>
                </c:pt>
                <c:pt idx="211">
                  <c:v>153840.94417226737</c:v>
                </c:pt>
                <c:pt idx="212">
                  <c:v>153840.94417226737</c:v>
                </c:pt>
                <c:pt idx="213">
                  <c:v>153840.94417226737</c:v>
                </c:pt>
                <c:pt idx="214">
                  <c:v>153840.94417226737</c:v>
                </c:pt>
                <c:pt idx="215">
                  <c:v>153840.94417226737</c:v>
                </c:pt>
                <c:pt idx="216">
                  <c:v>153840.94417226737</c:v>
                </c:pt>
                <c:pt idx="217">
                  <c:v>153840.94417226737</c:v>
                </c:pt>
                <c:pt idx="218">
                  <c:v>153840.94417226737</c:v>
                </c:pt>
                <c:pt idx="219">
                  <c:v>153840.94417226737</c:v>
                </c:pt>
                <c:pt idx="220">
                  <c:v>153840.94417226737</c:v>
                </c:pt>
                <c:pt idx="221">
                  <c:v>153840.94417226737</c:v>
                </c:pt>
                <c:pt idx="222">
                  <c:v>153840.94417226737</c:v>
                </c:pt>
                <c:pt idx="223">
                  <c:v>153840.94417226737</c:v>
                </c:pt>
                <c:pt idx="224">
                  <c:v>153840.94417226737</c:v>
                </c:pt>
                <c:pt idx="225">
                  <c:v>153840.94417226737</c:v>
                </c:pt>
                <c:pt idx="226">
                  <c:v>153840.94417226737</c:v>
                </c:pt>
                <c:pt idx="227">
                  <c:v>153840.94417226737</c:v>
                </c:pt>
                <c:pt idx="228">
                  <c:v>153840.94417226737</c:v>
                </c:pt>
                <c:pt idx="229">
                  <c:v>153840.94417226737</c:v>
                </c:pt>
                <c:pt idx="230">
                  <c:v>153840.94417226737</c:v>
                </c:pt>
                <c:pt idx="231">
                  <c:v>153840.94417226737</c:v>
                </c:pt>
                <c:pt idx="232">
                  <c:v>153840.94417226737</c:v>
                </c:pt>
                <c:pt idx="233">
                  <c:v>153840.94417226737</c:v>
                </c:pt>
                <c:pt idx="234">
                  <c:v>153840.94417226737</c:v>
                </c:pt>
                <c:pt idx="235">
                  <c:v>153840.94417226737</c:v>
                </c:pt>
                <c:pt idx="236">
                  <c:v>153840.94417226737</c:v>
                </c:pt>
                <c:pt idx="237">
                  <c:v>153840.94417226737</c:v>
                </c:pt>
                <c:pt idx="238">
                  <c:v>153840.94417226737</c:v>
                </c:pt>
                <c:pt idx="239">
                  <c:v>165723.45906886013</c:v>
                </c:pt>
                <c:pt idx="240">
                  <c:v>165723.45906886013</c:v>
                </c:pt>
                <c:pt idx="241">
                  <c:v>165723.45906886013</c:v>
                </c:pt>
                <c:pt idx="242">
                  <c:v>165723.45906886013</c:v>
                </c:pt>
                <c:pt idx="243">
                  <c:v>165723.45906886013</c:v>
                </c:pt>
                <c:pt idx="244">
                  <c:v>165723.45906886013</c:v>
                </c:pt>
                <c:pt idx="245">
                  <c:v>165723.45906886013</c:v>
                </c:pt>
                <c:pt idx="246">
                  <c:v>165723.45906886013</c:v>
                </c:pt>
                <c:pt idx="247">
                  <c:v>165723.45906886013</c:v>
                </c:pt>
                <c:pt idx="248">
                  <c:v>165723.45906886013</c:v>
                </c:pt>
                <c:pt idx="249">
                  <c:v>165723.45906886013</c:v>
                </c:pt>
                <c:pt idx="250">
                  <c:v>165723.45906886013</c:v>
                </c:pt>
                <c:pt idx="251">
                  <c:v>165723.45906886013</c:v>
                </c:pt>
                <c:pt idx="252">
                  <c:v>165723.45906886013</c:v>
                </c:pt>
                <c:pt idx="253">
                  <c:v>165723.45906886013</c:v>
                </c:pt>
                <c:pt idx="254">
                  <c:v>165723.45906886013</c:v>
                </c:pt>
                <c:pt idx="255">
                  <c:v>165723.45906886013</c:v>
                </c:pt>
                <c:pt idx="256">
                  <c:v>165723.45906886013</c:v>
                </c:pt>
                <c:pt idx="257">
                  <c:v>165723.45906886013</c:v>
                </c:pt>
                <c:pt idx="258">
                  <c:v>165723.45906886013</c:v>
                </c:pt>
                <c:pt idx="259">
                  <c:v>165723.45906886013</c:v>
                </c:pt>
                <c:pt idx="260">
                  <c:v>165723.45906886013</c:v>
                </c:pt>
                <c:pt idx="261">
                  <c:v>165723.45906886013</c:v>
                </c:pt>
                <c:pt idx="262">
                  <c:v>165723.45906886013</c:v>
                </c:pt>
                <c:pt idx="263">
                  <c:v>165723.45906886013</c:v>
                </c:pt>
                <c:pt idx="264">
                  <c:v>165723.45906886013</c:v>
                </c:pt>
                <c:pt idx="265">
                  <c:v>165723.45906886013</c:v>
                </c:pt>
                <c:pt idx="266">
                  <c:v>165723.45906886013</c:v>
                </c:pt>
                <c:pt idx="267">
                  <c:v>165723.45906886013</c:v>
                </c:pt>
                <c:pt idx="268">
                  <c:v>165723.45906886013</c:v>
                </c:pt>
                <c:pt idx="269">
                  <c:v>165723.45906886013</c:v>
                </c:pt>
                <c:pt idx="270">
                  <c:v>170770.41949768036</c:v>
                </c:pt>
                <c:pt idx="271">
                  <c:v>170770.41949768036</c:v>
                </c:pt>
                <c:pt idx="272">
                  <c:v>170770.41949768036</c:v>
                </c:pt>
                <c:pt idx="273">
                  <c:v>170770.41949768036</c:v>
                </c:pt>
                <c:pt idx="274">
                  <c:v>170770.41949768036</c:v>
                </c:pt>
                <c:pt idx="275">
                  <c:v>170770.41949768036</c:v>
                </c:pt>
                <c:pt idx="276">
                  <c:v>170770.41949768036</c:v>
                </c:pt>
                <c:pt idx="277">
                  <c:v>170770.41949768036</c:v>
                </c:pt>
                <c:pt idx="278">
                  <c:v>170770.41949768036</c:v>
                </c:pt>
                <c:pt idx="279">
                  <c:v>170770.41949768036</c:v>
                </c:pt>
                <c:pt idx="280">
                  <c:v>170770.41949768036</c:v>
                </c:pt>
                <c:pt idx="281">
                  <c:v>170770.41949768036</c:v>
                </c:pt>
                <c:pt idx="282">
                  <c:v>170770.41949768036</c:v>
                </c:pt>
                <c:pt idx="283">
                  <c:v>170770.41949768036</c:v>
                </c:pt>
                <c:pt idx="284">
                  <c:v>170770.41949768036</c:v>
                </c:pt>
                <c:pt idx="285">
                  <c:v>170770.41949768036</c:v>
                </c:pt>
                <c:pt idx="286">
                  <c:v>170770.41949768036</c:v>
                </c:pt>
                <c:pt idx="287">
                  <c:v>170770.41949768036</c:v>
                </c:pt>
                <c:pt idx="288">
                  <c:v>170770.41949768036</c:v>
                </c:pt>
                <c:pt idx="289">
                  <c:v>170770.41949768036</c:v>
                </c:pt>
                <c:pt idx="290">
                  <c:v>170770.41949768036</c:v>
                </c:pt>
                <c:pt idx="291">
                  <c:v>170770.41949768036</c:v>
                </c:pt>
                <c:pt idx="292">
                  <c:v>170770.41949768036</c:v>
                </c:pt>
                <c:pt idx="293">
                  <c:v>170770.41949768036</c:v>
                </c:pt>
                <c:pt idx="294">
                  <c:v>170770.41949768036</c:v>
                </c:pt>
                <c:pt idx="295">
                  <c:v>170770.41949768036</c:v>
                </c:pt>
                <c:pt idx="296">
                  <c:v>170770.41949768036</c:v>
                </c:pt>
                <c:pt idx="297">
                  <c:v>170770.41949768036</c:v>
                </c:pt>
                <c:pt idx="298">
                  <c:v>170770.41949768036</c:v>
                </c:pt>
                <c:pt idx="299">
                  <c:v>170770.41949768036</c:v>
                </c:pt>
                <c:pt idx="300">
                  <c:v>164953.3129410593</c:v>
                </c:pt>
                <c:pt idx="301">
                  <c:v>164953.3129410593</c:v>
                </c:pt>
                <c:pt idx="302">
                  <c:v>164953.3129410593</c:v>
                </c:pt>
                <c:pt idx="303">
                  <c:v>164953.3129410593</c:v>
                </c:pt>
                <c:pt idx="304">
                  <c:v>164953.3129410593</c:v>
                </c:pt>
                <c:pt idx="305">
                  <c:v>164953.3129410593</c:v>
                </c:pt>
                <c:pt idx="306">
                  <c:v>164953.3129410593</c:v>
                </c:pt>
                <c:pt idx="307">
                  <c:v>164953.3129410593</c:v>
                </c:pt>
                <c:pt idx="308">
                  <c:v>164953.3129410593</c:v>
                </c:pt>
                <c:pt idx="309">
                  <c:v>164953.3129410593</c:v>
                </c:pt>
                <c:pt idx="310">
                  <c:v>164953.3129410593</c:v>
                </c:pt>
                <c:pt idx="311">
                  <c:v>164953.3129410593</c:v>
                </c:pt>
                <c:pt idx="312">
                  <c:v>164953.3129410593</c:v>
                </c:pt>
                <c:pt idx="313">
                  <c:v>164953.3129410593</c:v>
                </c:pt>
                <c:pt idx="314">
                  <c:v>164953.3129410593</c:v>
                </c:pt>
                <c:pt idx="315">
                  <c:v>164953.3129410593</c:v>
                </c:pt>
                <c:pt idx="316">
                  <c:v>164953.3129410593</c:v>
                </c:pt>
                <c:pt idx="317">
                  <c:v>164953.3129410593</c:v>
                </c:pt>
                <c:pt idx="318">
                  <c:v>164953.3129410593</c:v>
                </c:pt>
                <c:pt idx="319">
                  <c:v>164953.3129410593</c:v>
                </c:pt>
                <c:pt idx="320">
                  <c:v>164953.3129410593</c:v>
                </c:pt>
                <c:pt idx="321">
                  <c:v>164953.3129410593</c:v>
                </c:pt>
                <c:pt idx="322">
                  <c:v>164953.3129410593</c:v>
                </c:pt>
                <c:pt idx="323">
                  <c:v>164953.3129410593</c:v>
                </c:pt>
                <c:pt idx="324">
                  <c:v>164953.3129410593</c:v>
                </c:pt>
                <c:pt idx="325">
                  <c:v>164953.3129410593</c:v>
                </c:pt>
                <c:pt idx="326">
                  <c:v>164953.3129410593</c:v>
                </c:pt>
                <c:pt idx="327">
                  <c:v>164953.3129410593</c:v>
                </c:pt>
                <c:pt idx="328">
                  <c:v>164953.3129410593</c:v>
                </c:pt>
                <c:pt idx="329">
                  <c:v>164953.3129410593</c:v>
                </c:pt>
                <c:pt idx="330">
                  <c:v>164953.3129410593</c:v>
                </c:pt>
                <c:pt idx="331">
                  <c:v>158720.98692803638</c:v>
                </c:pt>
                <c:pt idx="332">
                  <c:v>158720.98692803638</c:v>
                </c:pt>
                <c:pt idx="333">
                  <c:v>158720.98692803638</c:v>
                </c:pt>
                <c:pt idx="334">
                  <c:v>158720.98692803638</c:v>
                </c:pt>
                <c:pt idx="335">
                  <c:v>158720.98692803638</c:v>
                </c:pt>
                <c:pt idx="336">
                  <c:v>158720.98692803638</c:v>
                </c:pt>
                <c:pt idx="337">
                  <c:v>158720.98692803638</c:v>
                </c:pt>
                <c:pt idx="338">
                  <c:v>158720.98692803638</c:v>
                </c:pt>
                <c:pt idx="339">
                  <c:v>158720.98692803638</c:v>
                </c:pt>
                <c:pt idx="340">
                  <c:v>158720.98692803638</c:v>
                </c:pt>
                <c:pt idx="341">
                  <c:v>158720.98692803638</c:v>
                </c:pt>
                <c:pt idx="342">
                  <c:v>158720.98692803638</c:v>
                </c:pt>
                <c:pt idx="343">
                  <c:v>158720.98692803638</c:v>
                </c:pt>
                <c:pt idx="344">
                  <c:v>158720.98692803638</c:v>
                </c:pt>
                <c:pt idx="345">
                  <c:v>158720.98692803638</c:v>
                </c:pt>
                <c:pt idx="346">
                  <c:v>158720.98692803638</c:v>
                </c:pt>
                <c:pt idx="347">
                  <c:v>158720.98692803638</c:v>
                </c:pt>
                <c:pt idx="348">
                  <c:v>158720.98692803638</c:v>
                </c:pt>
                <c:pt idx="349">
                  <c:v>158720.98692803638</c:v>
                </c:pt>
                <c:pt idx="350">
                  <c:v>158720.98692803638</c:v>
                </c:pt>
                <c:pt idx="351">
                  <c:v>158720.98692803638</c:v>
                </c:pt>
                <c:pt idx="352">
                  <c:v>158720.98692803638</c:v>
                </c:pt>
                <c:pt idx="353">
                  <c:v>158720.98692803638</c:v>
                </c:pt>
                <c:pt idx="354">
                  <c:v>158720.98692803638</c:v>
                </c:pt>
                <c:pt idx="355">
                  <c:v>158720.98692803638</c:v>
                </c:pt>
                <c:pt idx="356">
                  <c:v>158720.98692803638</c:v>
                </c:pt>
                <c:pt idx="357">
                  <c:v>158720.98692803638</c:v>
                </c:pt>
                <c:pt idx="358">
                  <c:v>158720.98692803638</c:v>
                </c:pt>
                <c:pt idx="359">
                  <c:v>158720.98692803638</c:v>
                </c:pt>
                <c:pt idx="360">
                  <c:v>158720.98692803638</c:v>
                </c:pt>
                <c:pt idx="361">
                  <c:v>158720.98692803638</c:v>
                </c:pt>
                <c:pt idx="362">
                  <c:v>153041.08738949426</c:v>
                </c:pt>
                <c:pt idx="363">
                  <c:v>153041.08738949426</c:v>
                </c:pt>
                <c:pt idx="364">
                  <c:v>153041.08738949426</c:v>
                </c:pt>
                <c:pt idx="365">
                  <c:v>153041.08738949426</c:v>
                </c:pt>
                <c:pt idx="366">
                  <c:v>153041.08738949426</c:v>
                </c:pt>
                <c:pt idx="367">
                  <c:v>153041.08738949426</c:v>
                </c:pt>
                <c:pt idx="368">
                  <c:v>153041.08738949426</c:v>
                </c:pt>
                <c:pt idx="369">
                  <c:v>153041.08738949426</c:v>
                </c:pt>
                <c:pt idx="370">
                  <c:v>153041.08738949426</c:v>
                </c:pt>
                <c:pt idx="371">
                  <c:v>153041.08738949426</c:v>
                </c:pt>
                <c:pt idx="372">
                  <c:v>153041.08738949426</c:v>
                </c:pt>
                <c:pt idx="373">
                  <c:v>153041.08738949426</c:v>
                </c:pt>
                <c:pt idx="374">
                  <c:v>153041.08738949426</c:v>
                </c:pt>
                <c:pt idx="375">
                  <c:v>153041.08738949426</c:v>
                </c:pt>
                <c:pt idx="376">
                  <c:v>153041.08738949426</c:v>
                </c:pt>
                <c:pt idx="377">
                  <c:v>153041.08738949426</c:v>
                </c:pt>
                <c:pt idx="378">
                  <c:v>153041.08738949426</c:v>
                </c:pt>
                <c:pt idx="379">
                  <c:v>153041.08738949426</c:v>
                </c:pt>
                <c:pt idx="380">
                  <c:v>153041.08738949426</c:v>
                </c:pt>
                <c:pt idx="381">
                  <c:v>153041.08738949426</c:v>
                </c:pt>
                <c:pt idx="382">
                  <c:v>153041.08738949426</c:v>
                </c:pt>
                <c:pt idx="383">
                  <c:v>153041.08738949426</c:v>
                </c:pt>
                <c:pt idx="384">
                  <c:v>153041.08738949426</c:v>
                </c:pt>
                <c:pt idx="385">
                  <c:v>153041.08738949426</c:v>
                </c:pt>
                <c:pt idx="386">
                  <c:v>153041.08738949426</c:v>
                </c:pt>
                <c:pt idx="387">
                  <c:v>153041.08738949426</c:v>
                </c:pt>
                <c:pt idx="388">
                  <c:v>153041.08738949426</c:v>
                </c:pt>
                <c:pt idx="389">
                  <c:v>153041.08738949426</c:v>
                </c:pt>
                <c:pt idx="390">
                  <c:v>153041.08738949426</c:v>
                </c:pt>
                <c:pt idx="391">
                  <c:v>147941.29167448342</c:v>
                </c:pt>
                <c:pt idx="392">
                  <c:v>147941.29167448342</c:v>
                </c:pt>
                <c:pt idx="393">
                  <c:v>147941.29167448342</c:v>
                </c:pt>
                <c:pt idx="394">
                  <c:v>147941.29167448342</c:v>
                </c:pt>
                <c:pt idx="395">
                  <c:v>147941.29167448342</c:v>
                </c:pt>
                <c:pt idx="396">
                  <c:v>147941.29167448342</c:v>
                </c:pt>
                <c:pt idx="397">
                  <c:v>147941.29167448342</c:v>
                </c:pt>
                <c:pt idx="398">
                  <c:v>147941.29167448342</c:v>
                </c:pt>
                <c:pt idx="399">
                  <c:v>147941.29167448342</c:v>
                </c:pt>
                <c:pt idx="400">
                  <c:v>147941.29167448342</c:v>
                </c:pt>
                <c:pt idx="401">
                  <c:v>147941.29167448342</c:v>
                </c:pt>
                <c:pt idx="402">
                  <c:v>147941.29167448342</c:v>
                </c:pt>
                <c:pt idx="403">
                  <c:v>147941.29167448342</c:v>
                </c:pt>
                <c:pt idx="404">
                  <c:v>147941.29167448342</c:v>
                </c:pt>
                <c:pt idx="405">
                  <c:v>147941.29167448342</c:v>
                </c:pt>
                <c:pt idx="406">
                  <c:v>147941.29167448342</c:v>
                </c:pt>
                <c:pt idx="407">
                  <c:v>147941.29167448342</c:v>
                </c:pt>
                <c:pt idx="408">
                  <c:v>147941.29167448342</c:v>
                </c:pt>
                <c:pt idx="409">
                  <c:v>147941.29167448342</c:v>
                </c:pt>
                <c:pt idx="410">
                  <c:v>147941.29167448342</c:v>
                </c:pt>
                <c:pt idx="411">
                  <c:v>147941.29167448342</c:v>
                </c:pt>
                <c:pt idx="412">
                  <c:v>147941.29167448342</c:v>
                </c:pt>
                <c:pt idx="413">
                  <c:v>147941.29167448342</c:v>
                </c:pt>
                <c:pt idx="414">
                  <c:v>147941.29167448342</c:v>
                </c:pt>
                <c:pt idx="415">
                  <c:v>147941.29167448342</c:v>
                </c:pt>
                <c:pt idx="416">
                  <c:v>147941.29167448342</c:v>
                </c:pt>
                <c:pt idx="417">
                  <c:v>147941.29167448342</c:v>
                </c:pt>
                <c:pt idx="418">
                  <c:v>147941.29167448342</c:v>
                </c:pt>
                <c:pt idx="419">
                  <c:v>147941.29167448342</c:v>
                </c:pt>
                <c:pt idx="420">
                  <c:v>147941.29167448342</c:v>
                </c:pt>
                <c:pt idx="421">
                  <c:v>147941.29167448342</c:v>
                </c:pt>
                <c:pt idx="422">
                  <c:v>143535.37627820467</c:v>
                </c:pt>
                <c:pt idx="423">
                  <c:v>143535.37627820467</c:v>
                </c:pt>
                <c:pt idx="424">
                  <c:v>143535.37627820467</c:v>
                </c:pt>
                <c:pt idx="425">
                  <c:v>143535.37627820467</c:v>
                </c:pt>
                <c:pt idx="426">
                  <c:v>143535.37627820467</c:v>
                </c:pt>
                <c:pt idx="427">
                  <c:v>143535.37627820467</c:v>
                </c:pt>
                <c:pt idx="428">
                  <c:v>143535.37627820467</c:v>
                </c:pt>
                <c:pt idx="429">
                  <c:v>143535.37627820467</c:v>
                </c:pt>
                <c:pt idx="430">
                  <c:v>143535.37627820467</c:v>
                </c:pt>
                <c:pt idx="431">
                  <c:v>143535.37627820467</c:v>
                </c:pt>
                <c:pt idx="432">
                  <c:v>143535.37627820467</c:v>
                </c:pt>
                <c:pt idx="433">
                  <c:v>143535.37627820467</c:v>
                </c:pt>
                <c:pt idx="434">
                  <c:v>143535.37627820467</c:v>
                </c:pt>
                <c:pt idx="435">
                  <c:v>143535.37627820467</c:v>
                </c:pt>
                <c:pt idx="436">
                  <c:v>143535.37627820467</c:v>
                </c:pt>
                <c:pt idx="437">
                  <c:v>143535.37627820467</c:v>
                </c:pt>
                <c:pt idx="438">
                  <c:v>143535.37627820467</c:v>
                </c:pt>
                <c:pt idx="439">
                  <c:v>143535.37627820467</c:v>
                </c:pt>
                <c:pt idx="440">
                  <c:v>143535.37627820467</c:v>
                </c:pt>
                <c:pt idx="441">
                  <c:v>143535.37627820467</c:v>
                </c:pt>
                <c:pt idx="442">
                  <c:v>143535.37627820467</c:v>
                </c:pt>
                <c:pt idx="443">
                  <c:v>143535.37627820467</c:v>
                </c:pt>
                <c:pt idx="444">
                  <c:v>143535.37627820467</c:v>
                </c:pt>
                <c:pt idx="445">
                  <c:v>143535.37627820467</c:v>
                </c:pt>
                <c:pt idx="446">
                  <c:v>143535.37627820467</c:v>
                </c:pt>
                <c:pt idx="447">
                  <c:v>143535.37627820467</c:v>
                </c:pt>
                <c:pt idx="448">
                  <c:v>143535.37627820467</c:v>
                </c:pt>
                <c:pt idx="449">
                  <c:v>143535.37627820467</c:v>
                </c:pt>
                <c:pt idx="450">
                  <c:v>143535.37627820467</c:v>
                </c:pt>
                <c:pt idx="451">
                  <c:v>143535.37627820467</c:v>
                </c:pt>
                <c:pt idx="452">
                  <c:v>139070.58852555123</c:v>
                </c:pt>
                <c:pt idx="453">
                  <c:v>139070.58852555123</c:v>
                </c:pt>
                <c:pt idx="454">
                  <c:v>139070.58852555123</c:v>
                </c:pt>
                <c:pt idx="455">
                  <c:v>139070.58852555123</c:v>
                </c:pt>
                <c:pt idx="456">
                  <c:v>139070.58852555123</c:v>
                </c:pt>
                <c:pt idx="457">
                  <c:v>139070.58852555123</c:v>
                </c:pt>
                <c:pt idx="458">
                  <c:v>139070.58852555123</c:v>
                </c:pt>
                <c:pt idx="459">
                  <c:v>139070.58852555123</c:v>
                </c:pt>
                <c:pt idx="460">
                  <c:v>139070.58852555123</c:v>
                </c:pt>
                <c:pt idx="461">
                  <c:v>139070.58852555123</c:v>
                </c:pt>
                <c:pt idx="462">
                  <c:v>139070.58852555123</c:v>
                </c:pt>
                <c:pt idx="463">
                  <c:v>139070.58852555123</c:v>
                </c:pt>
                <c:pt idx="464">
                  <c:v>139070.58852555123</c:v>
                </c:pt>
                <c:pt idx="465">
                  <c:v>139070.58852555123</c:v>
                </c:pt>
                <c:pt idx="466">
                  <c:v>139070.58852555123</c:v>
                </c:pt>
                <c:pt idx="467">
                  <c:v>139070.58852555123</c:v>
                </c:pt>
                <c:pt idx="468">
                  <c:v>139070.58852555123</c:v>
                </c:pt>
                <c:pt idx="469">
                  <c:v>139070.58852555123</c:v>
                </c:pt>
                <c:pt idx="470">
                  <c:v>139070.58852555123</c:v>
                </c:pt>
                <c:pt idx="471">
                  <c:v>139070.58852555123</c:v>
                </c:pt>
                <c:pt idx="472">
                  <c:v>139070.58852555123</c:v>
                </c:pt>
                <c:pt idx="473">
                  <c:v>139070.58852555123</c:v>
                </c:pt>
                <c:pt idx="474">
                  <c:v>139070.58852555123</c:v>
                </c:pt>
                <c:pt idx="475">
                  <c:v>139070.58852555123</c:v>
                </c:pt>
                <c:pt idx="476">
                  <c:v>139070.58852555123</c:v>
                </c:pt>
                <c:pt idx="477">
                  <c:v>139070.58852555123</c:v>
                </c:pt>
                <c:pt idx="478">
                  <c:v>139070.58852555123</c:v>
                </c:pt>
                <c:pt idx="479">
                  <c:v>139070.58852555123</c:v>
                </c:pt>
                <c:pt idx="480">
                  <c:v>139070.58852555123</c:v>
                </c:pt>
                <c:pt idx="481">
                  <c:v>139070.58852555123</c:v>
                </c:pt>
                <c:pt idx="482">
                  <c:v>139070.58852555123</c:v>
                </c:pt>
                <c:pt idx="483">
                  <c:v>134522.97315641702</c:v>
                </c:pt>
                <c:pt idx="484">
                  <c:v>134522.97315641702</c:v>
                </c:pt>
                <c:pt idx="485">
                  <c:v>134522.97315641702</c:v>
                </c:pt>
                <c:pt idx="486">
                  <c:v>134522.97315641702</c:v>
                </c:pt>
                <c:pt idx="487">
                  <c:v>134522.97315641702</c:v>
                </c:pt>
                <c:pt idx="488">
                  <c:v>134522.97315641702</c:v>
                </c:pt>
                <c:pt idx="489">
                  <c:v>134522.97315641702</c:v>
                </c:pt>
                <c:pt idx="490">
                  <c:v>134522.97315641702</c:v>
                </c:pt>
                <c:pt idx="491">
                  <c:v>134522.97315641702</c:v>
                </c:pt>
                <c:pt idx="492">
                  <c:v>134522.97315641702</c:v>
                </c:pt>
                <c:pt idx="493">
                  <c:v>134522.97315641702</c:v>
                </c:pt>
                <c:pt idx="494">
                  <c:v>134522.97315641702</c:v>
                </c:pt>
                <c:pt idx="495">
                  <c:v>134522.97315641702</c:v>
                </c:pt>
                <c:pt idx="496">
                  <c:v>134522.97315641702</c:v>
                </c:pt>
                <c:pt idx="497">
                  <c:v>134522.97315641702</c:v>
                </c:pt>
                <c:pt idx="498">
                  <c:v>134522.97315641702</c:v>
                </c:pt>
                <c:pt idx="499">
                  <c:v>134522.97315641702</c:v>
                </c:pt>
                <c:pt idx="500">
                  <c:v>134522.97315641702</c:v>
                </c:pt>
                <c:pt idx="501">
                  <c:v>134522.97315641702</c:v>
                </c:pt>
                <c:pt idx="502">
                  <c:v>134522.97315641702</c:v>
                </c:pt>
                <c:pt idx="503">
                  <c:v>134522.97315641702</c:v>
                </c:pt>
                <c:pt idx="504">
                  <c:v>134522.97315641702</c:v>
                </c:pt>
                <c:pt idx="505">
                  <c:v>134522.97315641702</c:v>
                </c:pt>
                <c:pt idx="506">
                  <c:v>134522.97315641702</c:v>
                </c:pt>
                <c:pt idx="507">
                  <c:v>134522.97315641702</c:v>
                </c:pt>
                <c:pt idx="508">
                  <c:v>134522.97315641702</c:v>
                </c:pt>
                <c:pt idx="509">
                  <c:v>134522.97315641702</c:v>
                </c:pt>
                <c:pt idx="510">
                  <c:v>134522.97315641702</c:v>
                </c:pt>
                <c:pt idx="511">
                  <c:v>134522.97315641702</c:v>
                </c:pt>
                <c:pt idx="512">
                  <c:v>134522.97315641702</c:v>
                </c:pt>
                <c:pt idx="513">
                  <c:v>129744.64130441773</c:v>
                </c:pt>
                <c:pt idx="514">
                  <c:v>129744.64130441773</c:v>
                </c:pt>
                <c:pt idx="515">
                  <c:v>129744.64130441773</c:v>
                </c:pt>
                <c:pt idx="516">
                  <c:v>129744.64130441773</c:v>
                </c:pt>
                <c:pt idx="517">
                  <c:v>129744.64130441773</c:v>
                </c:pt>
                <c:pt idx="518">
                  <c:v>129744.64130441773</c:v>
                </c:pt>
                <c:pt idx="519">
                  <c:v>129744.64130441773</c:v>
                </c:pt>
                <c:pt idx="520">
                  <c:v>129744.64130441773</c:v>
                </c:pt>
                <c:pt idx="521">
                  <c:v>129744.64130441773</c:v>
                </c:pt>
                <c:pt idx="522">
                  <c:v>129744.64130441773</c:v>
                </c:pt>
                <c:pt idx="523">
                  <c:v>129744.64130441773</c:v>
                </c:pt>
                <c:pt idx="524">
                  <c:v>129744.64130441773</c:v>
                </c:pt>
                <c:pt idx="525">
                  <c:v>129744.64130441773</c:v>
                </c:pt>
                <c:pt idx="526">
                  <c:v>129744.64130441773</c:v>
                </c:pt>
                <c:pt idx="527">
                  <c:v>129744.64130441773</c:v>
                </c:pt>
                <c:pt idx="528">
                  <c:v>129744.64130441773</c:v>
                </c:pt>
                <c:pt idx="529">
                  <c:v>129744.64130441773</c:v>
                </c:pt>
                <c:pt idx="530">
                  <c:v>129744.64130441773</c:v>
                </c:pt>
                <c:pt idx="531">
                  <c:v>129744.64130441773</c:v>
                </c:pt>
                <c:pt idx="532">
                  <c:v>129744.64130441773</c:v>
                </c:pt>
                <c:pt idx="533">
                  <c:v>129744.64130441773</c:v>
                </c:pt>
                <c:pt idx="534">
                  <c:v>129744.64130441773</c:v>
                </c:pt>
                <c:pt idx="535">
                  <c:v>129744.64130441773</c:v>
                </c:pt>
                <c:pt idx="536">
                  <c:v>129744.64130441773</c:v>
                </c:pt>
                <c:pt idx="537">
                  <c:v>129744.64130441773</c:v>
                </c:pt>
                <c:pt idx="538">
                  <c:v>129744.64130441773</c:v>
                </c:pt>
                <c:pt idx="539">
                  <c:v>129744.64130441773</c:v>
                </c:pt>
                <c:pt idx="540">
                  <c:v>129744.64130441773</c:v>
                </c:pt>
                <c:pt idx="541">
                  <c:v>129744.64130441773</c:v>
                </c:pt>
                <c:pt idx="542">
                  <c:v>129744.64130441773</c:v>
                </c:pt>
                <c:pt idx="543">
                  <c:v>129744.64130441773</c:v>
                </c:pt>
                <c:pt idx="544">
                  <c:v>126145.03183127953</c:v>
                </c:pt>
                <c:pt idx="545">
                  <c:v>126145.03183127953</c:v>
                </c:pt>
                <c:pt idx="546">
                  <c:v>126145.03183127953</c:v>
                </c:pt>
                <c:pt idx="547">
                  <c:v>126145.03183127953</c:v>
                </c:pt>
                <c:pt idx="548">
                  <c:v>126145.03183127953</c:v>
                </c:pt>
                <c:pt idx="549">
                  <c:v>126145.03183127953</c:v>
                </c:pt>
                <c:pt idx="550">
                  <c:v>126145.03183127953</c:v>
                </c:pt>
                <c:pt idx="551">
                  <c:v>126145.03183127953</c:v>
                </c:pt>
                <c:pt idx="552">
                  <c:v>126145.03183127953</c:v>
                </c:pt>
                <c:pt idx="553">
                  <c:v>126145.03183127953</c:v>
                </c:pt>
                <c:pt idx="554">
                  <c:v>126145.03183127953</c:v>
                </c:pt>
                <c:pt idx="555">
                  <c:v>126145.03183127953</c:v>
                </c:pt>
                <c:pt idx="556">
                  <c:v>126145.03183127953</c:v>
                </c:pt>
                <c:pt idx="557">
                  <c:v>126145.03183127953</c:v>
                </c:pt>
                <c:pt idx="558">
                  <c:v>126145.03183127953</c:v>
                </c:pt>
                <c:pt idx="559">
                  <c:v>126145.03183127953</c:v>
                </c:pt>
                <c:pt idx="560">
                  <c:v>126145.03183127953</c:v>
                </c:pt>
                <c:pt idx="561">
                  <c:v>126145.03183127953</c:v>
                </c:pt>
                <c:pt idx="562">
                  <c:v>126145.03183127953</c:v>
                </c:pt>
                <c:pt idx="563">
                  <c:v>126145.03183127953</c:v>
                </c:pt>
                <c:pt idx="564">
                  <c:v>126145.03183127953</c:v>
                </c:pt>
                <c:pt idx="565">
                  <c:v>126145.03183127953</c:v>
                </c:pt>
                <c:pt idx="566">
                  <c:v>126145.03183127953</c:v>
                </c:pt>
                <c:pt idx="567">
                  <c:v>126145.03183127953</c:v>
                </c:pt>
                <c:pt idx="568">
                  <c:v>126145.03183127953</c:v>
                </c:pt>
                <c:pt idx="569">
                  <c:v>126145.03183127953</c:v>
                </c:pt>
                <c:pt idx="570">
                  <c:v>126145.03183127953</c:v>
                </c:pt>
                <c:pt idx="571">
                  <c:v>126145.03183127953</c:v>
                </c:pt>
                <c:pt idx="572">
                  <c:v>126145.03183127953</c:v>
                </c:pt>
                <c:pt idx="573">
                  <c:v>126145.03183127953</c:v>
                </c:pt>
                <c:pt idx="574">
                  <c:v>126145.03183127953</c:v>
                </c:pt>
                <c:pt idx="575">
                  <c:v>110359.80916105576</c:v>
                </c:pt>
                <c:pt idx="576">
                  <c:v>110359.80916105576</c:v>
                </c:pt>
                <c:pt idx="577">
                  <c:v>110359.80916105576</c:v>
                </c:pt>
                <c:pt idx="578">
                  <c:v>110359.80916105576</c:v>
                </c:pt>
                <c:pt idx="579">
                  <c:v>110359.80916105576</c:v>
                </c:pt>
                <c:pt idx="580">
                  <c:v>110359.80916105576</c:v>
                </c:pt>
                <c:pt idx="581">
                  <c:v>110359.80916105576</c:v>
                </c:pt>
                <c:pt idx="582">
                  <c:v>110359.80916105576</c:v>
                </c:pt>
                <c:pt idx="583">
                  <c:v>110359.80916105576</c:v>
                </c:pt>
                <c:pt idx="584">
                  <c:v>110359.80916105576</c:v>
                </c:pt>
                <c:pt idx="585">
                  <c:v>110359.80916105576</c:v>
                </c:pt>
                <c:pt idx="586">
                  <c:v>110359.80916105576</c:v>
                </c:pt>
                <c:pt idx="587">
                  <c:v>110359.80916105576</c:v>
                </c:pt>
                <c:pt idx="588">
                  <c:v>110359.80916105576</c:v>
                </c:pt>
                <c:pt idx="589">
                  <c:v>110359.80916105576</c:v>
                </c:pt>
                <c:pt idx="590">
                  <c:v>110359.80916105576</c:v>
                </c:pt>
                <c:pt idx="591">
                  <c:v>110359.80916105576</c:v>
                </c:pt>
                <c:pt idx="592">
                  <c:v>110359.80916105576</c:v>
                </c:pt>
                <c:pt idx="593">
                  <c:v>110359.80916105576</c:v>
                </c:pt>
                <c:pt idx="594">
                  <c:v>110359.80916105576</c:v>
                </c:pt>
                <c:pt idx="595">
                  <c:v>110359.80916105576</c:v>
                </c:pt>
                <c:pt idx="596">
                  <c:v>110359.80916105576</c:v>
                </c:pt>
                <c:pt idx="597">
                  <c:v>110359.80916105576</c:v>
                </c:pt>
                <c:pt idx="598">
                  <c:v>110359.80916105576</c:v>
                </c:pt>
                <c:pt idx="599">
                  <c:v>110359.80916105576</c:v>
                </c:pt>
                <c:pt idx="600">
                  <c:v>110359.80916105576</c:v>
                </c:pt>
                <c:pt idx="601">
                  <c:v>110359.80916105576</c:v>
                </c:pt>
                <c:pt idx="602">
                  <c:v>110359.80916105576</c:v>
                </c:pt>
                <c:pt idx="603">
                  <c:v>110359.80916105576</c:v>
                </c:pt>
                <c:pt idx="604">
                  <c:v>110359.80916105576</c:v>
                </c:pt>
                <c:pt idx="605">
                  <c:v>107586.03298918066</c:v>
                </c:pt>
                <c:pt idx="606">
                  <c:v>107586.03298918066</c:v>
                </c:pt>
                <c:pt idx="607">
                  <c:v>107586.03298918066</c:v>
                </c:pt>
                <c:pt idx="608">
                  <c:v>107586.03298918066</c:v>
                </c:pt>
                <c:pt idx="609">
                  <c:v>107586.03298918066</c:v>
                </c:pt>
                <c:pt idx="610">
                  <c:v>107586.03298918066</c:v>
                </c:pt>
                <c:pt idx="611">
                  <c:v>107586.03298918066</c:v>
                </c:pt>
                <c:pt idx="612">
                  <c:v>107586.03298918066</c:v>
                </c:pt>
                <c:pt idx="613">
                  <c:v>107586.03298918066</c:v>
                </c:pt>
                <c:pt idx="614">
                  <c:v>107586.03298918066</c:v>
                </c:pt>
                <c:pt idx="615">
                  <c:v>107586.03298918066</c:v>
                </c:pt>
                <c:pt idx="616">
                  <c:v>107586.03298918066</c:v>
                </c:pt>
                <c:pt idx="617">
                  <c:v>107586.03298918066</c:v>
                </c:pt>
                <c:pt idx="618">
                  <c:v>107586.03298918066</c:v>
                </c:pt>
                <c:pt idx="619">
                  <c:v>107586.03298918066</c:v>
                </c:pt>
                <c:pt idx="620">
                  <c:v>107586.03298918066</c:v>
                </c:pt>
                <c:pt idx="621">
                  <c:v>107586.03298918066</c:v>
                </c:pt>
                <c:pt idx="622">
                  <c:v>107586.03298918066</c:v>
                </c:pt>
                <c:pt idx="623">
                  <c:v>107586.03298918066</c:v>
                </c:pt>
                <c:pt idx="624">
                  <c:v>107586.03298918066</c:v>
                </c:pt>
                <c:pt idx="625">
                  <c:v>107586.03298918066</c:v>
                </c:pt>
                <c:pt idx="626">
                  <c:v>107586.03298918066</c:v>
                </c:pt>
                <c:pt idx="627">
                  <c:v>107586.03298918066</c:v>
                </c:pt>
                <c:pt idx="628">
                  <c:v>107586.03298918066</c:v>
                </c:pt>
                <c:pt idx="629">
                  <c:v>107586.03298918066</c:v>
                </c:pt>
                <c:pt idx="630">
                  <c:v>107586.03298918066</c:v>
                </c:pt>
                <c:pt idx="631">
                  <c:v>107586.03298918066</c:v>
                </c:pt>
                <c:pt idx="632">
                  <c:v>107586.03298918066</c:v>
                </c:pt>
                <c:pt idx="633">
                  <c:v>107586.03298918066</c:v>
                </c:pt>
                <c:pt idx="634">
                  <c:v>107586.03298918066</c:v>
                </c:pt>
                <c:pt idx="635">
                  <c:v>107586.03298918066</c:v>
                </c:pt>
                <c:pt idx="636">
                  <c:v>104453.0360354775</c:v>
                </c:pt>
                <c:pt idx="637">
                  <c:v>104453.0360354775</c:v>
                </c:pt>
                <c:pt idx="638">
                  <c:v>104453.0360354775</c:v>
                </c:pt>
                <c:pt idx="639">
                  <c:v>104453.0360354775</c:v>
                </c:pt>
                <c:pt idx="640">
                  <c:v>104453.0360354775</c:v>
                </c:pt>
                <c:pt idx="641">
                  <c:v>104453.0360354775</c:v>
                </c:pt>
                <c:pt idx="642">
                  <c:v>104453.0360354775</c:v>
                </c:pt>
                <c:pt idx="643">
                  <c:v>104453.0360354775</c:v>
                </c:pt>
                <c:pt idx="644">
                  <c:v>104453.0360354775</c:v>
                </c:pt>
                <c:pt idx="645">
                  <c:v>104453.0360354775</c:v>
                </c:pt>
                <c:pt idx="646">
                  <c:v>104453.0360354775</c:v>
                </c:pt>
                <c:pt idx="647">
                  <c:v>104453.0360354775</c:v>
                </c:pt>
                <c:pt idx="648">
                  <c:v>104453.0360354775</c:v>
                </c:pt>
                <c:pt idx="649">
                  <c:v>104453.0360354775</c:v>
                </c:pt>
                <c:pt idx="650">
                  <c:v>104453.0360354775</c:v>
                </c:pt>
                <c:pt idx="651">
                  <c:v>104453.0360354775</c:v>
                </c:pt>
                <c:pt idx="652">
                  <c:v>104453.0360354775</c:v>
                </c:pt>
                <c:pt idx="653">
                  <c:v>104453.0360354775</c:v>
                </c:pt>
                <c:pt idx="654">
                  <c:v>104453.0360354775</c:v>
                </c:pt>
                <c:pt idx="655">
                  <c:v>104453.0360354775</c:v>
                </c:pt>
                <c:pt idx="656">
                  <c:v>104453.0360354775</c:v>
                </c:pt>
                <c:pt idx="657">
                  <c:v>104453.0360354775</c:v>
                </c:pt>
                <c:pt idx="658">
                  <c:v>104453.0360354775</c:v>
                </c:pt>
                <c:pt idx="659">
                  <c:v>104453.0360354775</c:v>
                </c:pt>
                <c:pt idx="660">
                  <c:v>104453.0360354775</c:v>
                </c:pt>
                <c:pt idx="661">
                  <c:v>104453.0360354775</c:v>
                </c:pt>
                <c:pt idx="662">
                  <c:v>104453.0360354775</c:v>
                </c:pt>
                <c:pt idx="663">
                  <c:v>104453.0360354775</c:v>
                </c:pt>
                <c:pt idx="664">
                  <c:v>104453.0360354775</c:v>
                </c:pt>
                <c:pt idx="665">
                  <c:v>104453.0360354775</c:v>
                </c:pt>
                <c:pt idx="666">
                  <c:v>101865.66470256608</c:v>
                </c:pt>
                <c:pt idx="667">
                  <c:v>101865.66470256608</c:v>
                </c:pt>
                <c:pt idx="668">
                  <c:v>101865.66470256608</c:v>
                </c:pt>
                <c:pt idx="669">
                  <c:v>101865.66470256608</c:v>
                </c:pt>
                <c:pt idx="670">
                  <c:v>101865.66470256608</c:v>
                </c:pt>
                <c:pt idx="671">
                  <c:v>101865.66470256608</c:v>
                </c:pt>
                <c:pt idx="672">
                  <c:v>101865.66470256608</c:v>
                </c:pt>
                <c:pt idx="673">
                  <c:v>101865.66470256608</c:v>
                </c:pt>
                <c:pt idx="674">
                  <c:v>101865.66470256608</c:v>
                </c:pt>
                <c:pt idx="675">
                  <c:v>101865.66470256608</c:v>
                </c:pt>
                <c:pt idx="676">
                  <c:v>101865.66470256608</c:v>
                </c:pt>
                <c:pt idx="677">
                  <c:v>101865.66470256608</c:v>
                </c:pt>
                <c:pt idx="678">
                  <c:v>101865.66470256608</c:v>
                </c:pt>
                <c:pt idx="679">
                  <c:v>101865.66470256608</c:v>
                </c:pt>
                <c:pt idx="680">
                  <c:v>101865.66470256608</c:v>
                </c:pt>
                <c:pt idx="681">
                  <c:v>101865.66470256608</c:v>
                </c:pt>
                <c:pt idx="682">
                  <c:v>101865.66470256608</c:v>
                </c:pt>
                <c:pt idx="683">
                  <c:v>101865.66470256608</c:v>
                </c:pt>
                <c:pt idx="684">
                  <c:v>101865.66470256608</c:v>
                </c:pt>
                <c:pt idx="685">
                  <c:v>101865.66470256608</c:v>
                </c:pt>
                <c:pt idx="686">
                  <c:v>101865.66470256608</c:v>
                </c:pt>
                <c:pt idx="687">
                  <c:v>101865.66470256608</c:v>
                </c:pt>
                <c:pt idx="688">
                  <c:v>101865.66470256608</c:v>
                </c:pt>
                <c:pt idx="689">
                  <c:v>101865.66470256608</c:v>
                </c:pt>
                <c:pt idx="690">
                  <c:v>101865.66470256608</c:v>
                </c:pt>
                <c:pt idx="691">
                  <c:v>101865.66470256608</c:v>
                </c:pt>
                <c:pt idx="692">
                  <c:v>101865.66470256608</c:v>
                </c:pt>
                <c:pt idx="693">
                  <c:v>101865.66470256608</c:v>
                </c:pt>
                <c:pt idx="694">
                  <c:v>101865.66470256608</c:v>
                </c:pt>
                <c:pt idx="695">
                  <c:v>101865.66470256608</c:v>
                </c:pt>
                <c:pt idx="696">
                  <c:v>101865.66470256608</c:v>
                </c:pt>
                <c:pt idx="697">
                  <c:v>99200.116712389412</c:v>
                </c:pt>
                <c:pt idx="698">
                  <c:v>99200.116712389412</c:v>
                </c:pt>
                <c:pt idx="699">
                  <c:v>99200.116712389412</c:v>
                </c:pt>
                <c:pt idx="700">
                  <c:v>99200.116712389412</c:v>
                </c:pt>
                <c:pt idx="701">
                  <c:v>99200.116712389412</c:v>
                </c:pt>
                <c:pt idx="702">
                  <c:v>99200.116712389412</c:v>
                </c:pt>
                <c:pt idx="703">
                  <c:v>99200.116712389412</c:v>
                </c:pt>
                <c:pt idx="704">
                  <c:v>99200.116712389412</c:v>
                </c:pt>
                <c:pt idx="705">
                  <c:v>99200.116712389412</c:v>
                </c:pt>
                <c:pt idx="706">
                  <c:v>99200.116712389412</c:v>
                </c:pt>
                <c:pt idx="707">
                  <c:v>99200.116712389412</c:v>
                </c:pt>
                <c:pt idx="708">
                  <c:v>99200.116712389412</c:v>
                </c:pt>
                <c:pt idx="709">
                  <c:v>99200.116712389412</c:v>
                </c:pt>
                <c:pt idx="710">
                  <c:v>99200.116712389412</c:v>
                </c:pt>
                <c:pt idx="711">
                  <c:v>99200.116712389412</c:v>
                </c:pt>
                <c:pt idx="712">
                  <c:v>99200.116712389412</c:v>
                </c:pt>
                <c:pt idx="713">
                  <c:v>99200.116712389412</c:v>
                </c:pt>
                <c:pt idx="714">
                  <c:v>99200.116712389412</c:v>
                </c:pt>
                <c:pt idx="715">
                  <c:v>99200.116712389412</c:v>
                </c:pt>
                <c:pt idx="716">
                  <c:v>99200.116712389412</c:v>
                </c:pt>
                <c:pt idx="717">
                  <c:v>99200.116712389412</c:v>
                </c:pt>
                <c:pt idx="718">
                  <c:v>99200.116712389412</c:v>
                </c:pt>
                <c:pt idx="719">
                  <c:v>99200.116712389412</c:v>
                </c:pt>
                <c:pt idx="720">
                  <c:v>99200.116712389412</c:v>
                </c:pt>
                <c:pt idx="721">
                  <c:v>99200.116712389412</c:v>
                </c:pt>
                <c:pt idx="722">
                  <c:v>99200.116712389412</c:v>
                </c:pt>
                <c:pt idx="723">
                  <c:v>99200.116712389412</c:v>
                </c:pt>
                <c:pt idx="724">
                  <c:v>99200.116712389412</c:v>
                </c:pt>
                <c:pt idx="725">
                  <c:v>99200.116712389412</c:v>
                </c:pt>
                <c:pt idx="726">
                  <c:v>99200.116712389412</c:v>
                </c:pt>
                <c:pt idx="727">
                  <c:v>99200.116712389412</c:v>
                </c:pt>
                <c:pt idx="728">
                  <c:v>96652.327110692102</c:v>
                </c:pt>
                <c:pt idx="729">
                  <c:v>96652.327110692102</c:v>
                </c:pt>
                <c:pt idx="730">
                  <c:v>96652.327110692102</c:v>
                </c:pt>
                <c:pt idx="731">
                  <c:v>96652.327110692102</c:v>
                </c:pt>
                <c:pt idx="732">
                  <c:v>96652.327110692102</c:v>
                </c:pt>
                <c:pt idx="733">
                  <c:v>96652.327110692102</c:v>
                </c:pt>
                <c:pt idx="734">
                  <c:v>96652.327110692102</c:v>
                </c:pt>
                <c:pt idx="735">
                  <c:v>96652.327110692102</c:v>
                </c:pt>
                <c:pt idx="736">
                  <c:v>96652.327110692102</c:v>
                </c:pt>
                <c:pt idx="737">
                  <c:v>96652.327110692102</c:v>
                </c:pt>
                <c:pt idx="738">
                  <c:v>96652.327110692102</c:v>
                </c:pt>
                <c:pt idx="739">
                  <c:v>96652.327110692102</c:v>
                </c:pt>
                <c:pt idx="740">
                  <c:v>96652.327110692102</c:v>
                </c:pt>
                <c:pt idx="741">
                  <c:v>96652.327110692102</c:v>
                </c:pt>
                <c:pt idx="742">
                  <c:v>96652.327110692102</c:v>
                </c:pt>
                <c:pt idx="743">
                  <c:v>96652.327110692102</c:v>
                </c:pt>
                <c:pt idx="744">
                  <c:v>96652.327110692102</c:v>
                </c:pt>
                <c:pt idx="745">
                  <c:v>96652.327110692102</c:v>
                </c:pt>
                <c:pt idx="746">
                  <c:v>96652.327110692102</c:v>
                </c:pt>
                <c:pt idx="747">
                  <c:v>96652.327110692102</c:v>
                </c:pt>
                <c:pt idx="748">
                  <c:v>96652.327110692102</c:v>
                </c:pt>
                <c:pt idx="749">
                  <c:v>96652.327110692102</c:v>
                </c:pt>
                <c:pt idx="750">
                  <c:v>96652.327110692102</c:v>
                </c:pt>
                <c:pt idx="751">
                  <c:v>96652.327110692102</c:v>
                </c:pt>
                <c:pt idx="752">
                  <c:v>96652.327110692102</c:v>
                </c:pt>
                <c:pt idx="753">
                  <c:v>96652.327110692102</c:v>
                </c:pt>
                <c:pt idx="754">
                  <c:v>96652.327110692102</c:v>
                </c:pt>
                <c:pt idx="755">
                  <c:v>96652.327110692102</c:v>
                </c:pt>
                <c:pt idx="756">
                  <c:v>94352.874986989889</c:v>
                </c:pt>
                <c:pt idx="757">
                  <c:v>94352.874986989889</c:v>
                </c:pt>
                <c:pt idx="758">
                  <c:v>94352.874986989889</c:v>
                </c:pt>
                <c:pt idx="759">
                  <c:v>94352.874986989889</c:v>
                </c:pt>
                <c:pt idx="760">
                  <c:v>94352.874986989889</c:v>
                </c:pt>
                <c:pt idx="761">
                  <c:v>94352.874986989889</c:v>
                </c:pt>
                <c:pt idx="762">
                  <c:v>94352.874986989889</c:v>
                </c:pt>
                <c:pt idx="763">
                  <c:v>94352.874986989889</c:v>
                </c:pt>
                <c:pt idx="764">
                  <c:v>94352.874986989889</c:v>
                </c:pt>
                <c:pt idx="765">
                  <c:v>94352.874986989889</c:v>
                </c:pt>
                <c:pt idx="766">
                  <c:v>94352.874986989889</c:v>
                </c:pt>
                <c:pt idx="767">
                  <c:v>94352.874986989889</c:v>
                </c:pt>
                <c:pt idx="768">
                  <c:v>94352.874986989889</c:v>
                </c:pt>
                <c:pt idx="769">
                  <c:v>94352.874986989889</c:v>
                </c:pt>
                <c:pt idx="770">
                  <c:v>94352.874986989889</c:v>
                </c:pt>
                <c:pt idx="771">
                  <c:v>94352.874986989889</c:v>
                </c:pt>
                <c:pt idx="772">
                  <c:v>94352.874986989889</c:v>
                </c:pt>
                <c:pt idx="773">
                  <c:v>94352.874986989889</c:v>
                </c:pt>
                <c:pt idx="774">
                  <c:v>94352.874986989889</c:v>
                </c:pt>
                <c:pt idx="775">
                  <c:v>94352.874986989889</c:v>
                </c:pt>
                <c:pt idx="776">
                  <c:v>94352.874986989889</c:v>
                </c:pt>
                <c:pt idx="777">
                  <c:v>94352.874986989889</c:v>
                </c:pt>
                <c:pt idx="778">
                  <c:v>94352.874986989889</c:v>
                </c:pt>
                <c:pt idx="779">
                  <c:v>94352.874986989889</c:v>
                </c:pt>
                <c:pt idx="780">
                  <c:v>94352.874986989889</c:v>
                </c:pt>
                <c:pt idx="781">
                  <c:v>94352.874986989889</c:v>
                </c:pt>
                <c:pt idx="782">
                  <c:v>94352.874986989889</c:v>
                </c:pt>
                <c:pt idx="783">
                  <c:v>94352.874986989889</c:v>
                </c:pt>
                <c:pt idx="784">
                  <c:v>94352.874986989889</c:v>
                </c:pt>
                <c:pt idx="785">
                  <c:v>94352.874986989889</c:v>
                </c:pt>
                <c:pt idx="786">
                  <c:v>94352.874986989889</c:v>
                </c:pt>
                <c:pt idx="787">
                  <c:v>91556.047493382444</c:v>
                </c:pt>
                <c:pt idx="788">
                  <c:v>91556.047493382444</c:v>
                </c:pt>
                <c:pt idx="789">
                  <c:v>91556.047493382444</c:v>
                </c:pt>
                <c:pt idx="790">
                  <c:v>91556.047493382444</c:v>
                </c:pt>
                <c:pt idx="791">
                  <c:v>91556.047493382444</c:v>
                </c:pt>
                <c:pt idx="792">
                  <c:v>91556.047493382444</c:v>
                </c:pt>
                <c:pt idx="793">
                  <c:v>91556.047493382444</c:v>
                </c:pt>
                <c:pt idx="794">
                  <c:v>91556.047493382444</c:v>
                </c:pt>
                <c:pt idx="795">
                  <c:v>91556.047493382444</c:v>
                </c:pt>
                <c:pt idx="796">
                  <c:v>91556.047493382444</c:v>
                </c:pt>
                <c:pt idx="797">
                  <c:v>91556.047493382444</c:v>
                </c:pt>
                <c:pt idx="798">
                  <c:v>91556.047493382444</c:v>
                </c:pt>
                <c:pt idx="799">
                  <c:v>91556.047493382444</c:v>
                </c:pt>
                <c:pt idx="800">
                  <c:v>91556.047493382444</c:v>
                </c:pt>
                <c:pt idx="801">
                  <c:v>91556.047493382444</c:v>
                </c:pt>
                <c:pt idx="802">
                  <c:v>91556.047493382444</c:v>
                </c:pt>
                <c:pt idx="803">
                  <c:v>91556.047493382444</c:v>
                </c:pt>
                <c:pt idx="804">
                  <c:v>91556.047493382444</c:v>
                </c:pt>
                <c:pt idx="805">
                  <c:v>91556.047493382444</c:v>
                </c:pt>
                <c:pt idx="806">
                  <c:v>91556.047493382444</c:v>
                </c:pt>
                <c:pt idx="807">
                  <c:v>91556.047493382444</c:v>
                </c:pt>
                <c:pt idx="808">
                  <c:v>91556.047493382444</c:v>
                </c:pt>
                <c:pt idx="809">
                  <c:v>91556.047493382444</c:v>
                </c:pt>
                <c:pt idx="810">
                  <c:v>91556.047493382444</c:v>
                </c:pt>
                <c:pt idx="811">
                  <c:v>91556.047493382444</c:v>
                </c:pt>
                <c:pt idx="812">
                  <c:v>91556.047493382444</c:v>
                </c:pt>
                <c:pt idx="813">
                  <c:v>91556.047493382444</c:v>
                </c:pt>
                <c:pt idx="814">
                  <c:v>91556.047493382444</c:v>
                </c:pt>
                <c:pt idx="815">
                  <c:v>91556.047493382444</c:v>
                </c:pt>
                <c:pt idx="816">
                  <c:v>91556.047493382444</c:v>
                </c:pt>
                <c:pt idx="817">
                  <c:v>89233.797483102899</c:v>
                </c:pt>
                <c:pt idx="818">
                  <c:v>89233.797483102899</c:v>
                </c:pt>
                <c:pt idx="819">
                  <c:v>89233.797483102899</c:v>
                </c:pt>
                <c:pt idx="820">
                  <c:v>89233.797483102899</c:v>
                </c:pt>
                <c:pt idx="821">
                  <c:v>89233.797483102899</c:v>
                </c:pt>
                <c:pt idx="822">
                  <c:v>89233.797483102899</c:v>
                </c:pt>
                <c:pt idx="823">
                  <c:v>89233.797483102899</c:v>
                </c:pt>
                <c:pt idx="824">
                  <c:v>89233.797483102899</c:v>
                </c:pt>
                <c:pt idx="825">
                  <c:v>89233.797483102899</c:v>
                </c:pt>
                <c:pt idx="826">
                  <c:v>89233.797483102899</c:v>
                </c:pt>
                <c:pt idx="827">
                  <c:v>89233.797483102899</c:v>
                </c:pt>
                <c:pt idx="828">
                  <c:v>89233.797483102899</c:v>
                </c:pt>
                <c:pt idx="829">
                  <c:v>89233.797483102899</c:v>
                </c:pt>
                <c:pt idx="830">
                  <c:v>89233.797483102899</c:v>
                </c:pt>
                <c:pt idx="831">
                  <c:v>89233.797483102899</c:v>
                </c:pt>
                <c:pt idx="832">
                  <c:v>89233.797483102899</c:v>
                </c:pt>
                <c:pt idx="833">
                  <c:v>89233.797483102899</c:v>
                </c:pt>
                <c:pt idx="834">
                  <c:v>89233.797483102899</c:v>
                </c:pt>
                <c:pt idx="835">
                  <c:v>89233.797483102899</c:v>
                </c:pt>
                <c:pt idx="836">
                  <c:v>89233.797483102899</c:v>
                </c:pt>
                <c:pt idx="837">
                  <c:v>89233.797483102899</c:v>
                </c:pt>
                <c:pt idx="838">
                  <c:v>89233.797483102899</c:v>
                </c:pt>
                <c:pt idx="839">
                  <c:v>89233.797483102899</c:v>
                </c:pt>
                <c:pt idx="840">
                  <c:v>89233.797483102899</c:v>
                </c:pt>
                <c:pt idx="841">
                  <c:v>89233.797483102899</c:v>
                </c:pt>
                <c:pt idx="842">
                  <c:v>89233.797483102899</c:v>
                </c:pt>
                <c:pt idx="843">
                  <c:v>89233.797483102899</c:v>
                </c:pt>
                <c:pt idx="844">
                  <c:v>89233.797483102899</c:v>
                </c:pt>
                <c:pt idx="845">
                  <c:v>89233.797483102899</c:v>
                </c:pt>
                <c:pt idx="846">
                  <c:v>89233.797483102899</c:v>
                </c:pt>
                <c:pt idx="847">
                  <c:v>89233.797483102899</c:v>
                </c:pt>
                <c:pt idx="848">
                  <c:v>86838.617808934199</c:v>
                </c:pt>
                <c:pt idx="849">
                  <c:v>86838.617808934199</c:v>
                </c:pt>
                <c:pt idx="850">
                  <c:v>86838.617808934199</c:v>
                </c:pt>
                <c:pt idx="851">
                  <c:v>86838.617808934199</c:v>
                </c:pt>
                <c:pt idx="852">
                  <c:v>86838.617808934199</c:v>
                </c:pt>
                <c:pt idx="853">
                  <c:v>86838.617808934199</c:v>
                </c:pt>
                <c:pt idx="854">
                  <c:v>86838.617808934199</c:v>
                </c:pt>
                <c:pt idx="855">
                  <c:v>86838.617808934199</c:v>
                </c:pt>
                <c:pt idx="856">
                  <c:v>86838.617808934199</c:v>
                </c:pt>
                <c:pt idx="857">
                  <c:v>86838.617808934199</c:v>
                </c:pt>
                <c:pt idx="858">
                  <c:v>86838.617808934199</c:v>
                </c:pt>
                <c:pt idx="859">
                  <c:v>86838.617808934199</c:v>
                </c:pt>
                <c:pt idx="860">
                  <c:v>86838.617808934199</c:v>
                </c:pt>
                <c:pt idx="861">
                  <c:v>86838.617808934199</c:v>
                </c:pt>
                <c:pt idx="862">
                  <c:v>86838.617808934199</c:v>
                </c:pt>
                <c:pt idx="863">
                  <c:v>86838.617808934199</c:v>
                </c:pt>
                <c:pt idx="864">
                  <c:v>86838.617808934199</c:v>
                </c:pt>
                <c:pt idx="865">
                  <c:v>86838.617808934199</c:v>
                </c:pt>
                <c:pt idx="866">
                  <c:v>86838.617808934199</c:v>
                </c:pt>
                <c:pt idx="867">
                  <c:v>86838.617808934199</c:v>
                </c:pt>
                <c:pt idx="868">
                  <c:v>86838.617808934199</c:v>
                </c:pt>
                <c:pt idx="869">
                  <c:v>86838.617808934199</c:v>
                </c:pt>
                <c:pt idx="870">
                  <c:v>86838.617808934199</c:v>
                </c:pt>
                <c:pt idx="871">
                  <c:v>86838.617808934199</c:v>
                </c:pt>
                <c:pt idx="872">
                  <c:v>86838.617808934199</c:v>
                </c:pt>
                <c:pt idx="873">
                  <c:v>86838.617808934199</c:v>
                </c:pt>
                <c:pt idx="874">
                  <c:v>86838.617808934199</c:v>
                </c:pt>
                <c:pt idx="875">
                  <c:v>86838.617808934199</c:v>
                </c:pt>
                <c:pt idx="876">
                  <c:v>86838.617808934199</c:v>
                </c:pt>
                <c:pt idx="877">
                  <c:v>86838.617808934199</c:v>
                </c:pt>
                <c:pt idx="878">
                  <c:v>83981.468271034639</c:v>
                </c:pt>
                <c:pt idx="879">
                  <c:v>83981.468271034639</c:v>
                </c:pt>
                <c:pt idx="880">
                  <c:v>83981.468271034639</c:v>
                </c:pt>
                <c:pt idx="881">
                  <c:v>83981.468271034639</c:v>
                </c:pt>
                <c:pt idx="882">
                  <c:v>83981.468271034639</c:v>
                </c:pt>
                <c:pt idx="883">
                  <c:v>83981.468271034639</c:v>
                </c:pt>
                <c:pt idx="884">
                  <c:v>83981.468271034639</c:v>
                </c:pt>
                <c:pt idx="885">
                  <c:v>83981.468271034639</c:v>
                </c:pt>
                <c:pt idx="886">
                  <c:v>83981.468271034639</c:v>
                </c:pt>
                <c:pt idx="887">
                  <c:v>83981.468271034639</c:v>
                </c:pt>
                <c:pt idx="888">
                  <c:v>83981.468271034639</c:v>
                </c:pt>
                <c:pt idx="889">
                  <c:v>83981.468271034639</c:v>
                </c:pt>
                <c:pt idx="890">
                  <c:v>83981.468271034639</c:v>
                </c:pt>
                <c:pt idx="891">
                  <c:v>83981.468271034639</c:v>
                </c:pt>
                <c:pt idx="892">
                  <c:v>83981.468271034639</c:v>
                </c:pt>
                <c:pt idx="893">
                  <c:v>83981.468271034639</c:v>
                </c:pt>
                <c:pt idx="894">
                  <c:v>83981.468271034639</c:v>
                </c:pt>
                <c:pt idx="895">
                  <c:v>83981.468271034639</c:v>
                </c:pt>
                <c:pt idx="896">
                  <c:v>83981.468271034639</c:v>
                </c:pt>
                <c:pt idx="897">
                  <c:v>83981.468271034639</c:v>
                </c:pt>
                <c:pt idx="898">
                  <c:v>83981.468271034639</c:v>
                </c:pt>
                <c:pt idx="899">
                  <c:v>83981.468271034639</c:v>
                </c:pt>
                <c:pt idx="900">
                  <c:v>83981.468271034639</c:v>
                </c:pt>
                <c:pt idx="901">
                  <c:v>83981.468271034639</c:v>
                </c:pt>
                <c:pt idx="902">
                  <c:v>83981.468271034639</c:v>
                </c:pt>
                <c:pt idx="903">
                  <c:v>83981.468271034639</c:v>
                </c:pt>
                <c:pt idx="904">
                  <c:v>83981.468271034639</c:v>
                </c:pt>
                <c:pt idx="905">
                  <c:v>83981.468271034639</c:v>
                </c:pt>
                <c:pt idx="906">
                  <c:v>83981.468271034639</c:v>
                </c:pt>
                <c:pt idx="907">
                  <c:v>83981.468271034639</c:v>
                </c:pt>
                <c:pt idx="908">
                  <c:v>83981.468271034639</c:v>
                </c:pt>
                <c:pt idx="909">
                  <c:v>81598.093359535706</c:v>
                </c:pt>
                <c:pt idx="910">
                  <c:v>81598.093359535706</c:v>
                </c:pt>
                <c:pt idx="911">
                  <c:v>81598.093359535706</c:v>
                </c:pt>
                <c:pt idx="912">
                  <c:v>81598.093359535706</c:v>
                </c:pt>
                <c:pt idx="913">
                  <c:v>81598.093359535706</c:v>
                </c:pt>
                <c:pt idx="914">
                  <c:v>81598.093359535706</c:v>
                </c:pt>
                <c:pt idx="915">
                  <c:v>81598.093359535706</c:v>
                </c:pt>
                <c:pt idx="916">
                  <c:v>81598.093359535706</c:v>
                </c:pt>
                <c:pt idx="917">
                  <c:v>81598.093359535706</c:v>
                </c:pt>
                <c:pt idx="918">
                  <c:v>81598.093359535706</c:v>
                </c:pt>
                <c:pt idx="919">
                  <c:v>81598.093359535706</c:v>
                </c:pt>
                <c:pt idx="920">
                  <c:v>81598.093359535706</c:v>
                </c:pt>
                <c:pt idx="921">
                  <c:v>81598.093359535706</c:v>
                </c:pt>
                <c:pt idx="922">
                  <c:v>81598.093359535706</c:v>
                </c:pt>
                <c:pt idx="923">
                  <c:v>81598.093359535706</c:v>
                </c:pt>
                <c:pt idx="924">
                  <c:v>81598.093359535706</c:v>
                </c:pt>
                <c:pt idx="925">
                  <c:v>81598.093359535706</c:v>
                </c:pt>
                <c:pt idx="926">
                  <c:v>81598.093359535706</c:v>
                </c:pt>
                <c:pt idx="927">
                  <c:v>81598.093359535706</c:v>
                </c:pt>
                <c:pt idx="928">
                  <c:v>81598.093359535706</c:v>
                </c:pt>
                <c:pt idx="929">
                  <c:v>81598.093359535706</c:v>
                </c:pt>
                <c:pt idx="930">
                  <c:v>81598.093359535706</c:v>
                </c:pt>
                <c:pt idx="931">
                  <c:v>81598.093359535706</c:v>
                </c:pt>
                <c:pt idx="932">
                  <c:v>81598.093359535706</c:v>
                </c:pt>
                <c:pt idx="933">
                  <c:v>81598.093359535706</c:v>
                </c:pt>
                <c:pt idx="934">
                  <c:v>81598.093359535706</c:v>
                </c:pt>
                <c:pt idx="935">
                  <c:v>81598.093359535706</c:v>
                </c:pt>
                <c:pt idx="936">
                  <c:v>81598.093359535706</c:v>
                </c:pt>
                <c:pt idx="937">
                  <c:v>81598.093359535706</c:v>
                </c:pt>
                <c:pt idx="938">
                  <c:v>81598.093359535706</c:v>
                </c:pt>
                <c:pt idx="939">
                  <c:v>81598.093359535706</c:v>
                </c:pt>
                <c:pt idx="940">
                  <c:v>79672.191680587028</c:v>
                </c:pt>
                <c:pt idx="941">
                  <c:v>79672.191680587028</c:v>
                </c:pt>
                <c:pt idx="942">
                  <c:v>79672.191680587028</c:v>
                </c:pt>
                <c:pt idx="943">
                  <c:v>79672.191680587028</c:v>
                </c:pt>
                <c:pt idx="944">
                  <c:v>79672.191680587028</c:v>
                </c:pt>
                <c:pt idx="945">
                  <c:v>79672.191680587028</c:v>
                </c:pt>
                <c:pt idx="946">
                  <c:v>79672.191680587028</c:v>
                </c:pt>
                <c:pt idx="947">
                  <c:v>79672.191680587028</c:v>
                </c:pt>
                <c:pt idx="948">
                  <c:v>79672.191680587028</c:v>
                </c:pt>
                <c:pt idx="949">
                  <c:v>79672.191680587028</c:v>
                </c:pt>
                <c:pt idx="950">
                  <c:v>79672.191680587028</c:v>
                </c:pt>
                <c:pt idx="951">
                  <c:v>79672.191680587028</c:v>
                </c:pt>
                <c:pt idx="952">
                  <c:v>79672.191680587028</c:v>
                </c:pt>
                <c:pt idx="953">
                  <c:v>79672.191680587028</c:v>
                </c:pt>
                <c:pt idx="954">
                  <c:v>79672.191680587028</c:v>
                </c:pt>
                <c:pt idx="955">
                  <c:v>79672.191680587028</c:v>
                </c:pt>
                <c:pt idx="956">
                  <c:v>79672.191680587028</c:v>
                </c:pt>
                <c:pt idx="957">
                  <c:v>79672.191680587028</c:v>
                </c:pt>
                <c:pt idx="958">
                  <c:v>79672.191680587028</c:v>
                </c:pt>
                <c:pt idx="959">
                  <c:v>79672.191680587028</c:v>
                </c:pt>
                <c:pt idx="960">
                  <c:v>79672.191680587028</c:v>
                </c:pt>
                <c:pt idx="961">
                  <c:v>79672.191680587028</c:v>
                </c:pt>
                <c:pt idx="962">
                  <c:v>79672.191680587028</c:v>
                </c:pt>
                <c:pt idx="963">
                  <c:v>79672.191680587028</c:v>
                </c:pt>
                <c:pt idx="964">
                  <c:v>79672.191680587028</c:v>
                </c:pt>
                <c:pt idx="965">
                  <c:v>79672.191680587028</c:v>
                </c:pt>
                <c:pt idx="966">
                  <c:v>79672.191680587028</c:v>
                </c:pt>
                <c:pt idx="967">
                  <c:v>79672.191680587028</c:v>
                </c:pt>
                <c:pt idx="968">
                  <c:v>79672.191680587028</c:v>
                </c:pt>
                <c:pt idx="969">
                  <c:v>79672.191680587028</c:v>
                </c:pt>
                <c:pt idx="970">
                  <c:v>77859.781789036759</c:v>
                </c:pt>
                <c:pt idx="971">
                  <c:v>77859.781789036759</c:v>
                </c:pt>
                <c:pt idx="972">
                  <c:v>77859.781789036759</c:v>
                </c:pt>
                <c:pt idx="973">
                  <c:v>77859.781789036759</c:v>
                </c:pt>
                <c:pt idx="974">
                  <c:v>77859.781789036759</c:v>
                </c:pt>
                <c:pt idx="975">
                  <c:v>77859.781789036759</c:v>
                </c:pt>
                <c:pt idx="976">
                  <c:v>77859.781789036759</c:v>
                </c:pt>
                <c:pt idx="977">
                  <c:v>77859.781789036759</c:v>
                </c:pt>
                <c:pt idx="978">
                  <c:v>77859.781789036759</c:v>
                </c:pt>
                <c:pt idx="979">
                  <c:v>77859.781789036759</c:v>
                </c:pt>
                <c:pt idx="980">
                  <c:v>77859.781789036759</c:v>
                </c:pt>
                <c:pt idx="981">
                  <c:v>77859.781789036759</c:v>
                </c:pt>
                <c:pt idx="982">
                  <c:v>77859.781789036759</c:v>
                </c:pt>
                <c:pt idx="983">
                  <c:v>77859.781789036759</c:v>
                </c:pt>
                <c:pt idx="984">
                  <c:v>77859.781789036759</c:v>
                </c:pt>
                <c:pt idx="985">
                  <c:v>77859.781789036759</c:v>
                </c:pt>
                <c:pt idx="986">
                  <c:v>77859.781789036759</c:v>
                </c:pt>
                <c:pt idx="987">
                  <c:v>77859.781789036759</c:v>
                </c:pt>
                <c:pt idx="988">
                  <c:v>77859.781789036759</c:v>
                </c:pt>
                <c:pt idx="989">
                  <c:v>77859.781789036759</c:v>
                </c:pt>
                <c:pt idx="990">
                  <c:v>77859.781789036759</c:v>
                </c:pt>
                <c:pt idx="991">
                  <c:v>77859.781789036759</c:v>
                </c:pt>
                <c:pt idx="992">
                  <c:v>77859.781789036759</c:v>
                </c:pt>
                <c:pt idx="993">
                  <c:v>77859.781789036759</c:v>
                </c:pt>
                <c:pt idx="994">
                  <c:v>77859.781789036759</c:v>
                </c:pt>
                <c:pt idx="995">
                  <c:v>77859.781789036759</c:v>
                </c:pt>
                <c:pt idx="996">
                  <c:v>77859.781789036759</c:v>
                </c:pt>
                <c:pt idx="997">
                  <c:v>77859.781789036759</c:v>
                </c:pt>
                <c:pt idx="998">
                  <c:v>77859.781789036759</c:v>
                </c:pt>
                <c:pt idx="999">
                  <c:v>77859.781789036759</c:v>
                </c:pt>
                <c:pt idx="1000">
                  <c:v>77859.781789036759</c:v>
                </c:pt>
                <c:pt idx="1001">
                  <c:v>76251.840383268733</c:v>
                </c:pt>
                <c:pt idx="1002">
                  <c:v>76251.840383268733</c:v>
                </c:pt>
                <c:pt idx="1003">
                  <c:v>76251.840383268733</c:v>
                </c:pt>
                <c:pt idx="1004">
                  <c:v>76251.840383268733</c:v>
                </c:pt>
                <c:pt idx="1005">
                  <c:v>76251.840383268733</c:v>
                </c:pt>
                <c:pt idx="1006">
                  <c:v>76251.840383268733</c:v>
                </c:pt>
                <c:pt idx="1007">
                  <c:v>76251.840383268733</c:v>
                </c:pt>
                <c:pt idx="1008">
                  <c:v>76251.840383268733</c:v>
                </c:pt>
                <c:pt idx="1009">
                  <c:v>76251.840383268733</c:v>
                </c:pt>
                <c:pt idx="1010">
                  <c:v>76251.840383268733</c:v>
                </c:pt>
                <c:pt idx="1011">
                  <c:v>76251.840383268733</c:v>
                </c:pt>
                <c:pt idx="1012">
                  <c:v>76251.840383268733</c:v>
                </c:pt>
                <c:pt idx="1013">
                  <c:v>76251.840383268733</c:v>
                </c:pt>
                <c:pt idx="1014">
                  <c:v>76251.840383268733</c:v>
                </c:pt>
                <c:pt idx="1015">
                  <c:v>76251.840383268733</c:v>
                </c:pt>
                <c:pt idx="1016">
                  <c:v>76251.840383268733</c:v>
                </c:pt>
                <c:pt idx="1017">
                  <c:v>76251.840383268733</c:v>
                </c:pt>
                <c:pt idx="1018">
                  <c:v>76251.840383268733</c:v>
                </c:pt>
                <c:pt idx="1019">
                  <c:v>76251.840383268733</c:v>
                </c:pt>
                <c:pt idx="1020">
                  <c:v>76251.840383268733</c:v>
                </c:pt>
                <c:pt idx="1021">
                  <c:v>76251.840383268733</c:v>
                </c:pt>
                <c:pt idx="1022">
                  <c:v>76251.840383268733</c:v>
                </c:pt>
                <c:pt idx="1023">
                  <c:v>76251.840383268733</c:v>
                </c:pt>
                <c:pt idx="1024">
                  <c:v>76251.840383268733</c:v>
                </c:pt>
                <c:pt idx="1025">
                  <c:v>76251.840383268733</c:v>
                </c:pt>
                <c:pt idx="1026">
                  <c:v>76251.840383268733</c:v>
                </c:pt>
                <c:pt idx="1027">
                  <c:v>76251.840383268733</c:v>
                </c:pt>
                <c:pt idx="1028">
                  <c:v>76251.840383268733</c:v>
                </c:pt>
                <c:pt idx="1029">
                  <c:v>76251.840383268733</c:v>
                </c:pt>
                <c:pt idx="1030">
                  <c:v>76251.840383268733</c:v>
                </c:pt>
                <c:pt idx="1031">
                  <c:v>73818.965405915937</c:v>
                </c:pt>
                <c:pt idx="1032">
                  <c:v>73818.965405915937</c:v>
                </c:pt>
                <c:pt idx="1033">
                  <c:v>73818.965405915937</c:v>
                </c:pt>
                <c:pt idx="1034">
                  <c:v>73818.965405915937</c:v>
                </c:pt>
                <c:pt idx="1035">
                  <c:v>73818.965405915937</c:v>
                </c:pt>
                <c:pt idx="1036">
                  <c:v>73818.965405915937</c:v>
                </c:pt>
                <c:pt idx="1037">
                  <c:v>73818.965405915937</c:v>
                </c:pt>
                <c:pt idx="1038">
                  <c:v>73818.965405915937</c:v>
                </c:pt>
                <c:pt idx="1039">
                  <c:v>73818.965405915937</c:v>
                </c:pt>
                <c:pt idx="1040">
                  <c:v>73818.965405915937</c:v>
                </c:pt>
                <c:pt idx="1041">
                  <c:v>73818.965405915937</c:v>
                </c:pt>
                <c:pt idx="1042">
                  <c:v>73818.965405915937</c:v>
                </c:pt>
                <c:pt idx="1043">
                  <c:v>73818.965405915937</c:v>
                </c:pt>
                <c:pt idx="1044">
                  <c:v>73818.965405915937</c:v>
                </c:pt>
                <c:pt idx="1045">
                  <c:v>73818.965405915937</c:v>
                </c:pt>
                <c:pt idx="1046">
                  <c:v>73818.965405915937</c:v>
                </c:pt>
                <c:pt idx="1047">
                  <c:v>73818.965405915937</c:v>
                </c:pt>
                <c:pt idx="1048">
                  <c:v>73818.965405915937</c:v>
                </c:pt>
                <c:pt idx="1049">
                  <c:v>73818.965405915937</c:v>
                </c:pt>
                <c:pt idx="1050">
                  <c:v>73818.965405915937</c:v>
                </c:pt>
                <c:pt idx="1051">
                  <c:v>73818.965405915937</c:v>
                </c:pt>
                <c:pt idx="1052">
                  <c:v>73818.965405915937</c:v>
                </c:pt>
                <c:pt idx="1053">
                  <c:v>73818.965405915937</c:v>
                </c:pt>
                <c:pt idx="1054">
                  <c:v>73818.965405915937</c:v>
                </c:pt>
                <c:pt idx="1055">
                  <c:v>73818.965405915937</c:v>
                </c:pt>
                <c:pt idx="1056">
                  <c:v>73818.965405915937</c:v>
                </c:pt>
                <c:pt idx="1057">
                  <c:v>73818.965405915937</c:v>
                </c:pt>
                <c:pt idx="1058">
                  <c:v>73818.965405915937</c:v>
                </c:pt>
                <c:pt idx="1059">
                  <c:v>73818.965405915937</c:v>
                </c:pt>
                <c:pt idx="1060">
                  <c:v>73818.965405915937</c:v>
                </c:pt>
                <c:pt idx="1061">
                  <c:v>73818.965405915937</c:v>
                </c:pt>
                <c:pt idx="1062">
                  <c:v>72320.453661145672</c:v>
                </c:pt>
                <c:pt idx="1063">
                  <c:v>72320.453661145672</c:v>
                </c:pt>
                <c:pt idx="1064">
                  <c:v>72320.453661145672</c:v>
                </c:pt>
                <c:pt idx="1065">
                  <c:v>72320.453661145672</c:v>
                </c:pt>
                <c:pt idx="1066">
                  <c:v>72320.453661145672</c:v>
                </c:pt>
                <c:pt idx="1067">
                  <c:v>72320.453661145672</c:v>
                </c:pt>
                <c:pt idx="1068">
                  <c:v>72320.453661145672</c:v>
                </c:pt>
                <c:pt idx="1069">
                  <c:v>72320.453661145672</c:v>
                </c:pt>
                <c:pt idx="1070">
                  <c:v>72320.453661145672</c:v>
                </c:pt>
                <c:pt idx="1071">
                  <c:v>72320.453661145672</c:v>
                </c:pt>
                <c:pt idx="1072">
                  <c:v>72320.453661145672</c:v>
                </c:pt>
                <c:pt idx="1073">
                  <c:v>72320.453661145672</c:v>
                </c:pt>
                <c:pt idx="1074">
                  <c:v>72320.453661145672</c:v>
                </c:pt>
                <c:pt idx="1075">
                  <c:v>72320.453661145672</c:v>
                </c:pt>
                <c:pt idx="1076">
                  <c:v>72320.453661145672</c:v>
                </c:pt>
                <c:pt idx="1077">
                  <c:v>72320.453661145672</c:v>
                </c:pt>
                <c:pt idx="1078">
                  <c:v>72320.453661145672</c:v>
                </c:pt>
                <c:pt idx="1079">
                  <c:v>72320.453661145672</c:v>
                </c:pt>
                <c:pt idx="1080">
                  <c:v>72320.453661145672</c:v>
                </c:pt>
                <c:pt idx="1081">
                  <c:v>72320.453661145672</c:v>
                </c:pt>
                <c:pt idx="1082">
                  <c:v>72320.453661145672</c:v>
                </c:pt>
                <c:pt idx="1083">
                  <c:v>72320.453661145672</c:v>
                </c:pt>
                <c:pt idx="1084">
                  <c:v>72320.453661145672</c:v>
                </c:pt>
                <c:pt idx="1085">
                  <c:v>72320.453661145672</c:v>
                </c:pt>
                <c:pt idx="1086">
                  <c:v>72320.453661145672</c:v>
                </c:pt>
                <c:pt idx="1087">
                  <c:v>72320.453661145672</c:v>
                </c:pt>
                <c:pt idx="1088">
                  <c:v>72320.453661145672</c:v>
                </c:pt>
                <c:pt idx="1089">
                  <c:v>72320.453661145672</c:v>
                </c:pt>
                <c:pt idx="1090">
                  <c:v>72320.453661145672</c:v>
                </c:pt>
                <c:pt idx="1091">
                  <c:v>72320.453661145672</c:v>
                </c:pt>
                <c:pt idx="1092">
                  <c:v>72320.453661145672</c:v>
                </c:pt>
                <c:pt idx="1093">
                  <c:v>70863.486778982056</c:v>
                </c:pt>
                <c:pt idx="1094">
                  <c:v>70863.486778982056</c:v>
                </c:pt>
                <c:pt idx="1095">
                  <c:v>70863.486778982056</c:v>
                </c:pt>
                <c:pt idx="1096">
                  <c:v>70863.486778982056</c:v>
                </c:pt>
                <c:pt idx="1097">
                  <c:v>70863.486778982056</c:v>
                </c:pt>
                <c:pt idx="1098">
                  <c:v>70863.486778982056</c:v>
                </c:pt>
                <c:pt idx="1099">
                  <c:v>70863.486778982056</c:v>
                </c:pt>
                <c:pt idx="1100">
                  <c:v>70863.486778982056</c:v>
                </c:pt>
                <c:pt idx="1101">
                  <c:v>70863.486778982056</c:v>
                </c:pt>
                <c:pt idx="1102">
                  <c:v>70863.486778982056</c:v>
                </c:pt>
                <c:pt idx="1103">
                  <c:v>70863.486778982056</c:v>
                </c:pt>
                <c:pt idx="1104">
                  <c:v>70863.486778982056</c:v>
                </c:pt>
                <c:pt idx="1105">
                  <c:v>70863.486778982056</c:v>
                </c:pt>
                <c:pt idx="1106">
                  <c:v>70863.486778982056</c:v>
                </c:pt>
                <c:pt idx="1107">
                  <c:v>70863.486778982056</c:v>
                </c:pt>
                <c:pt idx="1108">
                  <c:v>70863.486778982056</c:v>
                </c:pt>
                <c:pt idx="1109">
                  <c:v>70863.486778982056</c:v>
                </c:pt>
                <c:pt idx="1110">
                  <c:v>70863.486778982056</c:v>
                </c:pt>
                <c:pt idx="1111">
                  <c:v>70863.486778982056</c:v>
                </c:pt>
                <c:pt idx="1112">
                  <c:v>70863.486778982056</c:v>
                </c:pt>
                <c:pt idx="1113">
                  <c:v>70863.486778982056</c:v>
                </c:pt>
                <c:pt idx="1114">
                  <c:v>70863.486778982056</c:v>
                </c:pt>
                <c:pt idx="1115">
                  <c:v>70863.486778982056</c:v>
                </c:pt>
                <c:pt idx="1116">
                  <c:v>70863.486778982056</c:v>
                </c:pt>
                <c:pt idx="1117">
                  <c:v>70863.486778982056</c:v>
                </c:pt>
                <c:pt idx="1118">
                  <c:v>70863.486778982056</c:v>
                </c:pt>
                <c:pt idx="1119">
                  <c:v>70863.486778982056</c:v>
                </c:pt>
                <c:pt idx="1120">
                  <c:v>70863.486778982056</c:v>
                </c:pt>
                <c:pt idx="1121">
                  <c:v>69446.563816753216</c:v>
                </c:pt>
                <c:pt idx="1122">
                  <c:v>69446.563816753216</c:v>
                </c:pt>
                <c:pt idx="1123">
                  <c:v>69446.563816753216</c:v>
                </c:pt>
                <c:pt idx="1124">
                  <c:v>69446.563816753216</c:v>
                </c:pt>
                <c:pt idx="1125">
                  <c:v>69446.563816753216</c:v>
                </c:pt>
                <c:pt idx="1126">
                  <c:v>69446.563816753216</c:v>
                </c:pt>
                <c:pt idx="1127">
                  <c:v>69446.563816753216</c:v>
                </c:pt>
                <c:pt idx="1128">
                  <c:v>69446.563816753216</c:v>
                </c:pt>
                <c:pt idx="1129">
                  <c:v>69446.563816753216</c:v>
                </c:pt>
                <c:pt idx="1130">
                  <c:v>69446.563816753216</c:v>
                </c:pt>
                <c:pt idx="1131">
                  <c:v>69446.563816753216</c:v>
                </c:pt>
                <c:pt idx="1132">
                  <c:v>69446.563816753216</c:v>
                </c:pt>
                <c:pt idx="1133">
                  <c:v>69446.563816753216</c:v>
                </c:pt>
                <c:pt idx="1134">
                  <c:v>69446.563816753216</c:v>
                </c:pt>
                <c:pt idx="1135">
                  <c:v>69446.563816753216</c:v>
                </c:pt>
                <c:pt idx="1136">
                  <c:v>69446.563816753216</c:v>
                </c:pt>
                <c:pt idx="1137">
                  <c:v>69446.563816753216</c:v>
                </c:pt>
                <c:pt idx="1138">
                  <c:v>69446.563816753216</c:v>
                </c:pt>
                <c:pt idx="1139">
                  <c:v>69446.563816753216</c:v>
                </c:pt>
                <c:pt idx="1140">
                  <c:v>69446.563816753216</c:v>
                </c:pt>
                <c:pt idx="1141">
                  <c:v>69446.563816753216</c:v>
                </c:pt>
                <c:pt idx="1142">
                  <c:v>69446.563816753216</c:v>
                </c:pt>
                <c:pt idx="1143">
                  <c:v>69446.563816753216</c:v>
                </c:pt>
                <c:pt idx="1144">
                  <c:v>69446.563816753216</c:v>
                </c:pt>
                <c:pt idx="1145">
                  <c:v>69446.563816753216</c:v>
                </c:pt>
                <c:pt idx="1146">
                  <c:v>69446.563816753216</c:v>
                </c:pt>
                <c:pt idx="1147">
                  <c:v>69446.563816753216</c:v>
                </c:pt>
                <c:pt idx="1148">
                  <c:v>69446.563816753216</c:v>
                </c:pt>
                <c:pt idx="1149">
                  <c:v>69446.563816753216</c:v>
                </c:pt>
                <c:pt idx="1150">
                  <c:v>69446.563816753216</c:v>
                </c:pt>
                <c:pt idx="1151">
                  <c:v>69446.563816753216</c:v>
                </c:pt>
                <c:pt idx="1152">
                  <c:v>68068.25497870188</c:v>
                </c:pt>
                <c:pt idx="1153">
                  <c:v>68068.25497870188</c:v>
                </c:pt>
                <c:pt idx="1154">
                  <c:v>68068.25497870188</c:v>
                </c:pt>
                <c:pt idx="1155">
                  <c:v>68068.25497870188</c:v>
                </c:pt>
                <c:pt idx="1156">
                  <c:v>68068.25497870188</c:v>
                </c:pt>
                <c:pt idx="1157">
                  <c:v>68068.25497870188</c:v>
                </c:pt>
                <c:pt idx="1158">
                  <c:v>68068.25497870188</c:v>
                </c:pt>
                <c:pt idx="1159">
                  <c:v>68068.25497870188</c:v>
                </c:pt>
                <c:pt idx="1160">
                  <c:v>68068.25497870188</c:v>
                </c:pt>
                <c:pt idx="1161">
                  <c:v>68068.25497870188</c:v>
                </c:pt>
                <c:pt idx="1162">
                  <c:v>68068.25497870188</c:v>
                </c:pt>
                <c:pt idx="1163">
                  <c:v>68068.25497870188</c:v>
                </c:pt>
                <c:pt idx="1164">
                  <c:v>68068.25497870188</c:v>
                </c:pt>
                <c:pt idx="1165">
                  <c:v>68068.25497870188</c:v>
                </c:pt>
                <c:pt idx="1166">
                  <c:v>68068.25497870188</c:v>
                </c:pt>
                <c:pt idx="1167">
                  <c:v>68068.25497870188</c:v>
                </c:pt>
                <c:pt idx="1168">
                  <c:v>68068.25497870188</c:v>
                </c:pt>
                <c:pt idx="1169">
                  <c:v>68068.25497870188</c:v>
                </c:pt>
                <c:pt idx="1170">
                  <c:v>68068.25497870188</c:v>
                </c:pt>
                <c:pt idx="1171">
                  <c:v>68068.25497870188</c:v>
                </c:pt>
                <c:pt idx="1172">
                  <c:v>68068.25497870188</c:v>
                </c:pt>
                <c:pt idx="1173">
                  <c:v>68068.25497870188</c:v>
                </c:pt>
                <c:pt idx="1174">
                  <c:v>68068.25497870188</c:v>
                </c:pt>
                <c:pt idx="1175">
                  <c:v>68068.25497870188</c:v>
                </c:pt>
                <c:pt idx="1176">
                  <c:v>68068.25497870188</c:v>
                </c:pt>
                <c:pt idx="1177">
                  <c:v>68068.25497870188</c:v>
                </c:pt>
                <c:pt idx="1178">
                  <c:v>68068.25497870188</c:v>
                </c:pt>
                <c:pt idx="1179">
                  <c:v>68068.25497870188</c:v>
                </c:pt>
                <c:pt idx="1180">
                  <c:v>68068.25497870188</c:v>
                </c:pt>
                <c:pt idx="1181">
                  <c:v>68068.25497870188</c:v>
                </c:pt>
                <c:pt idx="1182">
                  <c:v>66727.19192970678</c:v>
                </c:pt>
                <c:pt idx="1183">
                  <c:v>66727.19192970678</c:v>
                </c:pt>
                <c:pt idx="1184">
                  <c:v>66727.19192970678</c:v>
                </c:pt>
                <c:pt idx="1185">
                  <c:v>66727.19192970678</c:v>
                </c:pt>
                <c:pt idx="1186">
                  <c:v>66727.19192970678</c:v>
                </c:pt>
                <c:pt idx="1187">
                  <c:v>66727.19192970678</c:v>
                </c:pt>
                <c:pt idx="1188">
                  <c:v>66727.19192970678</c:v>
                </c:pt>
                <c:pt idx="1189">
                  <c:v>66727.19192970678</c:v>
                </c:pt>
                <c:pt idx="1190">
                  <c:v>66727.19192970678</c:v>
                </c:pt>
                <c:pt idx="1191">
                  <c:v>66727.19192970678</c:v>
                </c:pt>
                <c:pt idx="1192">
                  <c:v>66727.19192970678</c:v>
                </c:pt>
                <c:pt idx="1193">
                  <c:v>66727.19192970678</c:v>
                </c:pt>
                <c:pt idx="1194">
                  <c:v>66727.19192970678</c:v>
                </c:pt>
                <c:pt idx="1195">
                  <c:v>66727.19192970678</c:v>
                </c:pt>
                <c:pt idx="1196">
                  <c:v>66727.19192970678</c:v>
                </c:pt>
                <c:pt idx="1197">
                  <c:v>66727.19192970678</c:v>
                </c:pt>
                <c:pt idx="1198">
                  <c:v>66727.19192970678</c:v>
                </c:pt>
                <c:pt idx="1199">
                  <c:v>66727.19192970678</c:v>
                </c:pt>
                <c:pt idx="1200">
                  <c:v>66727.19192970678</c:v>
                </c:pt>
                <c:pt idx="1201">
                  <c:v>66727.19192970678</c:v>
                </c:pt>
                <c:pt idx="1202">
                  <c:v>66727.19192970678</c:v>
                </c:pt>
                <c:pt idx="1203">
                  <c:v>66727.19192970678</c:v>
                </c:pt>
                <c:pt idx="1204">
                  <c:v>66727.19192970678</c:v>
                </c:pt>
                <c:pt idx="1205">
                  <c:v>66727.19192970678</c:v>
                </c:pt>
                <c:pt idx="1206">
                  <c:v>66727.19192970678</c:v>
                </c:pt>
                <c:pt idx="1207">
                  <c:v>66727.19192970678</c:v>
                </c:pt>
                <c:pt idx="1208">
                  <c:v>66727.19192970678</c:v>
                </c:pt>
                <c:pt idx="1209">
                  <c:v>66727.19192970678</c:v>
                </c:pt>
                <c:pt idx="1210">
                  <c:v>66727.19192970678</c:v>
                </c:pt>
                <c:pt idx="1211">
                  <c:v>66727.19192970678</c:v>
                </c:pt>
                <c:pt idx="1212">
                  <c:v>66727.19192970678</c:v>
                </c:pt>
                <c:pt idx="1213">
                  <c:v>65182.437616448733</c:v>
                </c:pt>
                <c:pt idx="1214">
                  <c:v>65182.437616448733</c:v>
                </c:pt>
                <c:pt idx="1215">
                  <c:v>65182.437616448733</c:v>
                </c:pt>
                <c:pt idx="1216">
                  <c:v>65182.437616448733</c:v>
                </c:pt>
                <c:pt idx="1217">
                  <c:v>65182.437616448733</c:v>
                </c:pt>
                <c:pt idx="1218">
                  <c:v>65182.437616448733</c:v>
                </c:pt>
                <c:pt idx="1219">
                  <c:v>65182.437616448733</c:v>
                </c:pt>
                <c:pt idx="1220">
                  <c:v>65182.437616448733</c:v>
                </c:pt>
                <c:pt idx="1221">
                  <c:v>65182.437616448733</c:v>
                </c:pt>
                <c:pt idx="1222">
                  <c:v>65182.437616448733</c:v>
                </c:pt>
                <c:pt idx="1223">
                  <c:v>65182.437616448733</c:v>
                </c:pt>
                <c:pt idx="1224">
                  <c:v>65182.437616448733</c:v>
                </c:pt>
                <c:pt idx="1225">
                  <c:v>65182.437616448733</c:v>
                </c:pt>
                <c:pt idx="1226">
                  <c:v>65182.437616448733</c:v>
                </c:pt>
                <c:pt idx="1227">
                  <c:v>65182.437616448733</c:v>
                </c:pt>
                <c:pt idx="1228">
                  <c:v>65182.437616448733</c:v>
                </c:pt>
                <c:pt idx="1229">
                  <c:v>65182.437616448733</c:v>
                </c:pt>
                <c:pt idx="1230">
                  <c:v>65182.437616448733</c:v>
                </c:pt>
                <c:pt idx="1231">
                  <c:v>65182.437616448733</c:v>
                </c:pt>
                <c:pt idx="1232">
                  <c:v>65182.437616448733</c:v>
                </c:pt>
                <c:pt idx="1233">
                  <c:v>65182.437616448733</c:v>
                </c:pt>
                <c:pt idx="1234">
                  <c:v>65182.437616448733</c:v>
                </c:pt>
                <c:pt idx="1235">
                  <c:v>65182.437616448733</c:v>
                </c:pt>
                <c:pt idx="1236">
                  <c:v>65182.437616448733</c:v>
                </c:pt>
                <c:pt idx="1237">
                  <c:v>65182.437616448733</c:v>
                </c:pt>
                <c:pt idx="1238">
                  <c:v>65182.437616448733</c:v>
                </c:pt>
                <c:pt idx="1239">
                  <c:v>65182.437616448733</c:v>
                </c:pt>
                <c:pt idx="1240">
                  <c:v>65182.437616448733</c:v>
                </c:pt>
                <c:pt idx="1241">
                  <c:v>65182.437616448733</c:v>
                </c:pt>
                <c:pt idx="1242">
                  <c:v>65182.437616448733</c:v>
                </c:pt>
                <c:pt idx="1243">
                  <c:v>63736.160817196505</c:v>
                </c:pt>
                <c:pt idx="1244">
                  <c:v>63736.160817196505</c:v>
                </c:pt>
                <c:pt idx="1245">
                  <c:v>63736.160817196505</c:v>
                </c:pt>
                <c:pt idx="1246">
                  <c:v>63736.160817196505</c:v>
                </c:pt>
                <c:pt idx="1247">
                  <c:v>63736.160817196505</c:v>
                </c:pt>
                <c:pt idx="1248">
                  <c:v>63736.160817196505</c:v>
                </c:pt>
                <c:pt idx="1249">
                  <c:v>63736.160817196505</c:v>
                </c:pt>
                <c:pt idx="1250">
                  <c:v>63736.160817196505</c:v>
                </c:pt>
                <c:pt idx="1251">
                  <c:v>63736.160817196505</c:v>
                </c:pt>
                <c:pt idx="1252">
                  <c:v>63736.160817196505</c:v>
                </c:pt>
                <c:pt idx="1253">
                  <c:v>63736.160817196505</c:v>
                </c:pt>
                <c:pt idx="1254">
                  <c:v>63736.160817196505</c:v>
                </c:pt>
                <c:pt idx="1255">
                  <c:v>63736.160817196505</c:v>
                </c:pt>
                <c:pt idx="1256">
                  <c:v>63736.160817196505</c:v>
                </c:pt>
                <c:pt idx="1257">
                  <c:v>63736.160817196505</c:v>
                </c:pt>
                <c:pt idx="1258">
                  <c:v>63736.160817196505</c:v>
                </c:pt>
                <c:pt idx="1259">
                  <c:v>63736.160817196505</c:v>
                </c:pt>
                <c:pt idx="1260">
                  <c:v>63736.160817196505</c:v>
                </c:pt>
                <c:pt idx="1261">
                  <c:v>63736.160817196505</c:v>
                </c:pt>
                <c:pt idx="1262">
                  <c:v>63736.160817196505</c:v>
                </c:pt>
                <c:pt idx="1263">
                  <c:v>63736.160817196505</c:v>
                </c:pt>
                <c:pt idx="1264">
                  <c:v>63736.160817196505</c:v>
                </c:pt>
                <c:pt idx="1265">
                  <c:v>63736.160817196505</c:v>
                </c:pt>
                <c:pt idx="1266">
                  <c:v>63736.160817196505</c:v>
                </c:pt>
                <c:pt idx="1267">
                  <c:v>63736.160817196505</c:v>
                </c:pt>
                <c:pt idx="1268">
                  <c:v>63736.160817196505</c:v>
                </c:pt>
                <c:pt idx="1269">
                  <c:v>63736.160817196505</c:v>
                </c:pt>
                <c:pt idx="1270">
                  <c:v>63736.160817196505</c:v>
                </c:pt>
                <c:pt idx="1271">
                  <c:v>63736.160817196505</c:v>
                </c:pt>
                <c:pt idx="1272">
                  <c:v>63736.160817196505</c:v>
                </c:pt>
                <c:pt idx="1273">
                  <c:v>63736.160817196505</c:v>
                </c:pt>
                <c:pt idx="1274">
                  <c:v>62142.938983314845</c:v>
                </c:pt>
                <c:pt idx="1275">
                  <c:v>62142.938983314845</c:v>
                </c:pt>
                <c:pt idx="1276">
                  <c:v>62142.938983314845</c:v>
                </c:pt>
                <c:pt idx="1277">
                  <c:v>62142.938983314845</c:v>
                </c:pt>
                <c:pt idx="1278">
                  <c:v>62142.938983314845</c:v>
                </c:pt>
                <c:pt idx="1279">
                  <c:v>62142.938983314845</c:v>
                </c:pt>
                <c:pt idx="1280">
                  <c:v>62142.938983314845</c:v>
                </c:pt>
                <c:pt idx="1281">
                  <c:v>62142.938983314845</c:v>
                </c:pt>
                <c:pt idx="1282">
                  <c:v>62142.938983314845</c:v>
                </c:pt>
                <c:pt idx="1283">
                  <c:v>62142.938983314845</c:v>
                </c:pt>
                <c:pt idx="1284">
                  <c:v>62142.938983314845</c:v>
                </c:pt>
                <c:pt idx="1285">
                  <c:v>62142.938983314845</c:v>
                </c:pt>
                <c:pt idx="1286">
                  <c:v>62142.938983314845</c:v>
                </c:pt>
                <c:pt idx="1287">
                  <c:v>62142.938983314845</c:v>
                </c:pt>
                <c:pt idx="1288">
                  <c:v>62142.938983314845</c:v>
                </c:pt>
                <c:pt idx="1289">
                  <c:v>62142.938983314845</c:v>
                </c:pt>
                <c:pt idx="1290">
                  <c:v>62142.938983314845</c:v>
                </c:pt>
                <c:pt idx="1291">
                  <c:v>62142.938983314845</c:v>
                </c:pt>
                <c:pt idx="1292">
                  <c:v>62142.938983314845</c:v>
                </c:pt>
                <c:pt idx="1293">
                  <c:v>62142.938983314845</c:v>
                </c:pt>
                <c:pt idx="1294">
                  <c:v>62142.938983314845</c:v>
                </c:pt>
                <c:pt idx="1295">
                  <c:v>62142.938983314845</c:v>
                </c:pt>
                <c:pt idx="1296">
                  <c:v>62142.938983314845</c:v>
                </c:pt>
                <c:pt idx="1297">
                  <c:v>62142.938983314845</c:v>
                </c:pt>
                <c:pt idx="1298">
                  <c:v>62142.938983314845</c:v>
                </c:pt>
                <c:pt idx="1299">
                  <c:v>62142.938983314845</c:v>
                </c:pt>
                <c:pt idx="1300">
                  <c:v>62142.938983314845</c:v>
                </c:pt>
                <c:pt idx="1301">
                  <c:v>62142.938983314845</c:v>
                </c:pt>
                <c:pt idx="1302">
                  <c:v>62142.938983314845</c:v>
                </c:pt>
                <c:pt idx="1303">
                  <c:v>62142.938983314845</c:v>
                </c:pt>
                <c:pt idx="1304">
                  <c:v>62142.938983314845</c:v>
                </c:pt>
                <c:pt idx="1305">
                  <c:v>60934.004559486813</c:v>
                </c:pt>
                <c:pt idx="1306">
                  <c:v>60934.004559486813</c:v>
                </c:pt>
                <c:pt idx="1307">
                  <c:v>60934.004559486813</c:v>
                </c:pt>
                <c:pt idx="1308">
                  <c:v>60934.004559486813</c:v>
                </c:pt>
                <c:pt idx="1309">
                  <c:v>60934.004559486813</c:v>
                </c:pt>
                <c:pt idx="1310">
                  <c:v>60934.004559486813</c:v>
                </c:pt>
                <c:pt idx="1311">
                  <c:v>60934.004559486813</c:v>
                </c:pt>
                <c:pt idx="1312">
                  <c:v>60934.004559486813</c:v>
                </c:pt>
                <c:pt idx="1313">
                  <c:v>60934.004559486813</c:v>
                </c:pt>
                <c:pt idx="1314">
                  <c:v>60934.004559486813</c:v>
                </c:pt>
                <c:pt idx="1315">
                  <c:v>60934.004559486813</c:v>
                </c:pt>
                <c:pt idx="1316">
                  <c:v>60934.004559486813</c:v>
                </c:pt>
                <c:pt idx="1317">
                  <c:v>60934.004559486813</c:v>
                </c:pt>
                <c:pt idx="1318">
                  <c:v>60934.004559486813</c:v>
                </c:pt>
                <c:pt idx="1319">
                  <c:v>60934.004559486813</c:v>
                </c:pt>
                <c:pt idx="1320">
                  <c:v>60934.004559486813</c:v>
                </c:pt>
                <c:pt idx="1321">
                  <c:v>60934.004559486813</c:v>
                </c:pt>
                <c:pt idx="1322">
                  <c:v>60934.004559486813</c:v>
                </c:pt>
                <c:pt idx="1323">
                  <c:v>60934.004559486813</c:v>
                </c:pt>
                <c:pt idx="1324">
                  <c:v>60934.004559486813</c:v>
                </c:pt>
                <c:pt idx="1325">
                  <c:v>60934.004559486813</c:v>
                </c:pt>
                <c:pt idx="1326">
                  <c:v>60934.004559486813</c:v>
                </c:pt>
                <c:pt idx="1327">
                  <c:v>60934.004559486813</c:v>
                </c:pt>
                <c:pt idx="1328">
                  <c:v>60934.004559486813</c:v>
                </c:pt>
                <c:pt idx="1329">
                  <c:v>60934.004559486813</c:v>
                </c:pt>
                <c:pt idx="1330">
                  <c:v>60934.004559486813</c:v>
                </c:pt>
                <c:pt idx="1331">
                  <c:v>60934.004559486813</c:v>
                </c:pt>
                <c:pt idx="1332">
                  <c:v>60934.004559486813</c:v>
                </c:pt>
                <c:pt idx="1333">
                  <c:v>60934.004559486813</c:v>
                </c:pt>
                <c:pt idx="1334">
                  <c:v>60934.004559486813</c:v>
                </c:pt>
                <c:pt idx="1335">
                  <c:v>59801.910629754399</c:v>
                </c:pt>
                <c:pt idx="1336">
                  <c:v>59801.910629754399</c:v>
                </c:pt>
                <c:pt idx="1337">
                  <c:v>59801.910629754399</c:v>
                </c:pt>
                <c:pt idx="1338">
                  <c:v>59801.910629754399</c:v>
                </c:pt>
                <c:pt idx="1339">
                  <c:v>59801.910629754399</c:v>
                </c:pt>
                <c:pt idx="1340">
                  <c:v>59801.910629754399</c:v>
                </c:pt>
                <c:pt idx="1341">
                  <c:v>59801.910629754399</c:v>
                </c:pt>
                <c:pt idx="1342">
                  <c:v>59801.910629754399</c:v>
                </c:pt>
                <c:pt idx="1343">
                  <c:v>59801.910629754399</c:v>
                </c:pt>
                <c:pt idx="1344">
                  <c:v>59801.910629754399</c:v>
                </c:pt>
                <c:pt idx="1345">
                  <c:v>59801.910629754399</c:v>
                </c:pt>
                <c:pt idx="1346">
                  <c:v>59801.910629754399</c:v>
                </c:pt>
                <c:pt idx="1347">
                  <c:v>59801.910629754399</c:v>
                </c:pt>
                <c:pt idx="1348">
                  <c:v>59801.910629754399</c:v>
                </c:pt>
                <c:pt idx="1349">
                  <c:v>59801.910629754399</c:v>
                </c:pt>
                <c:pt idx="1350">
                  <c:v>59801.910629754399</c:v>
                </c:pt>
                <c:pt idx="1351">
                  <c:v>59801.910629754399</c:v>
                </c:pt>
                <c:pt idx="1352">
                  <c:v>59801.910629754399</c:v>
                </c:pt>
                <c:pt idx="1353">
                  <c:v>59801.910629754399</c:v>
                </c:pt>
                <c:pt idx="1354">
                  <c:v>59801.910629754399</c:v>
                </c:pt>
                <c:pt idx="1355">
                  <c:v>59801.910629754399</c:v>
                </c:pt>
                <c:pt idx="1356">
                  <c:v>59801.910629754399</c:v>
                </c:pt>
                <c:pt idx="1357">
                  <c:v>59801.910629754399</c:v>
                </c:pt>
                <c:pt idx="1358">
                  <c:v>59801.910629754399</c:v>
                </c:pt>
                <c:pt idx="1359">
                  <c:v>59801.910629754399</c:v>
                </c:pt>
                <c:pt idx="1360">
                  <c:v>59801.910629754399</c:v>
                </c:pt>
                <c:pt idx="1361">
                  <c:v>59801.910629754399</c:v>
                </c:pt>
                <c:pt idx="1362">
                  <c:v>59801.910629754399</c:v>
                </c:pt>
                <c:pt idx="1363">
                  <c:v>59801.910629754399</c:v>
                </c:pt>
                <c:pt idx="1364">
                  <c:v>59801.910629754399</c:v>
                </c:pt>
                <c:pt idx="1365">
                  <c:v>59801.910629754399</c:v>
                </c:pt>
                <c:pt idx="1366">
                  <c:v>57893.103591276449</c:v>
                </c:pt>
                <c:pt idx="1367">
                  <c:v>57893.103591276449</c:v>
                </c:pt>
                <c:pt idx="1368">
                  <c:v>57893.103591276449</c:v>
                </c:pt>
                <c:pt idx="1369">
                  <c:v>57893.103591276449</c:v>
                </c:pt>
                <c:pt idx="1370">
                  <c:v>57893.103591276449</c:v>
                </c:pt>
                <c:pt idx="1371">
                  <c:v>57893.103591276449</c:v>
                </c:pt>
                <c:pt idx="1372">
                  <c:v>57893.103591276449</c:v>
                </c:pt>
                <c:pt idx="1373">
                  <c:v>57893.103591276449</c:v>
                </c:pt>
                <c:pt idx="1374">
                  <c:v>57893.103591276449</c:v>
                </c:pt>
                <c:pt idx="1375">
                  <c:v>57893.103591276449</c:v>
                </c:pt>
                <c:pt idx="1376">
                  <c:v>57893.103591276449</c:v>
                </c:pt>
                <c:pt idx="1377">
                  <c:v>57893.103591276449</c:v>
                </c:pt>
                <c:pt idx="1378">
                  <c:v>57893.103591276449</c:v>
                </c:pt>
                <c:pt idx="1379">
                  <c:v>57893.103591276449</c:v>
                </c:pt>
                <c:pt idx="1380">
                  <c:v>57893.103591276449</c:v>
                </c:pt>
                <c:pt idx="1381">
                  <c:v>57893.103591276449</c:v>
                </c:pt>
                <c:pt idx="1382">
                  <c:v>57893.103591276449</c:v>
                </c:pt>
                <c:pt idx="1383">
                  <c:v>57893.103591276449</c:v>
                </c:pt>
                <c:pt idx="1384">
                  <c:v>57893.103591276449</c:v>
                </c:pt>
                <c:pt idx="1385">
                  <c:v>57893.103591276449</c:v>
                </c:pt>
                <c:pt idx="1386">
                  <c:v>57893.103591276449</c:v>
                </c:pt>
                <c:pt idx="1387">
                  <c:v>57893.103591276449</c:v>
                </c:pt>
                <c:pt idx="1388">
                  <c:v>57893.103591276449</c:v>
                </c:pt>
                <c:pt idx="1389">
                  <c:v>57893.103591276449</c:v>
                </c:pt>
                <c:pt idx="1390">
                  <c:v>57893.103591276449</c:v>
                </c:pt>
                <c:pt idx="1391">
                  <c:v>57893.103591276449</c:v>
                </c:pt>
                <c:pt idx="1392">
                  <c:v>57893.103591276449</c:v>
                </c:pt>
                <c:pt idx="1393">
                  <c:v>57893.103591276449</c:v>
                </c:pt>
                <c:pt idx="1394">
                  <c:v>57893.103591276449</c:v>
                </c:pt>
                <c:pt idx="1395">
                  <c:v>57893.103591276449</c:v>
                </c:pt>
                <c:pt idx="1396">
                  <c:v>56824.219292570429</c:v>
                </c:pt>
                <c:pt idx="1397">
                  <c:v>56824.219292570429</c:v>
                </c:pt>
                <c:pt idx="1398">
                  <c:v>56824.219292570429</c:v>
                </c:pt>
                <c:pt idx="1399">
                  <c:v>56824.219292570429</c:v>
                </c:pt>
                <c:pt idx="1400">
                  <c:v>56824.219292570429</c:v>
                </c:pt>
                <c:pt idx="1401">
                  <c:v>56824.219292570429</c:v>
                </c:pt>
                <c:pt idx="1402">
                  <c:v>56824.219292570429</c:v>
                </c:pt>
                <c:pt idx="1403">
                  <c:v>56824.219292570429</c:v>
                </c:pt>
                <c:pt idx="1404">
                  <c:v>56824.219292570429</c:v>
                </c:pt>
                <c:pt idx="1405">
                  <c:v>56824.219292570429</c:v>
                </c:pt>
                <c:pt idx="1406">
                  <c:v>56824.219292570429</c:v>
                </c:pt>
                <c:pt idx="1407">
                  <c:v>56824.219292570429</c:v>
                </c:pt>
                <c:pt idx="1408">
                  <c:v>56824.219292570429</c:v>
                </c:pt>
                <c:pt idx="1409">
                  <c:v>56824.219292570429</c:v>
                </c:pt>
                <c:pt idx="1410">
                  <c:v>56824.219292570429</c:v>
                </c:pt>
                <c:pt idx="1411">
                  <c:v>56824.219292570429</c:v>
                </c:pt>
                <c:pt idx="1412">
                  <c:v>56824.219292570429</c:v>
                </c:pt>
                <c:pt idx="1413">
                  <c:v>56824.219292570429</c:v>
                </c:pt>
                <c:pt idx="1414">
                  <c:v>56824.219292570429</c:v>
                </c:pt>
                <c:pt idx="1415">
                  <c:v>56824.219292570429</c:v>
                </c:pt>
                <c:pt idx="1416">
                  <c:v>56824.219292570429</c:v>
                </c:pt>
                <c:pt idx="1417">
                  <c:v>56824.219292570429</c:v>
                </c:pt>
                <c:pt idx="1418">
                  <c:v>56824.219292570429</c:v>
                </c:pt>
                <c:pt idx="1419">
                  <c:v>56824.219292570429</c:v>
                </c:pt>
                <c:pt idx="1420">
                  <c:v>56824.219292570429</c:v>
                </c:pt>
                <c:pt idx="1421">
                  <c:v>56824.219292570429</c:v>
                </c:pt>
                <c:pt idx="1422">
                  <c:v>56824.219292570429</c:v>
                </c:pt>
                <c:pt idx="1423">
                  <c:v>56824.219292570429</c:v>
                </c:pt>
                <c:pt idx="1424">
                  <c:v>56824.219292570429</c:v>
                </c:pt>
                <c:pt idx="1425">
                  <c:v>56824.219292570429</c:v>
                </c:pt>
                <c:pt idx="1426">
                  <c:v>56824.219292570429</c:v>
                </c:pt>
                <c:pt idx="1427">
                  <c:v>55185.926680554949</c:v>
                </c:pt>
                <c:pt idx="1428">
                  <c:v>55185.926680554949</c:v>
                </c:pt>
                <c:pt idx="1429">
                  <c:v>55185.926680554949</c:v>
                </c:pt>
                <c:pt idx="1430">
                  <c:v>55185.926680554949</c:v>
                </c:pt>
                <c:pt idx="1431">
                  <c:v>55185.926680554949</c:v>
                </c:pt>
                <c:pt idx="1432">
                  <c:v>55185.926680554949</c:v>
                </c:pt>
                <c:pt idx="1433">
                  <c:v>55185.926680554949</c:v>
                </c:pt>
                <c:pt idx="1434">
                  <c:v>55185.926680554949</c:v>
                </c:pt>
                <c:pt idx="1435">
                  <c:v>55185.926680554949</c:v>
                </c:pt>
                <c:pt idx="1436">
                  <c:v>55185.926680554949</c:v>
                </c:pt>
                <c:pt idx="1437">
                  <c:v>55185.926680554949</c:v>
                </c:pt>
                <c:pt idx="1438">
                  <c:v>55185.926680554949</c:v>
                </c:pt>
                <c:pt idx="1439">
                  <c:v>55185.926680554949</c:v>
                </c:pt>
                <c:pt idx="1440">
                  <c:v>55185.926680554949</c:v>
                </c:pt>
                <c:pt idx="1441">
                  <c:v>55185.926680554949</c:v>
                </c:pt>
                <c:pt idx="1442">
                  <c:v>55185.926680554949</c:v>
                </c:pt>
                <c:pt idx="1443">
                  <c:v>55185.926680554949</c:v>
                </c:pt>
                <c:pt idx="1444">
                  <c:v>55185.926680554949</c:v>
                </c:pt>
                <c:pt idx="1445">
                  <c:v>55185.926680554949</c:v>
                </c:pt>
                <c:pt idx="1446">
                  <c:v>55185.926680554949</c:v>
                </c:pt>
                <c:pt idx="1447">
                  <c:v>55185.926680554949</c:v>
                </c:pt>
                <c:pt idx="1448">
                  <c:v>55185.926680554949</c:v>
                </c:pt>
                <c:pt idx="1449">
                  <c:v>55185.926680554949</c:v>
                </c:pt>
                <c:pt idx="1450">
                  <c:v>55185.926680554949</c:v>
                </c:pt>
                <c:pt idx="1451">
                  <c:v>55185.926680554949</c:v>
                </c:pt>
                <c:pt idx="1452">
                  <c:v>55185.926680554949</c:v>
                </c:pt>
                <c:pt idx="1453">
                  <c:v>55185.926680554949</c:v>
                </c:pt>
                <c:pt idx="1454">
                  <c:v>55185.926680554949</c:v>
                </c:pt>
                <c:pt idx="1455">
                  <c:v>55185.926680554949</c:v>
                </c:pt>
                <c:pt idx="1456">
                  <c:v>55185.926680554949</c:v>
                </c:pt>
                <c:pt idx="1457">
                  <c:v>55185.926680554949</c:v>
                </c:pt>
                <c:pt idx="1458">
                  <c:v>53883.793127120109</c:v>
                </c:pt>
                <c:pt idx="1459">
                  <c:v>53883.793127120109</c:v>
                </c:pt>
                <c:pt idx="1460">
                  <c:v>53883.793127120109</c:v>
                </c:pt>
                <c:pt idx="1461">
                  <c:v>53883.793127120109</c:v>
                </c:pt>
                <c:pt idx="1462">
                  <c:v>53883.793127120109</c:v>
                </c:pt>
                <c:pt idx="1463">
                  <c:v>53883.793127120109</c:v>
                </c:pt>
                <c:pt idx="1464">
                  <c:v>53883.793127120109</c:v>
                </c:pt>
                <c:pt idx="1465">
                  <c:v>53883.793127120109</c:v>
                </c:pt>
                <c:pt idx="1466">
                  <c:v>53883.793127120109</c:v>
                </c:pt>
                <c:pt idx="1467">
                  <c:v>53883.793127120109</c:v>
                </c:pt>
                <c:pt idx="1468">
                  <c:v>53883.793127120109</c:v>
                </c:pt>
                <c:pt idx="1469">
                  <c:v>53883.793127120109</c:v>
                </c:pt>
                <c:pt idx="1470">
                  <c:v>53883.793127120109</c:v>
                </c:pt>
                <c:pt idx="1471">
                  <c:v>53883.793127120109</c:v>
                </c:pt>
                <c:pt idx="1472">
                  <c:v>53883.793127120109</c:v>
                </c:pt>
                <c:pt idx="1473">
                  <c:v>53883.793127120109</c:v>
                </c:pt>
                <c:pt idx="1474">
                  <c:v>53883.793127120109</c:v>
                </c:pt>
                <c:pt idx="1475">
                  <c:v>53883.793127120109</c:v>
                </c:pt>
                <c:pt idx="1476">
                  <c:v>53883.793127120109</c:v>
                </c:pt>
                <c:pt idx="1477">
                  <c:v>53883.793127120109</c:v>
                </c:pt>
                <c:pt idx="1478">
                  <c:v>53883.793127120109</c:v>
                </c:pt>
                <c:pt idx="1479">
                  <c:v>53883.793127120109</c:v>
                </c:pt>
                <c:pt idx="1480">
                  <c:v>53883.793127120109</c:v>
                </c:pt>
                <c:pt idx="1481">
                  <c:v>53883.793127120109</c:v>
                </c:pt>
                <c:pt idx="1482">
                  <c:v>53883.793127120109</c:v>
                </c:pt>
                <c:pt idx="1483">
                  <c:v>53883.793127120109</c:v>
                </c:pt>
                <c:pt idx="1484">
                  <c:v>53883.793127120109</c:v>
                </c:pt>
                <c:pt idx="1485">
                  <c:v>53883.793127120109</c:v>
                </c:pt>
                <c:pt idx="1486">
                  <c:v>52914.115740163681</c:v>
                </c:pt>
                <c:pt idx="1487">
                  <c:v>52914.115740163681</c:v>
                </c:pt>
                <c:pt idx="1488">
                  <c:v>52914.115740163681</c:v>
                </c:pt>
                <c:pt idx="1489">
                  <c:v>52914.115740163681</c:v>
                </c:pt>
                <c:pt idx="1490">
                  <c:v>52914.115740163681</c:v>
                </c:pt>
                <c:pt idx="1491">
                  <c:v>52914.115740163681</c:v>
                </c:pt>
                <c:pt idx="1492">
                  <c:v>52914.115740163681</c:v>
                </c:pt>
                <c:pt idx="1493">
                  <c:v>52914.115740163681</c:v>
                </c:pt>
                <c:pt idx="1494">
                  <c:v>52914.115740163681</c:v>
                </c:pt>
                <c:pt idx="1495">
                  <c:v>52914.115740163681</c:v>
                </c:pt>
                <c:pt idx="1496">
                  <c:v>52914.115740163681</c:v>
                </c:pt>
                <c:pt idx="1497">
                  <c:v>52914.115740163681</c:v>
                </c:pt>
                <c:pt idx="1498">
                  <c:v>52914.115740163681</c:v>
                </c:pt>
                <c:pt idx="1499">
                  <c:v>52914.115740163681</c:v>
                </c:pt>
                <c:pt idx="1500">
                  <c:v>52914.115740163681</c:v>
                </c:pt>
                <c:pt idx="1501">
                  <c:v>52914.115740163681</c:v>
                </c:pt>
                <c:pt idx="1502">
                  <c:v>52914.115740163681</c:v>
                </c:pt>
                <c:pt idx="1503">
                  <c:v>52914.115740163681</c:v>
                </c:pt>
                <c:pt idx="1504">
                  <c:v>52914.115740163681</c:v>
                </c:pt>
                <c:pt idx="1505">
                  <c:v>52914.115740163681</c:v>
                </c:pt>
                <c:pt idx="1506">
                  <c:v>52914.115740163681</c:v>
                </c:pt>
                <c:pt idx="1507">
                  <c:v>52914.115740163681</c:v>
                </c:pt>
                <c:pt idx="1508">
                  <c:v>52914.115740163681</c:v>
                </c:pt>
                <c:pt idx="1509">
                  <c:v>52914.115740163681</c:v>
                </c:pt>
                <c:pt idx="1510">
                  <c:v>52914.115740163681</c:v>
                </c:pt>
                <c:pt idx="1511">
                  <c:v>52914.115740163681</c:v>
                </c:pt>
                <c:pt idx="1512">
                  <c:v>52914.115740163681</c:v>
                </c:pt>
                <c:pt idx="1513">
                  <c:v>52914.115740163681</c:v>
                </c:pt>
                <c:pt idx="1514">
                  <c:v>52914.115740163681</c:v>
                </c:pt>
                <c:pt idx="1515">
                  <c:v>52914.115740163681</c:v>
                </c:pt>
                <c:pt idx="1516">
                  <c:v>52914.115740163681</c:v>
                </c:pt>
                <c:pt idx="1517">
                  <c:v>51670.122880152572</c:v>
                </c:pt>
                <c:pt idx="1518">
                  <c:v>51670.122880152572</c:v>
                </c:pt>
                <c:pt idx="1519">
                  <c:v>51670.122880152572</c:v>
                </c:pt>
                <c:pt idx="1520">
                  <c:v>51670.122880152572</c:v>
                </c:pt>
                <c:pt idx="1521">
                  <c:v>51670.122880152572</c:v>
                </c:pt>
                <c:pt idx="1522">
                  <c:v>51670.122880152572</c:v>
                </c:pt>
                <c:pt idx="1523">
                  <c:v>51670.122880152572</c:v>
                </c:pt>
                <c:pt idx="1524">
                  <c:v>51670.122880152572</c:v>
                </c:pt>
                <c:pt idx="1525">
                  <c:v>51670.122880152572</c:v>
                </c:pt>
                <c:pt idx="1526">
                  <c:v>51670.122880152572</c:v>
                </c:pt>
                <c:pt idx="1527">
                  <c:v>51670.122880152572</c:v>
                </c:pt>
                <c:pt idx="1528">
                  <c:v>51670.122880152572</c:v>
                </c:pt>
                <c:pt idx="1529">
                  <c:v>51670.122880152572</c:v>
                </c:pt>
                <c:pt idx="1530">
                  <c:v>51670.122880152572</c:v>
                </c:pt>
                <c:pt idx="1531">
                  <c:v>51670.122880152572</c:v>
                </c:pt>
                <c:pt idx="1532">
                  <c:v>51670.122880152572</c:v>
                </c:pt>
                <c:pt idx="1533">
                  <c:v>51670.122880152572</c:v>
                </c:pt>
                <c:pt idx="1534">
                  <c:v>51670.122880152572</c:v>
                </c:pt>
                <c:pt idx="1535">
                  <c:v>51670.122880152572</c:v>
                </c:pt>
                <c:pt idx="1536">
                  <c:v>51670.122880152572</c:v>
                </c:pt>
                <c:pt idx="1537">
                  <c:v>51670.122880152572</c:v>
                </c:pt>
                <c:pt idx="1538">
                  <c:v>51670.122880152572</c:v>
                </c:pt>
                <c:pt idx="1539">
                  <c:v>51670.122880152572</c:v>
                </c:pt>
                <c:pt idx="1540">
                  <c:v>51670.122880152572</c:v>
                </c:pt>
                <c:pt idx="1541">
                  <c:v>51670.122880152572</c:v>
                </c:pt>
                <c:pt idx="1542">
                  <c:v>51670.122880152572</c:v>
                </c:pt>
                <c:pt idx="1543">
                  <c:v>51670.122880152572</c:v>
                </c:pt>
                <c:pt idx="1544">
                  <c:v>51670.122880152572</c:v>
                </c:pt>
                <c:pt idx="1545">
                  <c:v>51670.122880152572</c:v>
                </c:pt>
                <c:pt idx="1546">
                  <c:v>51670.122880152572</c:v>
                </c:pt>
                <c:pt idx="1547">
                  <c:v>50556.119628584966</c:v>
                </c:pt>
                <c:pt idx="1548">
                  <c:v>50556.119628584966</c:v>
                </c:pt>
                <c:pt idx="1549">
                  <c:v>50556.119628584966</c:v>
                </c:pt>
                <c:pt idx="1550">
                  <c:v>50556.119628584966</c:v>
                </c:pt>
                <c:pt idx="1551">
                  <c:v>50556.119628584966</c:v>
                </c:pt>
                <c:pt idx="1552">
                  <c:v>50556.119628584966</c:v>
                </c:pt>
                <c:pt idx="1553">
                  <c:v>50556.119628584966</c:v>
                </c:pt>
                <c:pt idx="1554">
                  <c:v>50556.119628584966</c:v>
                </c:pt>
                <c:pt idx="1555">
                  <c:v>50556.119628584966</c:v>
                </c:pt>
                <c:pt idx="1556">
                  <c:v>50556.119628584966</c:v>
                </c:pt>
                <c:pt idx="1557">
                  <c:v>50556.119628584966</c:v>
                </c:pt>
                <c:pt idx="1558">
                  <c:v>50556.119628584966</c:v>
                </c:pt>
                <c:pt idx="1559">
                  <c:v>50556.119628584966</c:v>
                </c:pt>
                <c:pt idx="1560">
                  <c:v>50556.119628584966</c:v>
                </c:pt>
                <c:pt idx="1561">
                  <c:v>50556.119628584966</c:v>
                </c:pt>
                <c:pt idx="1562">
                  <c:v>50556.119628584966</c:v>
                </c:pt>
                <c:pt idx="1563">
                  <c:v>50556.119628584966</c:v>
                </c:pt>
                <c:pt idx="1564">
                  <c:v>50556.119628584966</c:v>
                </c:pt>
                <c:pt idx="1565">
                  <c:v>50556.119628584966</c:v>
                </c:pt>
                <c:pt idx="1566">
                  <c:v>50556.119628584966</c:v>
                </c:pt>
                <c:pt idx="1567">
                  <c:v>50556.119628584966</c:v>
                </c:pt>
                <c:pt idx="1568">
                  <c:v>50556.119628584966</c:v>
                </c:pt>
                <c:pt idx="1569">
                  <c:v>50556.119628584966</c:v>
                </c:pt>
                <c:pt idx="1570">
                  <c:v>50556.119628584966</c:v>
                </c:pt>
                <c:pt idx="1571">
                  <c:v>50556.119628584966</c:v>
                </c:pt>
                <c:pt idx="1572">
                  <c:v>50556.119628584966</c:v>
                </c:pt>
                <c:pt idx="1573">
                  <c:v>50556.119628584966</c:v>
                </c:pt>
                <c:pt idx="1574">
                  <c:v>50556.119628584966</c:v>
                </c:pt>
                <c:pt idx="1575">
                  <c:v>50556.119628584966</c:v>
                </c:pt>
                <c:pt idx="1576">
                  <c:v>50556.119628584966</c:v>
                </c:pt>
                <c:pt idx="1577">
                  <c:v>50556.119628584966</c:v>
                </c:pt>
                <c:pt idx="1578">
                  <c:v>49524.663875057893</c:v>
                </c:pt>
                <c:pt idx="1579">
                  <c:v>49524.663875057893</c:v>
                </c:pt>
                <c:pt idx="1580">
                  <c:v>49524.663875057893</c:v>
                </c:pt>
                <c:pt idx="1581">
                  <c:v>49524.663875057893</c:v>
                </c:pt>
                <c:pt idx="1582">
                  <c:v>49524.663875057893</c:v>
                </c:pt>
                <c:pt idx="1583">
                  <c:v>49524.663875057893</c:v>
                </c:pt>
                <c:pt idx="1584">
                  <c:v>49524.663875057893</c:v>
                </c:pt>
                <c:pt idx="1585">
                  <c:v>49524.663875057893</c:v>
                </c:pt>
                <c:pt idx="1586">
                  <c:v>49524.663875057893</c:v>
                </c:pt>
                <c:pt idx="1587">
                  <c:v>49524.663875057893</c:v>
                </c:pt>
                <c:pt idx="1588">
                  <c:v>49524.663875057893</c:v>
                </c:pt>
                <c:pt idx="1589">
                  <c:v>49524.663875057893</c:v>
                </c:pt>
                <c:pt idx="1590">
                  <c:v>49524.663875057893</c:v>
                </c:pt>
                <c:pt idx="1591">
                  <c:v>49524.663875057893</c:v>
                </c:pt>
                <c:pt idx="1592">
                  <c:v>49524.663875057893</c:v>
                </c:pt>
                <c:pt idx="1593">
                  <c:v>49524.663875057893</c:v>
                </c:pt>
                <c:pt idx="1594">
                  <c:v>49524.663875057893</c:v>
                </c:pt>
                <c:pt idx="1595">
                  <c:v>49524.663875057893</c:v>
                </c:pt>
                <c:pt idx="1596">
                  <c:v>49524.663875057893</c:v>
                </c:pt>
                <c:pt idx="1597">
                  <c:v>49524.663875057893</c:v>
                </c:pt>
                <c:pt idx="1598">
                  <c:v>49524.663875057893</c:v>
                </c:pt>
                <c:pt idx="1599">
                  <c:v>49524.663875057893</c:v>
                </c:pt>
                <c:pt idx="1600">
                  <c:v>49524.663875057893</c:v>
                </c:pt>
                <c:pt idx="1601">
                  <c:v>49524.663875057893</c:v>
                </c:pt>
                <c:pt idx="1602">
                  <c:v>49524.663875057893</c:v>
                </c:pt>
                <c:pt idx="1603">
                  <c:v>49524.663875057893</c:v>
                </c:pt>
                <c:pt idx="1604">
                  <c:v>49524.663875057893</c:v>
                </c:pt>
                <c:pt idx="1605">
                  <c:v>49524.663875057893</c:v>
                </c:pt>
                <c:pt idx="1606">
                  <c:v>49524.663875057893</c:v>
                </c:pt>
                <c:pt idx="1607">
                  <c:v>49524.663875057893</c:v>
                </c:pt>
                <c:pt idx="1608">
                  <c:v>48369.787700612869</c:v>
                </c:pt>
                <c:pt idx="1609">
                  <c:v>48369.787700612869</c:v>
                </c:pt>
                <c:pt idx="1610">
                  <c:v>48369.787700612869</c:v>
                </c:pt>
                <c:pt idx="1611">
                  <c:v>48369.787700612869</c:v>
                </c:pt>
                <c:pt idx="1612">
                  <c:v>48369.787700612869</c:v>
                </c:pt>
                <c:pt idx="1613">
                  <c:v>48369.787700612869</c:v>
                </c:pt>
                <c:pt idx="1614">
                  <c:v>48369.787700612869</c:v>
                </c:pt>
                <c:pt idx="1615">
                  <c:v>48369.787700612869</c:v>
                </c:pt>
                <c:pt idx="1616">
                  <c:v>48369.787700612869</c:v>
                </c:pt>
                <c:pt idx="1617">
                  <c:v>48369.787700612869</c:v>
                </c:pt>
                <c:pt idx="1618">
                  <c:v>48369.787700612869</c:v>
                </c:pt>
                <c:pt idx="1619">
                  <c:v>48369.787700612869</c:v>
                </c:pt>
                <c:pt idx="1620">
                  <c:v>48369.787700612869</c:v>
                </c:pt>
                <c:pt idx="1621">
                  <c:v>48369.787700612869</c:v>
                </c:pt>
                <c:pt idx="1622">
                  <c:v>48369.787700612869</c:v>
                </c:pt>
                <c:pt idx="1623">
                  <c:v>48369.787700612869</c:v>
                </c:pt>
                <c:pt idx="1624">
                  <c:v>48369.787700612869</c:v>
                </c:pt>
                <c:pt idx="1625">
                  <c:v>48369.787700612869</c:v>
                </c:pt>
                <c:pt idx="1626">
                  <c:v>48369.787700612869</c:v>
                </c:pt>
                <c:pt idx="1627">
                  <c:v>48369.787700612869</c:v>
                </c:pt>
                <c:pt idx="1628">
                  <c:v>48369.787700612869</c:v>
                </c:pt>
                <c:pt idx="1629">
                  <c:v>48369.787700612869</c:v>
                </c:pt>
                <c:pt idx="1630">
                  <c:v>48369.787700612869</c:v>
                </c:pt>
                <c:pt idx="1631">
                  <c:v>48369.787700612869</c:v>
                </c:pt>
                <c:pt idx="1632">
                  <c:v>48369.787700612869</c:v>
                </c:pt>
                <c:pt idx="1633">
                  <c:v>48369.787700612869</c:v>
                </c:pt>
                <c:pt idx="1634">
                  <c:v>48369.787700612869</c:v>
                </c:pt>
                <c:pt idx="1635">
                  <c:v>48369.787700612869</c:v>
                </c:pt>
                <c:pt idx="1636">
                  <c:v>48369.787700612869</c:v>
                </c:pt>
                <c:pt idx="1637">
                  <c:v>48369.787700612869</c:v>
                </c:pt>
                <c:pt idx="1638">
                  <c:v>48369.787700612869</c:v>
                </c:pt>
                <c:pt idx="1639">
                  <c:v>47390.776074218811</c:v>
                </c:pt>
                <c:pt idx="1640">
                  <c:v>47390.776074218811</c:v>
                </c:pt>
                <c:pt idx="1641">
                  <c:v>47390.776074218811</c:v>
                </c:pt>
                <c:pt idx="1642">
                  <c:v>47390.776074218811</c:v>
                </c:pt>
                <c:pt idx="1643">
                  <c:v>47390.776074218811</c:v>
                </c:pt>
                <c:pt idx="1644">
                  <c:v>47390.776074218811</c:v>
                </c:pt>
                <c:pt idx="1645">
                  <c:v>47390.776074218811</c:v>
                </c:pt>
                <c:pt idx="1646">
                  <c:v>47390.776074218811</c:v>
                </c:pt>
                <c:pt idx="1647">
                  <c:v>47390.776074218811</c:v>
                </c:pt>
                <c:pt idx="1648">
                  <c:v>47390.776074218811</c:v>
                </c:pt>
                <c:pt idx="1649">
                  <c:v>47390.776074218811</c:v>
                </c:pt>
                <c:pt idx="1650">
                  <c:v>47390.776074218811</c:v>
                </c:pt>
                <c:pt idx="1651">
                  <c:v>47390.776074218811</c:v>
                </c:pt>
                <c:pt idx="1652">
                  <c:v>47390.776074218811</c:v>
                </c:pt>
                <c:pt idx="1653">
                  <c:v>47390.776074218811</c:v>
                </c:pt>
                <c:pt idx="1654">
                  <c:v>47390.776074218811</c:v>
                </c:pt>
                <c:pt idx="1655">
                  <c:v>47390.776074218811</c:v>
                </c:pt>
                <c:pt idx="1656">
                  <c:v>47390.776074218811</c:v>
                </c:pt>
                <c:pt idx="1657">
                  <c:v>47390.776074218811</c:v>
                </c:pt>
                <c:pt idx="1658">
                  <c:v>47390.776074218811</c:v>
                </c:pt>
                <c:pt idx="1659">
                  <c:v>47390.776074218811</c:v>
                </c:pt>
                <c:pt idx="1660">
                  <c:v>47390.776074218811</c:v>
                </c:pt>
                <c:pt idx="1661">
                  <c:v>47390.776074218811</c:v>
                </c:pt>
                <c:pt idx="1662">
                  <c:v>47390.776074218811</c:v>
                </c:pt>
                <c:pt idx="1663">
                  <c:v>47390.776074218811</c:v>
                </c:pt>
                <c:pt idx="1664">
                  <c:v>47390.776074218811</c:v>
                </c:pt>
                <c:pt idx="1665">
                  <c:v>47390.776074218811</c:v>
                </c:pt>
                <c:pt idx="1666">
                  <c:v>47390.776074218811</c:v>
                </c:pt>
                <c:pt idx="1667">
                  <c:v>47390.776074218811</c:v>
                </c:pt>
                <c:pt idx="1668">
                  <c:v>47390.776074218811</c:v>
                </c:pt>
                <c:pt idx="1669">
                  <c:v>47390.776074218811</c:v>
                </c:pt>
                <c:pt idx="1670">
                  <c:v>46482.0881815057</c:v>
                </c:pt>
                <c:pt idx="1671">
                  <c:v>46482.0881815057</c:v>
                </c:pt>
                <c:pt idx="1672">
                  <c:v>46482.0881815057</c:v>
                </c:pt>
                <c:pt idx="1673">
                  <c:v>46482.0881815057</c:v>
                </c:pt>
                <c:pt idx="1674">
                  <c:v>46482.0881815057</c:v>
                </c:pt>
                <c:pt idx="1675">
                  <c:v>46482.0881815057</c:v>
                </c:pt>
                <c:pt idx="1676">
                  <c:v>46482.0881815057</c:v>
                </c:pt>
                <c:pt idx="1677">
                  <c:v>46482.0881815057</c:v>
                </c:pt>
                <c:pt idx="1678">
                  <c:v>46482.0881815057</c:v>
                </c:pt>
                <c:pt idx="1679">
                  <c:v>46482.0881815057</c:v>
                </c:pt>
                <c:pt idx="1680">
                  <c:v>46482.0881815057</c:v>
                </c:pt>
                <c:pt idx="1681">
                  <c:v>46482.0881815057</c:v>
                </c:pt>
                <c:pt idx="1682">
                  <c:v>46482.0881815057</c:v>
                </c:pt>
                <c:pt idx="1683">
                  <c:v>46482.0881815057</c:v>
                </c:pt>
                <c:pt idx="1684">
                  <c:v>46482.0881815057</c:v>
                </c:pt>
                <c:pt idx="1685">
                  <c:v>46482.0881815057</c:v>
                </c:pt>
                <c:pt idx="1686">
                  <c:v>46482.0881815057</c:v>
                </c:pt>
                <c:pt idx="1687">
                  <c:v>46482.0881815057</c:v>
                </c:pt>
                <c:pt idx="1688">
                  <c:v>46482.0881815057</c:v>
                </c:pt>
                <c:pt idx="1689">
                  <c:v>46482.0881815057</c:v>
                </c:pt>
                <c:pt idx="1690">
                  <c:v>46482.0881815057</c:v>
                </c:pt>
                <c:pt idx="1691">
                  <c:v>46482.0881815057</c:v>
                </c:pt>
                <c:pt idx="1692">
                  <c:v>46482.0881815057</c:v>
                </c:pt>
                <c:pt idx="1693">
                  <c:v>46482.0881815057</c:v>
                </c:pt>
                <c:pt idx="1694">
                  <c:v>46482.0881815057</c:v>
                </c:pt>
                <c:pt idx="1695">
                  <c:v>46482.0881815057</c:v>
                </c:pt>
                <c:pt idx="1696">
                  <c:v>46482.0881815057</c:v>
                </c:pt>
                <c:pt idx="1697">
                  <c:v>46482.0881815057</c:v>
                </c:pt>
                <c:pt idx="1698">
                  <c:v>46482.0881815057</c:v>
                </c:pt>
                <c:pt idx="1699">
                  <c:v>46482.0881815057</c:v>
                </c:pt>
                <c:pt idx="1700">
                  <c:v>45547.270469263931</c:v>
                </c:pt>
                <c:pt idx="1701">
                  <c:v>45547.270469263931</c:v>
                </c:pt>
                <c:pt idx="1702">
                  <c:v>45547.270469263931</c:v>
                </c:pt>
                <c:pt idx="1703">
                  <c:v>45547.270469263931</c:v>
                </c:pt>
                <c:pt idx="1704">
                  <c:v>45547.270469263931</c:v>
                </c:pt>
                <c:pt idx="1705">
                  <c:v>45547.270469263931</c:v>
                </c:pt>
                <c:pt idx="1706">
                  <c:v>45547.270469263931</c:v>
                </c:pt>
                <c:pt idx="1707">
                  <c:v>45547.270469263931</c:v>
                </c:pt>
                <c:pt idx="1708">
                  <c:v>45547.270469263931</c:v>
                </c:pt>
                <c:pt idx="1709">
                  <c:v>45547.270469263931</c:v>
                </c:pt>
                <c:pt idx="1710">
                  <c:v>45547.270469263931</c:v>
                </c:pt>
                <c:pt idx="1711">
                  <c:v>45547.270469263931</c:v>
                </c:pt>
                <c:pt idx="1712">
                  <c:v>45547.270469263931</c:v>
                </c:pt>
                <c:pt idx="1713">
                  <c:v>45547.270469263931</c:v>
                </c:pt>
                <c:pt idx="1714">
                  <c:v>45547.270469263931</c:v>
                </c:pt>
                <c:pt idx="1715">
                  <c:v>45547.270469263931</c:v>
                </c:pt>
                <c:pt idx="1716">
                  <c:v>45547.270469263931</c:v>
                </c:pt>
                <c:pt idx="1717">
                  <c:v>45547.270469263931</c:v>
                </c:pt>
                <c:pt idx="1718">
                  <c:v>45547.270469263931</c:v>
                </c:pt>
                <c:pt idx="1719">
                  <c:v>45547.270469263931</c:v>
                </c:pt>
                <c:pt idx="1720">
                  <c:v>45547.270469263931</c:v>
                </c:pt>
                <c:pt idx="1721">
                  <c:v>45547.270469263931</c:v>
                </c:pt>
                <c:pt idx="1722">
                  <c:v>45547.270469263931</c:v>
                </c:pt>
                <c:pt idx="1723">
                  <c:v>45547.270469263931</c:v>
                </c:pt>
                <c:pt idx="1724">
                  <c:v>45547.270469263931</c:v>
                </c:pt>
                <c:pt idx="1725">
                  <c:v>45547.270469263931</c:v>
                </c:pt>
                <c:pt idx="1726">
                  <c:v>45547.270469263931</c:v>
                </c:pt>
                <c:pt idx="1727">
                  <c:v>45547.270469263931</c:v>
                </c:pt>
                <c:pt idx="1728">
                  <c:v>45547.270469263931</c:v>
                </c:pt>
                <c:pt idx="1729">
                  <c:v>45547.270469263931</c:v>
                </c:pt>
                <c:pt idx="1730">
                  <c:v>45547.270469263931</c:v>
                </c:pt>
                <c:pt idx="1731">
                  <c:v>44234.178670782727</c:v>
                </c:pt>
                <c:pt idx="1732">
                  <c:v>44234.178670782727</c:v>
                </c:pt>
                <c:pt idx="1733">
                  <c:v>44234.178670782727</c:v>
                </c:pt>
                <c:pt idx="1734">
                  <c:v>44234.178670782727</c:v>
                </c:pt>
                <c:pt idx="1735">
                  <c:v>44234.178670782727</c:v>
                </c:pt>
                <c:pt idx="1736">
                  <c:v>44234.178670782727</c:v>
                </c:pt>
                <c:pt idx="1737">
                  <c:v>44234.178670782727</c:v>
                </c:pt>
                <c:pt idx="1738">
                  <c:v>44234.178670782727</c:v>
                </c:pt>
                <c:pt idx="1739">
                  <c:v>44234.178670782727</c:v>
                </c:pt>
                <c:pt idx="1740">
                  <c:v>44234.178670782727</c:v>
                </c:pt>
                <c:pt idx="1741">
                  <c:v>44234.178670782727</c:v>
                </c:pt>
                <c:pt idx="1742">
                  <c:v>44234.178670782727</c:v>
                </c:pt>
                <c:pt idx="1743">
                  <c:v>44234.178670782727</c:v>
                </c:pt>
                <c:pt idx="1744">
                  <c:v>44234.178670782727</c:v>
                </c:pt>
                <c:pt idx="1745">
                  <c:v>44234.178670782727</c:v>
                </c:pt>
                <c:pt idx="1746">
                  <c:v>44234.178670782727</c:v>
                </c:pt>
                <c:pt idx="1747">
                  <c:v>44234.178670782727</c:v>
                </c:pt>
                <c:pt idx="1748">
                  <c:v>44234.178670782727</c:v>
                </c:pt>
                <c:pt idx="1749">
                  <c:v>44234.178670782727</c:v>
                </c:pt>
                <c:pt idx="1750">
                  <c:v>44234.178670782727</c:v>
                </c:pt>
                <c:pt idx="1751">
                  <c:v>44234.178670782727</c:v>
                </c:pt>
                <c:pt idx="1752">
                  <c:v>44234.178670782727</c:v>
                </c:pt>
                <c:pt idx="1753">
                  <c:v>44234.178670782727</c:v>
                </c:pt>
                <c:pt idx="1754">
                  <c:v>44234.178670782727</c:v>
                </c:pt>
                <c:pt idx="1755">
                  <c:v>44234.178670782727</c:v>
                </c:pt>
                <c:pt idx="1756">
                  <c:v>44234.178670782727</c:v>
                </c:pt>
                <c:pt idx="1757">
                  <c:v>44234.178670782727</c:v>
                </c:pt>
                <c:pt idx="1758">
                  <c:v>44234.178670782727</c:v>
                </c:pt>
                <c:pt idx="1759">
                  <c:v>44234.178670782727</c:v>
                </c:pt>
                <c:pt idx="1760">
                  <c:v>44234.178670782727</c:v>
                </c:pt>
                <c:pt idx="1761">
                  <c:v>43196.105887322752</c:v>
                </c:pt>
                <c:pt idx="1762">
                  <c:v>43196.105887322752</c:v>
                </c:pt>
                <c:pt idx="1763">
                  <c:v>43196.105887322752</c:v>
                </c:pt>
                <c:pt idx="1764">
                  <c:v>43196.105887322752</c:v>
                </c:pt>
                <c:pt idx="1765">
                  <c:v>43196.105887322752</c:v>
                </c:pt>
                <c:pt idx="1766">
                  <c:v>43196.105887322752</c:v>
                </c:pt>
                <c:pt idx="1767">
                  <c:v>43196.105887322752</c:v>
                </c:pt>
                <c:pt idx="1768">
                  <c:v>43196.105887322752</c:v>
                </c:pt>
                <c:pt idx="1769">
                  <c:v>43196.105887322752</c:v>
                </c:pt>
                <c:pt idx="1770">
                  <c:v>43196.105887322752</c:v>
                </c:pt>
                <c:pt idx="1771">
                  <c:v>43196.105887322752</c:v>
                </c:pt>
                <c:pt idx="1772">
                  <c:v>43196.105887322752</c:v>
                </c:pt>
                <c:pt idx="1773">
                  <c:v>43196.105887322752</c:v>
                </c:pt>
                <c:pt idx="1774">
                  <c:v>43196.105887322752</c:v>
                </c:pt>
                <c:pt idx="1775">
                  <c:v>43196.105887322752</c:v>
                </c:pt>
                <c:pt idx="1776">
                  <c:v>43196.105887322752</c:v>
                </c:pt>
                <c:pt idx="1777">
                  <c:v>43196.105887322752</c:v>
                </c:pt>
                <c:pt idx="1778">
                  <c:v>43196.105887322752</c:v>
                </c:pt>
                <c:pt idx="1779">
                  <c:v>43196.105887322752</c:v>
                </c:pt>
                <c:pt idx="1780">
                  <c:v>43196.105887322752</c:v>
                </c:pt>
                <c:pt idx="1781">
                  <c:v>43196.105887322752</c:v>
                </c:pt>
                <c:pt idx="1782">
                  <c:v>43196.105887322752</c:v>
                </c:pt>
                <c:pt idx="1783">
                  <c:v>43196.105887322752</c:v>
                </c:pt>
                <c:pt idx="1784">
                  <c:v>43196.105887322752</c:v>
                </c:pt>
                <c:pt idx="1785">
                  <c:v>43196.105887322752</c:v>
                </c:pt>
                <c:pt idx="1786">
                  <c:v>43196.105887322752</c:v>
                </c:pt>
                <c:pt idx="1787">
                  <c:v>43196.105887322752</c:v>
                </c:pt>
                <c:pt idx="1788">
                  <c:v>43196.105887322752</c:v>
                </c:pt>
                <c:pt idx="1789">
                  <c:v>43196.105887322752</c:v>
                </c:pt>
                <c:pt idx="1790">
                  <c:v>43196.105887322752</c:v>
                </c:pt>
                <c:pt idx="1791">
                  <c:v>43196.105887322752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82-4214-8499-0D20D7C4D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0858960"/>
        <c:axId val="560855680"/>
      </c:scatterChart>
      <c:valAx>
        <c:axId val="56085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55680"/>
        <c:crosses val="autoZero"/>
        <c:crossBetween val="midCat"/>
      </c:valAx>
      <c:valAx>
        <c:axId val="560855680"/>
        <c:scaling>
          <c:logBase val="10"/>
          <c:orientation val="minMax"/>
          <c:max val="250000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858960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304800</xdr:colOff>
      <xdr:row>5</xdr:row>
      <xdr:rowOff>142874</xdr:rowOff>
    </xdr:from>
    <xdr:to>
      <xdr:col>17</xdr:col>
      <xdr:colOff>285750</xdr:colOff>
      <xdr:row>34</xdr:row>
      <xdr:rowOff>190499</xdr:rowOff>
    </xdr:to>
    <xdr:sp macro="" textlink="">
      <xdr:nvSpPr>
        <xdr:cNvPr id="2" name="ariesQuery">
          <a:extLst>
            <a:ext uri="{FF2B5EF4-FFF2-40B4-BE49-F238E27FC236}">
              <a16:creationId xmlns:a16="http://schemas.microsoft.com/office/drawing/2014/main" id="{D576E285-5269-4A17-A3CE-5ED694A9E8EB}"/>
            </a:ext>
          </a:extLst>
        </xdr:cNvPr>
        <xdr:cNvSpPr txBox="1">
          <a:spLocks/>
        </xdr:cNvSpPr>
      </xdr:nvSpPr>
      <xdr:spPr>
        <a:xfrm>
          <a:off x="6410325" y="1095374"/>
          <a:ext cx="7486650" cy="5572125"/>
        </a:xfrm>
        <a:prstGeom prst="rect">
          <a:avLst/>
        </a:prstGeom>
        <a:solidFill>
          <a:schemeClr val="bg1">
            <a:lumMod val="95000"/>
          </a:schemeClr>
        </a:solidFill>
        <a:ln w="25400">
          <a:solidFill>
            <a:schemeClr val="tx1"/>
          </a:solidFill>
        </a:ln>
        <a:effectLst>
          <a:outerShdw blurRad="50800" dist="38100" dir="2700000" sx="107000" sy="107000" algn="tl" rotWithShape="0">
            <a:prstClr val="black">
              <a:alpha val="35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/*pdp*/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select  monthly.OUTDATE as Date, sum(monthly.s392)/30.4 as Gas </a:t>
          </a:r>
        </a:p>
        <a:p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from Ariesadmin.AC_PROPERTY as prop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INNER JOIN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Ariesadmin.AC_MONTHLY as monthly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on prop.PROPNUM = monthly.PROPNUM</a:t>
          </a:r>
        </a:p>
        <a:p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where </a:t>
          </a:r>
        </a:p>
        <a:p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prop.MAJOR = 'GAS'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prop.AREA in ('KEN', 'CIO') 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prop.RSV_CAT = '1pdp'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monthly.SCENARIO = 'DAN0122' 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prop.FIELD &lt;&gt; 'Beluga River Unit'</a:t>
          </a:r>
        </a:p>
        <a:p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monthly.OUTDATE BETWEEN  '2023-1-01' AND '2023-12-31'</a:t>
          </a:r>
        </a:p>
        <a:p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group by monthly.OUTDATE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order by monthly.OUTDATE</a:t>
          </a:r>
          <a:endParaRPr lang="en-US" sz="1400" b="1">
            <a:solidFill>
              <a:srgbClr val="0070C0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7</xdr:col>
      <xdr:colOff>247650</xdr:colOff>
      <xdr:row>1</xdr:row>
      <xdr:rowOff>57150</xdr:rowOff>
    </xdr:from>
    <xdr:to>
      <xdr:col>8</xdr:col>
      <xdr:colOff>552450</xdr:colOff>
      <xdr:row>3</xdr:row>
      <xdr:rowOff>114300</xdr:rowOff>
    </xdr:to>
    <xdr:sp macro="[0]!ariesDb" textlink="">
      <xdr:nvSpPr>
        <xdr:cNvPr id="5" name="Rectangle 4">
          <a:extLst>
            <a:ext uri="{FF2B5EF4-FFF2-40B4-BE49-F238E27FC236}">
              <a16:creationId xmlns:a16="http://schemas.microsoft.com/office/drawing/2014/main" id="{07C81A90-0434-491A-9B58-4338360C8F97}"/>
            </a:ext>
          </a:extLst>
        </xdr:cNvPr>
        <xdr:cNvSpPr/>
      </xdr:nvSpPr>
      <xdr:spPr>
        <a:xfrm>
          <a:off x="7762875" y="247650"/>
          <a:ext cx="914400" cy="43815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  <a:effectLst>
          <a:outerShdw blurRad="50800" dist="38100" dir="2700000" sx="115000" sy="115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1">
              <a:solidFill>
                <a:schemeClr val="tx1"/>
              </a:solidFill>
            </a:rPr>
            <a:t>RUN</a:t>
          </a:r>
        </a:p>
      </xdr:txBody>
    </xdr:sp>
    <xdr:clientData/>
  </xdr:twoCellAnchor>
  <xdr:oneCellAnchor>
    <xdr:from>
      <xdr:col>0</xdr:col>
      <xdr:colOff>0</xdr:colOff>
      <xdr:row>3</xdr:row>
      <xdr:rowOff>123825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791AF464-F96F-3651-F87B-3787AE3C6224}"/>
            </a:ext>
          </a:extLst>
        </xdr:cNvPr>
        <xdr:cNvSpPr txBox="1"/>
      </xdr:nvSpPr>
      <xdr:spPr>
        <a:xfrm>
          <a:off x="12792075" y="6953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 editAs="absolute">
    <xdr:from>
      <xdr:col>3</xdr:col>
      <xdr:colOff>123825</xdr:colOff>
      <xdr:row>18</xdr:row>
      <xdr:rowOff>0</xdr:rowOff>
    </xdr:from>
    <xdr:to>
      <xdr:col>10</xdr:col>
      <xdr:colOff>48931</xdr:colOff>
      <xdr:row>33</xdr:row>
      <xdr:rowOff>52912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64B49F65-5481-2F68-5759-3F0D96EE7B00}"/>
            </a:ext>
          </a:extLst>
        </xdr:cNvPr>
        <xdr:cNvSpPr txBox="1"/>
      </xdr:nvSpPr>
      <xdr:spPr>
        <a:xfrm>
          <a:off x="4924425" y="3429000"/>
          <a:ext cx="4468531" cy="2910412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/*projects*/</a:t>
          </a: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select  monthly.OUTDATE as Date, sum(monthly.s392)/30.4 as Gas </a:t>
          </a:r>
          <a:endParaRPr lang="en-US" sz="1200" b="1">
            <a:effectLst/>
          </a:endParaRP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from Ariesadmin.AC_PROPERTY as prop </a:t>
          </a:r>
          <a:endParaRPr lang="en-US" sz="1200" b="1">
            <a:effectLst/>
          </a:endParaRP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INNER JOIN </a:t>
          </a:r>
          <a:endParaRPr lang="en-US" sz="1200" b="1">
            <a:effectLst/>
          </a:endParaRP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Ariesadmin.AC_MONTHLY as monthly</a:t>
          </a:r>
          <a:endParaRPr lang="en-US" sz="1200" b="1">
            <a:effectLst/>
          </a:endParaRP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on prop.PROPNUM = monthly.PROPNUM</a:t>
          </a:r>
          <a:endParaRPr lang="en-US" sz="1200" b="1">
            <a:effectLst/>
          </a:endParaRP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where </a:t>
          </a:r>
          <a:endParaRPr lang="en-US" sz="1200" b="1">
            <a:effectLst/>
          </a:endParaRP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prop.PROJECT_YEAR = '2023'</a:t>
          </a:r>
          <a:endParaRPr lang="en-US" sz="1200" b="1">
            <a:effectLst/>
          </a:endParaRP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and prop.MAJOR = 'GAS' </a:t>
          </a:r>
          <a:endParaRPr lang="en-US" sz="1200" b="1">
            <a:effectLst/>
          </a:endParaRP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and prop.AREA in ('KEN', 'CIO')  </a:t>
          </a:r>
          <a:endParaRPr lang="en-US" sz="1200" b="1">
            <a:effectLst/>
          </a:endParaRP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and monthly.SCENARIO = '2023_PLAN_HMAN'  </a:t>
          </a:r>
          <a:endParaRPr lang="en-US" sz="1200" b="1">
            <a:effectLst/>
          </a:endParaRP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and monthly.OUTDATE BETWEEN  '2023-1-01' AND '2028-12-31'</a:t>
          </a:r>
          <a:endParaRPr lang="en-US" sz="1200" b="1">
            <a:effectLst/>
          </a:endParaRP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group by monthly.OUTDATE</a:t>
          </a:r>
          <a:endParaRPr lang="en-US" sz="1200" b="1">
            <a:effectLst/>
          </a:endParaRPr>
        </a:p>
        <a:p>
          <a:r>
            <a:rPr lang="en-US" sz="12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order by monthly.OUTDATE</a:t>
          </a:r>
          <a:endParaRPr lang="en-US" sz="1200" b="1">
            <a:effectLst/>
          </a:endParaRPr>
        </a:p>
        <a:p>
          <a:endParaRPr lang="en-US" sz="1200" b="1"/>
        </a:p>
      </xdr:txBody>
    </xdr:sp>
    <xdr:clientData/>
  </xdr:twoCellAnchor>
  <xdr:twoCellAnchor editAs="absolute">
    <xdr:from>
      <xdr:col>10</xdr:col>
      <xdr:colOff>228600</xdr:colOff>
      <xdr:row>25</xdr:row>
      <xdr:rowOff>123825</xdr:rowOff>
    </xdr:from>
    <xdr:to>
      <xdr:col>17</xdr:col>
      <xdr:colOff>277710</xdr:colOff>
      <xdr:row>44</xdr:row>
      <xdr:rowOff>41191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CA91FE44-F8E9-4BAD-BCAB-21A11499B59E}"/>
            </a:ext>
          </a:extLst>
        </xdr:cNvPr>
        <xdr:cNvSpPr txBox="1"/>
      </xdr:nvSpPr>
      <xdr:spPr>
        <a:xfrm>
          <a:off x="9572625" y="4886325"/>
          <a:ext cx="4316310" cy="3536866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/*bru only pdp*/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select  monthly.OUTDATE as Date, sum(monthly.s392)/30.4*0.33 as Gas</a:t>
          </a:r>
        </a:p>
        <a:p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from Ariesadmin.AC_PROPERTY as prop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INNER JOIN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Ariesadmin.AC_MONTHLY as monthly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on prop.PROPNUM = monthly.PROPNUM</a:t>
          </a:r>
        </a:p>
        <a:p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where </a:t>
          </a:r>
        </a:p>
        <a:p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prop.MAJOR = 'GAS'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prop.AREA in ('KEN', 'CIO') 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prop.RSV_CAT = '1pdp'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monthly.SCENARIO = 'DAN0122' 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prop.FIELD = 'BELUGA RIVER'</a:t>
          </a:r>
        </a:p>
        <a:p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monthly.OUTDATE BETWEEN  '2023-1-01' AND '2028-12-31'</a:t>
          </a:r>
        </a:p>
        <a:p>
          <a:endParaRPr lang="en-US" sz="1100">
            <a:solidFill>
              <a:schemeClr val="tx1"/>
            </a:solidFill>
            <a:latin typeface="+mn-lt"/>
            <a:ea typeface="+mn-ea"/>
            <a:cs typeface="+mn-cs"/>
          </a:endParaRP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group by monthly.OUTDATE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order by monthly.OUTDATE</a:t>
          </a:r>
          <a:endParaRPr lang="en-US" sz="1200" b="1"/>
        </a:p>
      </xdr:txBody>
    </xdr:sp>
    <xdr:clientData/>
  </xdr:twoCellAnchor>
  <xdr:twoCellAnchor editAs="absolute">
    <xdr:from>
      <xdr:col>2</xdr:col>
      <xdr:colOff>2305050</xdr:colOff>
      <xdr:row>34</xdr:row>
      <xdr:rowOff>19050</xdr:rowOff>
    </xdr:from>
    <xdr:to>
      <xdr:col>9</xdr:col>
      <xdr:colOff>204803</xdr:colOff>
      <xdr:row>48</xdr:row>
      <xdr:rowOff>27782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EEB80251-3CCC-4397-AB34-BFCCBA8C0C3C}"/>
            </a:ext>
          </a:extLst>
        </xdr:cNvPr>
        <xdr:cNvSpPr txBox="1"/>
      </xdr:nvSpPr>
      <xdr:spPr>
        <a:xfrm>
          <a:off x="4591050" y="6496050"/>
          <a:ext cx="4348178" cy="2675732"/>
        </a:xfrm>
        <a:prstGeom prst="rect">
          <a:avLst/>
        </a:prstGeom>
        <a:solidFill>
          <a:srgbClr val="FFFF0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>
              <a:solidFill>
                <a:schemeClr val="tx1"/>
              </a:solidFill>
              <a:latin typeface="+mn-lt"/>
              <a:ea typeface="+mn-ea"/>
              <a:cs typeface="+mn-cs"/>
            </a:rPr>
            <a:t>/*bru only projects*/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select  monthly.OUTDATE as Date, sum(monthly.s392)/30.4*0.33 as Gas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from Ariesadmin.AC_PROPERTY as prop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INNER JOIN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Ariesadmin.AC_MONTHLY as monthly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on prop.PROPNUM = monthly.PROPNUM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where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prop.PROJECT_YEAR = '2023'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prop.MAJOR = 'GAS'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prop.AREA in ('KEN', 'CIO') 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monthly.SCENARIO = '2023_PLAN_HMAN'  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monthly.OUTDATE BETWEEN  '2023-1-01' AND '2028-12-31'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and prop.FIELD = 'BELUGA RIVER'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group by monthly.OUTDATE</a:t>
          </a:r>
        </a:p>
        <a:p>
          <a:r>
            <a:rPr lang="en-US" sz="1100">
              <a:solidFill>
                <a:schemeClr val="tx1"/>
              </a:solidFill>
              <a:latin typeface="+mn-lt"/>
              <a:ea typeface="+mn-ea"/>
              <a:cs typeface="+mn-cs"/>
            </a:rPr>
            <a:t>order by monthly.OUTDATE</a:t>
          </a:r>
          <a:endParaRPr lang="en-US" sz="12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123825</xdr:colOff>
      <xdr:row>6</xdr:row>
      <xdr:rowOff>33337</xdr:rowOff>
    </xdr:from>
    <xdr:to>
      <xdr:col>23</xdr:col>
      <xdr:colOff>180975</xdr:colOff>
      <xdr:row>38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4ED196D-D12F-6D6C-CA1D-5631C05854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taylor" refreshedDate="44844.465548148146" createdVersion="8" refreshedVersion="8" minRefreshableVersion="3" recordCount="3880" xr:uid="{B468202C-8255-4AF8-857F-7436ADF0233B}">
  <cacheSource type="worksheet">
    <worksheetSource ref="A300:F3881" sheet="Aries_Query"/>
  </cacheSource>
  <cacheFields count="8">
    <cacheField name="SCENARIO" numFmtId="0">
      <sharedItems/>
    </cacheField>
    <cacheField name="FIELD" numFmtId="0">
      <sharedItems/>
    </cacheField>
    <cacheField name="LEASE" numFmtId="0">
      <sharedItems count="32">
        <s v="BELUGA_RIVER 212-35"/>
        <s v="BELUGA_RIVER 214-26"/>
        <s v="BELUGA_RIVER 232-26"/>
        <s v="BELUGA_RIVER 232-23"/>
        <s v="BELUGA_RIVER 243-34"/>
        <s v="BELUGA_RIVER 211-26"/>
        <s v="BELUGA_RIVER 241-34T (formerly 241-34)"/>
        <s v="BELUGA_RIVER 212-35T"/>
        <s v="BR E5 BP1"/>
        <s v="BR J3 BP1"/>
        <s v="BR G5 BP1"/>
        <s v="BRU 223-24 BP1 (formerly BR E6 BP1)"/>
        <s v="BELUGA_RIVER 214-26 VS"/>
        <s v="BELUGA_RIVER 211-26 VS"/>
        <s v="BELUGA_RIVER 224-13 VS"/>
        <s v="BELUGA_RIVER 224-34 VS"/>
        <s v="BELUGA_RIVER 243-34 VS"/>
        <s v="BELUGA_RIVER 224-23T"/>
        <s v="BELUGA_RIVER 244-23"/>
        <s v="BR E5 BP2 (formerly 244-23 Offset)"/>
        <s v="BRU 223-24 BP2 (BR formerly E6 BP2)"/>
        <s v="BELUGA_RIVER 212-24T"/>
        <s v="BELUGA_RIVER 242-04"/>
        <s v="BRU 211-03"/>
        <s v="BRU 232-23"/>
        <s v="BR G5 BP2"/>
        <s v="BR J3 BP2"/>
        <s v="BR E5 BP3"/>
        <s v="BRU 223-24 BP3 (formerly BR E6 BP3)"/>
        <s v="BELUGA_RIVER 212-26"/>
        <s v="BELUGA_RIVER 222-24"/>
        <s v="BELUGA_RIVER 241-34T"/>
      </sharedItems>
    </cacheField>
    <cacheField name="RSV_CAT" numFmtId="0">
      <sharedItems count="3">
        <s v="1PDP"/>
        <s v="2PNP"/>
        <s v="3PUD"/>
      </sharedItems>
    </cacheField>
    <cacheField name="Date" numFmtId="14">
      <sharedItems containsSemiMixedTypes="0" containsNonDate="0" containsDate="1" containsString="0" minDate="2022-07-31T00:00:00" maxDate="2036-01-01T00:00:00" count="162">
        <d v="2022-07-31T00:00:00"/>
        <d v="2022-08-31T00:00:00"/>
        <d v="2022-09-30T00:00:00"/>
        <d v="2022-10-31T00:00:00"/>
        <d v="2022-11-30T00:00:00"/>
        <d v="2022-12-31T00:00:00"/>
        <d v="2023-01-31T00:00:00"/>
        <d v="2023-02-28T00:00:00"/>
        <d v="2023-03-31T00:00:00"/>
        <d v="2023-04-30T00:00:00"/>
        <d v="2023-05-31T00:00:00"/>
        <d v="2023-06-30T00:00:00"/>
        <d v="2023-07-31T00:00:00"/>
        <d v="2023-08-31T00:00:00"/>
        <d v="2023-09-30T00:00:00"/>
        <d v="2023-10-31T00:00:00"/>
        <d v="2023-11-30T00:00:00"/>
        <d v="2023-12-31T00:00:00"/>
        <d v="2024-01-31T00:00:00"/>
        <d v="2024-02-29T00:00:00"/>
        <d v="2024-03-31T00:00:00"/>
        <d v="2024-04-30T00:00:00"/>
        <d v="2024-05-31T00:00:00"/>
        <d v="2024-06-30T00:00:00"/>
        <d v="2024-07-31T00:00:00"/>
        <d v="2024-08-31T00:00:00"/>
        <d v="2024-09-30T00:00:00"/>
        <d v="2024-10-31T00:00:00"/>
        <d v="2024-11-30T00:00:00"/>
        <d v="2024-12-31T00:00:00"/>
        <d v="2025-01-31T00:00:00"/>
        <d v="2025-02-28T00:00:00"/>
        <d v="2025-03-31T00:00:00"/>
        <d v="2025-04-30T00:00:00"/>
        <d v="2025-05-31T00:00:00"/>
        <d v="2025-06-30T00:00:00"/>
        <d v="2025-07-31T00:00:00"/>
        <d v="2025-08-31T00:00:00"/>
        <d v="2025-09-30T00:00:00"/>
        <d v="2025-10-31T00:00:00"/>
        <d v="2025-11-30T00:00:00"/>
        <d v="2025-12-31T00:00:00"/>
        <d v="2026-01-31T00:00:00"/>
        <d v="2026-02-28T00:00:00"/>
        <d v="2026-03-31T00:00:00"/>
        <d v="2026-04-30T00:00:00"/>
        <d v="2026-05-31T00:00:00"/>
        <d v="2026-06-30T00:00:00"/>
        <d v="2026-07-31T00:00:00"/>
        <d v="2026-08-31T00:00:00"/>
        <d v="2026-09-30T00:00:00"/>
        <d v="2026-10-31T00:00:00"/>
        <d v="2026-11-30T00:00:00"/>
        <d v="2026-12-31T00:00:00"/>
        <d v="2027-01-31T00:00:00"/>
        <d v="2027-02-28T00:00:00"/>
        <d v="2027-03-31T00:00:00"/>
        <d v="2027-04-30T00:00:00"/>
        <d v="2027-05-31T00:00:00"/>
        <d v="2027-06-30T00:00:00"/>
        <d v="2027-07-31T00:00:00"/>
        <d v="2027-08-31T00:00:00"/>
        <d v="2027-09-30T00:00:00"/>
        <d v="2027-10-31T00:00:00"/>
        <d v="2027-11-30T00:00:00"/>
        <d v="2027-12-31T00:00:00"/>
        <d v="2028-01-31T00:00:00"/>
        <d v="2028-02-29T00:00:00"/>
        <d v="2028-03-31T00:00:00"/>
        <d v="2028-04-30T00:00:00"/>
        <d v="2028-05-31T00:00:00"/>
        <d v="2028-06-30T00:00:00"/>
        <d v="2028-07-31T00:00:00"/>
        <d v="2028-08-31T00:00:00"/>
        <d v="2028-09-30T00:00:00"/>
        <d v="2028-10-31T00:00:00"/>
        <d v="2028-11-30T00:00:00"/>
        <d v="2028-12-31T00:00:00"/>
        <d v="2029-01-31T00:00:00"/>
        <d v="2029-02-28T00:00:00"/>
        <d v="2029-03-31T00:00:00"/>
        <d v="2029-04-30T00:00:00"/>
        <d v="2029-05-31T00:00:00"/>
        <d v="2029-06-30T00:00:00"/>
        <d v="2029-07-31T00:00:00"/>
        <d v="2029-08-31T00:00:00"/>
        <d v="2029-09-30T00:00:00"/>
        <d v="2029-10-31T00:00:00"/>
        <d v="2029-11-30T00:00:00"/>
        <d v="2029-12-31T00:00:00"/>
        <d v="2030-01-31T00:00:00"/>
        <d v="2030-02-28T00:00:00"/>
        <d v="2030-03-31T00:00:00"/>
        <d v="2030-04-30T00:00:00"/>
        <d v="2030-05-31T00:00:00"/>
        <d v="2030-06-30T00:00:00"/>
        <d v="2030-07-31T00:00:00"/>
        <d v="2030-08-31T00:00:00"/>
        <d v="2030-09-30T00:00:00"/>
        <d v="2030-10-31T00:00:00"/>
        <d v="2030-11-30T00:00:00"/>
        <d v="2030-12-31T00:00:00"/>
        <d v="2031-01-31T00:00:00"/>
        <d v="2031-02-28T00:00:00"/>
        <d v="2031-03-31T00:00:00"/>
        <d v="2031-04-30T00:00:00"/>
        <d v="2031-05-31T00:00:00"/>
        <d v="2031-06-30T00:00:00"/>
        <d v="2031-07-31T00:00:00"/>
        <d v="2031-08-31T00:00:00"/>
        <d v="2031-09-30T00:00:00"/>
        <d v="2031-10-31T00:00:00"/>
        <d v="2031-11-30T00:00:00"/>
        <d v="2031-12-31T00:00:00"/>
        <d v="2032-01-31T00:00:00"/>
        <d v="2032-02-29T00:00:00"/>
        <d v="2032-03-31T00:00:00"/>
        <d v="2032-04-30T00:00:00"/>
        <d v="2032-05-31T00:00:00"/>
        <d v="2032-06-30T00:00:00"/>
        <d v="2032-07-31T00:00:00"/>
        <d v="2032-08-31T00:00:00"/>
        <d v="2032-09-30T00:00:00"/>
        <d v="2032-10-31T00:00:00"/>
        <d v="2032-11-30T00:00:00"/>
        <d v="2032-12-31T00:00:00"/>
        <d v="2033-01-31T00:00:00"/>
        <d v="2033-02-28T00:00:00"/>
        <d v="2033-03-31T00:00:00"/>
        <d v="2033-04-30T00:00:00"/>
        <d v="2033-05-31T00:00:00"/>
        <d v="2033-06-30T00:00:00"/>
        <d v="2033-07-31T00:00:00"/>
        <d v="2033-08-31T00:00:00"/>
        <d v="2033-09-30T00:00:00"/>
        <d v="2033-10-31T00:00:00"/>
        <d v="2033-11-30T00:00:00"/>
        <d v="2033-12-31T00:00:00"/>
        <d v="2034-01-31T00:00:00"/>
        <d v="2034-02-28T00:00:00"/>
        <d v="2034-03-31T00:00:00"/>
        <d v="2034-04-30T00:00:00"/>
        <d v="2034-05-31T00:00:00"/>
        <d v="2034-06-30T00:00:00"/>
        <d v="2034-07-31T00:00:00"/>
        <d v="2034-08-31T00:00:00"/>
        <d v="2034-09-30T00:00:00"/>
        <d v="2034-10-31T00:00:00"/>
        <d v="2034-11-30T00:00:00"/>
        <d v="2034-12-31T00:00:00"/>
        <d v="2035-01-31T00:00:00"/>
        <d v="2035-02-28T00:00:00"/>
        <d v="2035-03-31T00:00:00"/>
        <d v="2035-04-30T00:00:00"/>
        <d v="2035-05-31T00:00:00"/>
        <d v="2035-06-30T00:00:00"/>
        <d v="2035-07-31T00:00:00"/>
        <d v="2035-08-31T00:00:00"/>
        <d v="2035-09-30T00:00:00"/>
        <d v="2035-10-31T00:00:00"/>
        <d v="2035-11-30T00:00:00"/>
        <d v="2035-12-31T00:00:00"/>
      </sharedItems>
      <fieldGroup par="7" base="4">
        <rangePr groupBy="months" startDate="2022-07-31T00:00:00" endDate="2036-01-01T00:00:00"/>
        <groupItems count="14">
          <s v="&lt;7/31/2022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/1/2036"/>
        </groupItems>
      </fieldGroup>
    </cacheField>
    <cacheField name="Gas" numFmtId="0">
      <sharedItems containsSemiMixedTypes="0" containsString="0" containsNumber="1" minValue="0" maxValue="243333.359375"/>
    </cacheField>
    <cacheField name="Quarters" numFmtId="0" databaseField="0">
      <fieldGroup base="4">
        <rangePr groupBy="quarters" startDate="2022-07-31T00:00:00" endDate="2036-01-01T00:00:00"/>
        <groupItems count="6">
          <s v="&lt;7/31/2022"/>
          <s v="Qtr1"/>
          <s v="Qtr2"/>
          <s v="Qtr3"/>
          <s v="Qtr4"/>
          <s v="&gt;1/1/2036"/>
        </groupItems>
      </fieldGroup>
    </cacheField>
    <cacheField name="Years" numFmtId="0" databaseField="0">
      <fieldGroup base="4">
        <rangePr groupBy="years" startDate="2022-07-31T00:00:00" endDate="2036-01-01T00:00:00"/>
        <groupItems count="17">
          <s v="&lt;7/31/2022"/>
          <s v="2022"/>
          <s v="2023"/>
          <s v="2024"/>
          <s v="2025"/>
          <s v="2026"/>
          <s v="2027"/>
          <s v="2028"/>
          <s v="2029"/>
          <s v="2030"/>
          <s v="2031"/>
          <s v="2032"/>
          <s v="2033"/>
          <s v="2034"/>
          <s v="2035"/>
          <s v="2036"/>
          <s v="&gt;1/1/2036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880">
  <r>
    <s v="FINAL0722_BANK_HE1"/>
    <s v="BELUGA RIVER"/>
    <x v="0"/>
    <x v="0"/>
    <x v="0"/>
    <n v="40384.8515625"/>
  </r>
  <r>
    <s v="FINAL0722_BANK_HE1"/>
    <s v="BELUGA RIVER"/>
    <x v="0"/>
    <x v="0"/>
    <x v="1"/>
    <n v="40141.359375"/>
  </r>
  <r>
    <s v="FINAL0722_BANK_HE1"/>
    <s v="BELUGA RIVER"/>
    <x v="0"/>
    <x v="0"/>
    <x v="2"/>
    <n v="39899.3359375"/>
  </r>
  <r>
    <s v="FINAL0722_BANK_HE1"/>
    <s v="BELUGA RIVER"/>
    <x v="0"/>
    <x v="0"/>
    <x v="3"/>
    <n v="39658.76953125"/>
  </r>
  <r>
    <s v="FINAL0722_BANK_HE1"/>
    <s v="BELUGA RIVER"/>
    <x v="0"/>
    <x v="0"/>
    <x v="4"/>
    <n v="39419.65625"/>
  </r>
  <r>
    <s v="FINAL0722_BANK_HE1"/>
    <s v="BELUGA RIVER"/>
    <x v="0"/>
    <x v="0"/>
    <x v="5"/>
    <n v="39181.984375"/>
  </r>
  <r>
    <s v="FINAL0722_BANK_HE1"/>
    <s v="BELUGA RIVER"/>
    <x v="0"/>
    <x v="0"/>
    <x v="6"/>
    <n v="38945.7421875"/>
  </r>
  <r>
    <s v="FINAL0722_BANK_HE1"/>
    <s v="BELUGA RIVER"/>
    <x v="0"/>
    <x v="0"/>
    <x v="7"/>
    <n v="38710.92578125"/>
  </r>
  <r>
    <s v="FINAL0722_BANK_HE1"/>
    <s v="BELUGA RIVER"/>
    <x v="0"/>
    <x v="0"/>
    <x v="8"/>
    <n v="38477.52734375"/>
  </r>
  <r>
    <s v="FINAL0722_BANK_HE1"/>
    <s v="BELUGA RIVER"/>
    <x v="0"/>
    <x v="0"/>
    <x v="9"/>
    <n v="38245.53515625"/>
  </r>
  <r>
    <s v="FINAL0722_BANK_HE1"/>
    <s v="BELUGA RIVER"/>
    <x v="0"/>
    <x v="0"/>
    <x v="10"/>
    <n v="38014.94140625"/>
  </r>
  <r>
    <s v="FINAL0722_BANK_HE1"/>
    <s v="BELUGA RIVER"/>
    <x v="0"/>
    <x v="0"/>
    <x v="11"/>
    <n v="37785.73828125"/>
  </r>
  <r>
    <s v="FINAL0722_BANK_HE1"/>
    <s v="BELUGA RIVER"/>
    <x v="0"/>
    <x v="0"/>
    <x v="12"/>
    <n v="37557.91796875"/>
  </r>
  <r>
    <s v="FINAL0722_BANK_HE1"/>
    <s v="BELUGA RIVER"/>
    <x v="0"/>
    <x v="0"/>
    <x v="13"/>
    <n v="37331.46875"/>
  </r>
  <r>
    <s v="FINAL0722_BANK_HE1"/>
    <s v="BELUGA RIVER"/>
    <x v="0"/>
    <x v="0"/>
    <x v="14"/>
    <n v="37106.38671875"/>
  </r>
  <r>
    <s v="FINAL0722_BANK_HE1"/>
    <s v="BELUGA RIVER"/>
    <x v="0"/>
    <x v="0"/>
    <x v="15"/>
    <n v="36882.66015625"/>
  </r>
  <r>
    <s v="FINAL0722_BANK_HE1"/>
    <s v="BELUGA RIVER"/>
    <x v="0"/>
    <x v="0"/>
    <x v="16"/>
    <n v="36660.28515625"/>
  </r>
  <r>
    <s v="FINAL0722_BANK_HE1"/>
    <s v="BELUGA RIVER"/>
    <x v="0"/>
    <x v="0"/>
    <x v="17"/>
    <n v="36439.25"/>
  </r>
  <r>
    <s v="FINAL0722_BANK_HE1"/>
    <s v="BELUGA RIVER"/>
    <x v="0"/>
    <x v="0"/>
    <x v="18"/>
    <n v="36219.546875"/>
  </r>
  <r>
    <s v="FINAL0722_BANK_HE1"/>
    <s v="BELUGA RIVER"/>
    <x v="0"/>
    <x v="0"/>
    <x v="19"/>
    <n v="36001.16796875"/>
  </r>
  <r>
    <s v="FINAL0722_BANK_HE1"/>
    <s v="BELUGA RIVER"/>
    <x v="0"/>
    <x v="0"/>
    <x v="20"/>
    <n v="35784.10546875"/>
  </r>
  <r>
    <s v="FINAL0722_BANK_HE1"/>
    <s v="BELUGA RIVER"/>
    <x v="0"/>
    <x v="0"/>
    <x v="21"/>
    <n v="35568.3515625"/>
  </r>
  <r>
    <s v="FINAL0722_BANK_HE1"/>
    <s v="BELUGA RIVER"/>
    <x v="0"/>
    <x v="0"/>
    <x v="22"/>
    <n v="35353.8984375"/>
  </r>
  <r>
    <s v="FINAL0722_BANK_HE1"/>
    <s v="BELUGA RIVER"/>
    <x v="0"/>
    <x v="0"/>
    <x v="23"/>
    <n v="35140.73828125"/>
  </r>
  <r>
    <s v="FINAL0722_BANK_HE1"/>
    <s v="BELUGA RIVER"/>
    <x v="0"/>
    <x v="0"/>
    <x v="24"/>
    <n v="34928.86328125"/>
  </r>
  <r>
    <s v="FINAL0722_BANK_HE1"/>
    <s v="BELUGA RIVER"/>
    <x v="0"/>
    <x v="0"/>
    <x v="25"/>
    <n v="34718.265625"/>
  </r>
  <r>
    <s v="FINAL0722_BANK_HE1"/>
    <s v="BELUGA RIVER"/>
    <x v="0"/>
    <x v="0"/>
    <x v="26"/>
    <n v="34508.9375"/>
  </r>
  <r>
    <s v="FINAL0722_BANK_HE1"/>
    <s v="BELUGA RIVER"/>
    <x v="0"/>
    <x v="0"/>
    <x v="27"/>
    <n v="34300.87109375"/>
  </r>
  <r>
    <s v="FINAL0722_BANK_HE1"/>
    <s v="BELUGA RIVER"/>
    <x v="0"/>
    <x v="0"/>
    <x v="28"/>
    <n v="34094.0625"/>
  </r>
  <r>
    <s v="FINAL0722_BANK_HE1"/>
    <s v="BELUGA RIVER"/>
    <x v="0"/>
    <x v="0"/>
    <x v="29"/>
    <n v="33888.5"/>
  </r>
  <r>
    <s v="FINAL0722_BANK_HE1"/>
    <s v="BELUGA RIVER"/>
    <x v="0"/>
    <x v="0"/>
    <x v="30"/>
    <n v="33684.17578125"/>
  </r>
  <r>
    <s v="FINAL0722_BANK_HE1"/>
    <s v="BELUGA RIVER"/>
    <x v="0"/>
    <x v="0"/>
    <x v="31"/>
    <n v="33481.08203125"/>
  </r>
  <r>
    <s v="FINAL0722_BANK_HE1"/>
    <s v="BELUGA RIVER"/>
    <x v="0"/>
    <x v="0"/>
    <x v="32"/>
    <n v="33279.21484375"/>
  </r>
  <r>
    <s v="FINAL0722_BANK_HE1"/>
    <s v="BELUGA RIVER"/>
    <x v="0"/>
    <x v="0"/>
    <x v="33"/>
    <n v="33078.5625"/>
  </r>
  <r>
    <s v="FINAL0722_BANK_HE1"/>
    <s v="BELUGA RIVER"/>
    <x v="0"/>
    <x v="0"/>
    <x v="34"/>
    <n v="32879.12109375"/>
  </r>
  <r>
    <s v="FINAL0722_BANK_HE1"/>
    <s v="BELUGA RIVER"/>
    <x v="0"/>
    <x v="0"/>
    <x v="35"/>
    <n v="32680.8828125"/>
  </r>
  <r>
    <s v="FINAL0722_BANK_HE1"/>
    <s v="BELUGA RIVER"/>
    <x v="0"/>
    <x v="0"/>
    <x v="36"/>
    <n v="32483.83984375"/>
  </r>
  <r>
    <s v="FINAL0722_BANK_HE1"/>
    <s v="BELUGA RIVER"/>
    <x v="0"/>
    <x v="0"/>
    <x v="37"/>
    <n v="32287.984375"/>
  </r>
  <r>
    <s v="FINAL0722_BANK_HE1"/>
    <s v="BELUGA RIVER"/>
    <x v="0"/>
    <x v="0"/>
    <x v="38"/>
    <n v="32093.310546875"/>
  </r>
  <r>
    <s v="FINAL0722_BANK_HE1"/>
    <s v="BELUGA RIVER"/>
    <x v="0"/>
    <x v="0"/>
    <x v="39"/>
    <n v="31899.810546875"/>
  </r>
  <r>
    <s v="FINAL0722_BANK_HE1"/>
    <s v="BELUGA RIVER"/>
    <x v="0"/>
    <x v="0"/>
    <x v="40"/>
    <n v="31707.4765625"/>
  </r>
  <r>
    <s v="FINAL0722_BANK_HE1"/>
    <s v="BELUGA RIVER"/>
    <x v="0"/>
    <x v="0"/>
    <x v="41"/>
    <n v="31516.302734375"/>
  </r>
  <r>
    <s v="FINAL0722_BANK_HE1"/>
    <s v="BELUGA RIVER"/>
    <x v="0"/>
    <x v="0"/>
    <x v="42"/>
    <n v="31326.28125"/>
  </r>
  <r>
    <s v="FINAL0722_BANK_HE1"/>
    <s v="BELUGA RIVER"/>
    <x v="0"/>
    <x v="0"/>
    <x v="43"/>
    <n v="31137.40625"/>
  </r>
  <r>
    <s v="FINAL0722_BANK_HE1"/>
    <s v="BELUGA RIVER"/>
    <x v="0"/>
    <x v="0"/>
    <x v="44"/>
    <n v="30949.669921875"/>
  </r>
  <r>
    <s v="FINAL0722_BANK_HE1"/>
    <s v="BELUGA RIVER"/>
    <x v="0"/>
    <x v="0"/>
    <x v="45"/>
    <n v="30763.064453125"/>
  </r>
  <r>
    <s v="FINAL0722_BANK_HE1"/>
    <s v="BELUGA RIVER"/>
    <x v="0"/>
    <x v="0"/>
    <x v="46"/>
    <n v="30577.583984375"/>
  </r>
  <r>
    <s v="FINAL0722_BANK_HE1"/>
    <s v="BELUGA RIVER"/>
    <x v="0"/>
    <x v="0"/>
    <x v="47"/>
    <n v="30393.22265625"/>
  </r>
  <r>
    <s v="FINAL0722_BANK_HE1"/>
    <s v="BELUGA RIVER"/>
    <x v="0"/>
    <x v="0"/>
    <x v="48"/>
    <n v="30209.97265625"/>
  </r>
  <r>
    <s v="FINAL0722_BANK_HE1"/>
    <s v="BELUGA RIVER"/>
    <x v="0"/>
    <x v="0"/>
    <x v="49"/>
    <n v="30027.828125"/>
  </r>
  <r>
    <s v="FINAL0722_BANK_HE1"/>
    <s v="BELUGA RIVER"/>
    <x v="0"/>
    <x v="0"/>
    <x v="50"/>
    <n v="29846.78125"/>
  </r>
  <r>
    <s v="FINAL0722_BANK_HE1"/>
    <s v="BELUGA RIVER"/>
    <x v="0"/>
    <x v="0"/>
    <x v="51"/>
    <n v="29666.826171875"/>
  </r>
  <r>
    <s v="FINAL0722_BANK_HE1"/>
    <s v="BELUGA RIVER"/>
    <x v="0"/>
    <x v="0"/>
    <x v="52"/>
    <n v="29487.955078125"/>
  </r>
  <r>
    <s v="FINAL0722_BANK_HE1"/>
    <s v="BELUGA RIVER"/>
    <x v="0"/>
    <x v="0"/>
    <x v="53"/>
    <n v="29310.1640625"/>
  </r>
  <r>
    <s v="FINAL0722_BANK_HE1"/>
    <s v="BELUGA RIVER"/>
    <x v="0"/>
    <x v="0"/>
    <x v="54"/>
    <n v="29133.443359375"/>
  </r>
  <r>
    <s v="FINAL0722_BANK_HE1"/>
    <s v="BELUGA RIVER"/>
    <x v="0"/>
    <x v="0"/>
    <x v="55"/>
    <n v="28957.7890625"/>
  </r>
  <r>
    <s v="FINAL0722_BANK_HE1"/>
    <s v="BELUGA RIVER"/>
    <x v="0"/>
    <x v="0"/>
    <x v="56"/>
    <n v="28783.193359375"/>
  </r>
  <r>
    <s v="FINAL0722_BANK_HE1"/>
    <s v="BELUGA RIVER"/>
    <x v="0"/>
    <x v="0"/>
    <x v="57"/>
    <n v="28609.650390625"/>
  </r>
  <r>
    <s v="FINAL0722_BANK_HE1"/>
    <s v="BELUGA RIVER"/>
    <x v="0"/>
    <x v="0"/>
    <x v="58"/>
    <n v="28437.154296875"/>
  </r>
  <r>
    <s v="FINAL0722_BANK_HE1"/>
    <s v="BELUGA RIVER"/>
    <x v="0"/>
    <x v="0"/>
    <x v="59"/>
    <n v="28265.697265625"/>
  </r>
  <r>
    <s v="FINAL0722_BANK_HE1"/>
    <s v="BELUGA RIVER"/>
    <x v="0"/>
    <x v="0"/>
    <x v="60"/>
    <n v="28095.275390625"/>
  </r>
  <r>
    <s v="FINAL0722_BANK_HE1"/>
    <s v="BELUGA RIVER"/>
    <x v="0"/>
    <x v="0"/>
    <x v="61"/>
    <n v="27925.880859375"/>
  </r>
  <r>
    <s v="FINAL0722_BANK_HE1"/>
    <s v="BELUGA RIVER"/>
    <x v="0"/>
    <x v="0"/>
    <x v="62"/>
    <n v="27757.5078125"/>
  </r>
  <r>
    <s v="FINAL0722_BANK_HE1"/>
    <s v="BELUGA RIVER"/>
    <x v="0"/>
    <x v="0"/>
    <x v="63"/>
    <n v="27590.1484375"/>
  </r>
  <r>
    <s v="FINAL0722_BANK_HE1"/>
    <s v="BELUGA RIVER"/>
    <x v="0"/>
    <x v="0"/>
    <x v="64"/>
    <n v="27423.798828125"/>
  </r>
  <r>
    <s v="FINAL0722_BANK_HE1"/>
    <s v="BELUGA RIVER"/>
    <x v="0"/>
    <x v="0"/>
    <x v="65"/>
    <n v="27258.453125"/>
  </r>
  <r>
    <s v="FINAL0722_BANK_HE1"/>
    <s v="BELUGA RIVER"/>
    <x v="0"/>
    <x v="0"/>
    <x v="66"/>
    <n v="27094.103515625"/>
  </r>
  <r>
    <s v="FINAL0722_BANK_HE1"/>
    <s v="BELUGA RIVER"/>
    <x v="0"/>
    <x v="0"/>
    <x v="67"/>
    <n v="26930.744140625"/>
  </r>
  <r>
    <s v="FINAL0722_BANK_HE1"/>
    <s v="BELUGA RIVER"/>
    <x v="0"/>
    <x v="0"/>
    <x v="68"/>
    <n v="26768.37109375"/>
  </r>
  <r>
    <s v="FINAL0722_BANK_HE1"/>
    <s v="BELUGA RIVER"/>
    <x v="0"/>
    <x v="0"/>
    <x v="69"/>
    <n v="26606.9765625"/>
  </r>
  <r>
    <s v="FINAL0722_BANK_HE1"/>
    <s v="BELUGA RIVER"/>
    <x v="0"/>
    <x v="0"/>
    <x v="70"/>
    <n v="26446.5546875"/>
  </r>
  <r>
    <s v="FINAL0722_BANK_HE1"/>
    <s v="BELUGA RIVER"/>
    <x v="0"/>
    <x v="0"/>
    <x v="71"/>
    <n v="26287.099609375"/>
  </r>
  <r>
    <s v="FINAL0722_BANK_HE1"/>
    <s v="BELUGA RIVER"/>
    <x v="0"/>
    <x v="0"/>
    <x v="72"/>
    <n v="26128.607421875"/>
  </r>
  <r>
    <s v="FINAL0722_BANK_HE1"/>
    <s v="BELUGA RIVER"/>
    <x v="0"/>
    <x v="0"/>
    <x v="73"/>
    <n v="25971.0703125"/>
  </r>
  <r>
    <s v="FINAL0722_BANK_HE1"/>
    <s v="BELUGA RIVER"/>
    <x v="0"/>
    <x v="0"/>
    <x v="74"/>
    <n v="25814.482421875"/>
  </r>
  <r>
    <s v="FINAL0722_BANK_HE1"/>
    <s v="BELUGA RIVER"/>
    <x v="0"/>
    <x v="0"/>
    <x v="75"/>
    <n v="25658.83984375"/>
  </r>
  <r>
    <s v="FINAL0722_BANK_HE1"/>
    <s v="BELUGA RIVER"/>
    <x v="0"/>
    <x v="0"/>
    <x v="76"/>
    <n v="25504.134765625"/>
  </r>
  <r>
    <s v="FINAL0722_BANK_HE1"/>
    <s v="BELUGA RIVER"/>
    <x v="0"/>
    <x v="0"/>
    <x v="77"/>
    <n v="25350.36328125"/>
  </r>
  <r>
    <s v="FINAL0722_BANK_HE1"/>
    <s v="BELUGA RIVER"/>
    <x v="0"/>
    <x v="0"/>
    <x v="78"/>
    <n v="25197.517578125"/>
  </r>
  <r>
    <s v="FINAL0722_BANK_HE1"/>
    <s v="BELUGA RIVER"/>
    <x v="0"/>
    <x v="0"/>
    <x v="79"/>
    <n v="25045.59375"/>
  </r>
  <r>
    <s v="FINAL0722_BANK_HE1"/>
    <s v="BELUGA RIVER"/>
    <x v="0"/>
    <x v="0"/>
    <x v="80"/>
    <n v="24894.5859375"/>
  </r>
  <r>
    <s v="FINAL0722_BANK_HE1"/>
    <s v="BELUGA RIVER"/>
    <x v="0"/>
    <x v="0"/>
    <x v="81"/>
    <n v="24744.48828125"/>
  </r>
  <r>
    <s v="FINAL0722_BANK_HE1"/>
    <s v="BELUGA RIVER"/>
    <x v="0"/>
    <x v="0"/>
    <x v="82"/>
    <n v="24595.296875"/>
  </r>
  <r>
    <s v="FINAL0722_BANK_HE1"/>
    <s v="BELUGA RIVER"/>
    <x v="0"/>
    <x v="0"/>
    <x v="83"/>
    <n v="24447.00390625"/>
  </r>
  <r>
    <s v="FINAL0722_BANK_HE1"/>
    <s v="BELUGA RIVER"/>
    <x v="0"/>
    <x v="0"/>
    <x v="84"/>
    <n v="24299.60546875"/>
  </r>
  <r>
    <s v="FINAL0722_BANK_HE1"/>
    <s v="BELUGA RIVER"/>
    <x v="0"/>
    <x v="0"/>
    <x v="85"/>
    <n v="24153.095703125"/>
  </r>
  <r>
    <s v="FINAL0722_BANK_HE1"/>
    <s v="BELUGA RIVER"/>
    <x v="0"/>
    <x v="0"/>
    <x v="86"/>
    <n v="24007.46875"/>
  </r>
  <r>
    <s v="FINAL0722_BANK_HE1"/>
    <s v="BELUGA RIVER"/>
    <x v="0"/>
    <x v="0"/>
    <x v="87"/>
    <n v="23862.720703125"/>
  </r>
  <r>
    <s v="FINAL0722_BANK_HE1"/>
    <s v="BELUGA RIVER"/>
    <x v="0"/>
    <x v="0"/>
    <x v="88"/>
    <n v="23718.845703125"/>
  </r>
  <r>
    <s v="FINAL0722_BANK_HE1"/>
    <s v="BELUGA RIVER"/>
    <x v="0"/>
    <x v="0"/>
    <x v="89"/>
    <n v="23575.837890625"/>
  </r>
  <r>
    <s v="FINAL0722_BANK_HE1"/>
    <s v="BELUGA RIVER"/>
    <x v="0"/>
    <x v="0"/>
    <x v="90"/>
    <n v="23433.69140625"/>
  </r>
  <r>
    <s v="FINAL0722_BANK_HE1"/>
    <s v="BELUGA RIVER"/>
    <x v="0"/>
    <x v="0"/>
    <x v="91"/>
    <n v="23292.40234375"/>
  </r>
  <r>
    <s v="FINAL0722_BANK_HE1"/>
    <s v="BELUGA RIVER"/>
    <x v="0"/>
    <x v="0"/>
    <x v="92"/>
    <n v="23151.96484375"/>
  </r>
  <r>
    <s v="FINAL0722_BANK_HE1"/>
    <s v="BELUGA RIVER"/>
    <x v="0"/>
    <x v="0"/>
    <x v="93"/>
    <n v="23012.375"/>
  </r>
  <r>
    <s v="FINAL0722_BANK_HE1"/>
    <s v="BELUGA RIVER"/>
    <x v="0"/>
    <x v="0"/>
    <x v="94"/>
    <n v="22873.626953125"/>
  </r>
  <r>
    <s v="FINAL0722_BANK_HE1"/>
    <s v="BELUGA RIVER"/>
    <x v="0"/>
    <x v="0"/>
    <x v="95"/>
    <n v="22735.71484375"/>
  </r>
  <r>
    <s v="FINAL0722_BANK_HE1"/>
    <s v="BELUGA RIVER"/>
    <x v="0"/>
    <x v="0"/>
    <x v="96"/>
    <n v="22598.634765625"/>
  </r>
  <r>
    <s v="FINAL0722_BANK_HE1"/>
    <s v="BELUGA RIVER"/>
    <x v="0"/>
    <x v="0"/>
    <x v="97"/>
    <n v="22462.380859375"/>
  </r>
  <r>
    <s v="FINAL0722_BANK_HE1"/>
    <s v="BELUGA RIVER"/>
    <x v="0"/>
    <x v="0"/>
    <x v="98"/>
    <n v="22326.947265625"/>
  </r>
  <r>
    <s v="FINAL0722_BANK_HE1"/>
    <s v="BELUGA RIVER"/>
    <x v="0"/>
    <x v="0"/>
    <x v="99"/>
    <n v="22192.33203125"/>
  </r>
  <r>
    <s v="FINAL0722_BANK_HE1"/>
    <s v="BELUGA RIVER"/>
    <x v="0"/>
    <x v="0"/>
    <x v="100"/>
    <n v="22058.52734375"/>
  </r>
  <r>
    <s v="FINAL0722_BANK_HE1"/>
    <s v="BELUGA RIVER"/>
    <x v="0"/>
    <x v="0"/>
    <x v="101"/>
    <n v="21925.529296875"/>
  </r>
  <r>
    <s v="FINAL0722_BANK_HE1"/>
    <s v="BELUGA RIVER"/>
    <x v="0"/>
    <x v="0"/>
    <x v="102"/>
    <n v="21793.333984375"/>
  </r>
  <r>
    <s v="FINAL0722_BANK_HE1"/>
    <s v="BELUGA RIVER"/>
    <x v="0"/>
    <x v="0"/>
    <x v="103"/>
    <n v="21661.935546875"/>
  </r>
  <r>
    <s v="FINAL0722_BANK_HE1"/>
    <s v="BELUGA RIVER"/>
    <x v="0"/>
    <x v="0"/>
    <x v="104"/>
    <n v="21531.328125"/>
  </r>
  <r>
    <s v="FINAL0722_BANK_HE1"/>
    <s v="BELUGA RIVER"/>
    <x v="0"/>
    <x v="0"/>
    <x v="105"/>
    <n v="21401.509765625"/>
  </r>
  <r>
    <s v="FINAL0722_BANK_HE1"/>
    <s v="BELUGA RIVER"/>
    <x v="0"/>
    <x v="0"/>
    <x v="106"/>
    <n v="21272.47265625"/>
  </r>
  <r>
    <s v="FINAL0722_BANK_HE1"/>
    <s v="BELUGA RIVER"/>
    <x v="0"/>
    <x v="0"/>
    <x v="107"/>
    <n v="21144.21484375"/>
  </r>
  <r>
    <s v="FINAL0722_BANK_HE1"/>
    <s v="BELUGA RIVER"/>
    <x v="0"/>
    <x v="0"/>
    <x v="108"/>
    <n v="21016.73046875"/>
  </r>
  <r>
    <s v="FINAL0722_BANK_HE1"/>
    <s v="BELUGA RIVER"/>
    <x v="0"/>
    <x v="0"/>
    <x v="109"/>
    <n v="20890.013671875"/>
  </r>
  <r>
    <s v="FINAL0722_BANK_HE1"/>
    <s v="BELUGA RIVER"/>
    <x v="0"/>
    <x v="0"/>
    <x v="110"/>
    <n v="20764.060546875"/>
  </r>
  <r>
    <s v="FINAL0722_BANK_HE1"/>
    <s v="BELUGA RIVER"/>
    <x v="0"/>
    <x v="0"/>
    <x v="111"/>
    <n v="20638.8671875"/>
  </r>
  <r>
    <s v="FINAL0722_BANK_HE1"/>
    <s v="BELUGA RIVER"/>
    <x v="0"/>
    <x v="0"/>
    <x v="112"/>
    <n v="20514.4296875"/>
  </r>
  <r>
    <s v="FINAL0722_BANK_HE1"/>
    <s v="BELUGA RIVER"/>
    <x v="0"/>
    <x v="0"/>
    <x v="113"/>
    <n v="20390.7421875"/>
  </r>
  <r>
    <s v="FINAL0722_BANK_HE1"/>
    <s v="BELUGA RIVER"/>
    <x v="0"/>
    <x v="0"/>
    <x v="114"/>
    <n v="20267.80078125"/>
  </r>
  <r>
    <s v="FINAL0722_BANK_HE1"/>
    <s v="BELUGA RIVER"/>
    <x v="0"/>
    <x v="0"/>
    <x v="115"/>
    <n v="20145.599609375"/>
  </r>
  <r>
    <s v="FINAL0722_BANK_HE1"/>
    <s v="BELUGA RIVER"/>
    <x v="0"/>
    <x v="0"/>
    <x v="116"/>
    <n v="20024.134765625"/>
  </r>
  <r>
    <s v="FINAL0722_BANK_HE1"/>
    <s v="BELUGA RIVER"/>
    <x v="0"/>
    <x v="0"/>
    <x v="117"/>
    <n v="19903.40234375"/>
  </r>
  <r>
    <s v="FINAL0722_BANK_HE1"/>
    <s v="BELUGA RIVER"/>
    <x v="0"/>
    <x v="0"/>
    <x v="118"/>
    <n v="19783.3984375"/>
  </r>
  <r>
    <s v="FINAL0722_BANK_HE1"/>
    <s v="BELUGA RIVER"/>
    <x v="0"/>
    <x v="0"/>
    <x v="119"/>
    <n v="19664.119140625"/>
  </r>
  <r>
    <s v="FINAL0722_BANK_HE1"/>
    <s v="BELUGA RIVER"/>
    <x v="0"/>
    <x v="0"/>
    <x v="120"/>
    <n v="19545.55859375"/>
  </r>
  <r>
    <s v="FINAL0722_BANK_HE1"/>
    <s v="BELUGA RIVER"/>
    <x v="0"/>
    <x v="0"/>
    <x v="121"/>
    <n v="19427.712890625"/>
  </r>
  <r>
    <s v="FINAL0722_BANK_HE1"/>
    <s v="BELUGA RIVER"/>
    <x v="0"/>
    <x v="0"/>
    <x v="122"/>
    <n v="19310.578125"/>
  </r>
  <r>
    <s v="FINAL0722_BANK_HE1"/>
    <s v="BELUGA RIVER"/>
    <x v="0"/>
    <x v="0"/>
    <x v="123"/>
    <n v="19194.1484375"/>
  </r>
  <r>
    <s v="FINAL0722_BANK_HE1"/>
    <s v="BELUGA RIVER"/>
    <x v="0"/>
    <x v="0"/>
    <x v="124"/>
    <n v="19078.421875"/>
  </r>
  <r>
    <s v="FINAL0722_BANK_HE1"/>
    <s v="BELUGA RIVER"/>
    <x v="0"/>
    <x v="0"/>
    <x v="125"/>
    <n v="18963.392578125"/>
  </r>
  <r>
    <s v="FINAL0722_BANK_HE1"/>
    <s v="BELUGA RIVER"/>
    <x v="0"/>
    <x v="0"/>
    <x v="126"/>
    <n v="18849.056640625"/>
  </r>
  <r>
    <s v="FINAL0722_BANK_HE1"/>
    <s v="BELUGA RIVER"/>
    <x v="0"/>
    <x v="0"/>
    <x v="127"/>
    <n v="18735.41015625"/>
  </r>
  <r>
    <s v="FINAL0722_BANK_HE1"/>
    <s v="BELUGA RIVER"/>
    <x v="0"/>
    <x v="0"/>
    <x v="128"/>
    <n v="18622.44921875"/>
  </r>
  <r>
    <s v="FINAL0722_BANK_HE1"/>
    <s v="BELUGA RIVER"/>
    <x v="0"/>
    <x v="0"/>
    <x v="129"/>
    <n v="18510.16796875"/>
  </r>
  <r>
    <s v="FINAL0722_BANK_HE1"/>
    <s v="BELUGA RIVER"/>
    <x v="0"/>
    <x v="0"/>
    <x v="130"/>
    <n v="18398.564453125"/>
  </r>
  <r>
    <s v="FINAL0722_BANK_HE1"/>
    <s v="BELUGA RIVER"/>
    <x v="0"/>
    <x v="0"/>
    <x v="131"/>
    <n v="18287.634765625"/>
  </r>
  <r>
    <s v="FINAL0722_BANK_HE1"/>
    <s v="BELUGA RIVER"/>
    <x v="0"/>
    <x v="0"/>
    <x v="132"/>
    <n v="18177.373046875"/>
  </r>
  <r>
    <s v="FINAL0722_BANK_HE1"/>
    <s v="BELUGA RIVER"/>
    <x v="0"/>
    <x v="0"/>
    <x v="133"/>
    <n v="18067.775390625"/>
  </r>
  <r>
    <s v="FINAL0722_BANK_HE1"/>
    <s v="BELUGA RIVER"/>
    <x v="0"/>
    <x v="0"/>
    <x v="134"/>
    <n v="17958.83984375"/>
  </r>
  <r>
    <s v="FINAL0722_BANK_HE1"/>
    <s v="BELUGA RIVER"/>
    <x v="0"/>
    <x v="0"/>
    <x v="135"/>
    <n v="17850.560546875"/>
  </r>
  <r>
    <s v="FINAL0722_BANK_HE1"/>
    <s v="BELUGA RIVER"/>
    <x v="0"/>
    <x v="0"/>
    <x v="136"/>
    <n v="17742.93359375"/>
  </r>
  <r>
    <s v="FINAL0722_BANK_HE1"/>
    <s v="BELUGA RIVER"/>
    <x v="0"/>
    <x v="0"/>
    <x v="137"/>
    <n v="17635.955078125"/>
  </r>
  <r>
    <s v="FINAL0722_BANK_HE1"/>
    <s v="BELUGA RIVER"/>
    <x v="0"/>
    <x v="0"/>
    <x v="138"/>
    <n v="17529.623046875"/>
  </r>
  <r>
    <s v="FINAL0722_BANK_HE1"/>
    <s v="BELUGA RIVER"/>
    <x v="0"/>
    <x v="0"/>
    <x v="139"/>
    <n v="17423.931640625"/>
  </r>
  <r>
    <s v="FINAL0722_BANK_HE1"/>
    <s v="BELUGA RIVER"/>
    <x v="0"/>
    <x v="0"/>
    <x v="140"/>
    <n v="17318.876953125"/>
  </r>
  <r>
    <s v="FINAL0722_BANK_HE1"/>
    <s v="BELUGA RIVER"/>
    <x v="0"/>
    <x v="0"/>
    <x v="141"/>
    <n v="17214.45703125"/>
  </r>
  <r>
    <s v="FINAL0722_BANK_HE1"/>
    <s v="BELUGA RIVER"/>
    <x v="0"/>
    <x v="0"/>
    <x v="142"/>
    <n v="17110.666015625"/>
  </r>
  <r>
    <s v="FINAL0722_BANK_HE1"/>
    <s v="BELUGA RIVER"/>
    <x v="0"/>
    <x v="0"/>
    <x v="143"/>
    <n v="17007.5"/>
  </r>
  <r>
    <s v="FINAL0722_BANK_HE1"/>
    <s v="BELUGA RIVER"/>
    <x v="0"/>
    <x v="0"/>
    <x v="144"/>
    <n v="16904.95703125"/>
  </r>
  <r>
    <s v="FINAL0722_BANK_HE1"/>
    <s v="BELUGA RIVER"/>
    <x v="0"/>
    <x v="0"/>
    <x v="145"/>
    <n v="16803.03125"/>
  </r>
  <r>
    <s v="FINAL0722_BANK_HE1"/>
    <s v="BELUGA RIVER"/>
    <x v="0"/>
    <x v="0"/>
    <x v="146"/>
    <n v="16701.720703125"/>
  </r>
  <r>
    <s v="FINAL0722_BANK_HE1"/>
    <s v="BELUGA RIVER"/>
    <x v="0"/>
    <x v="0"/>
    <x v="147"/>
    <n v="16601.021484375"/>
  </r>
  <r>
    <s v="FINAL0722_BANK_HE1"/>
    <s v="BELUGA RIVER"/>
    <x v="0"/>
    <x v="0"/>
    <x v="148"/>
    <n v="16500.9296875"/>
  </r>
  <r>
    <s v="FINAL0722_BANK_HE1"/>
    <s v="BELUGA RIVER"/>
    <x v="0"/>
    <x v="0"/>
    <x v="149"/>
    <n v="16401.44140625"/>
  </r>
  <r>
    <s v="FINAL0722_BANK_HE1"/>
    <s v="BELUGA RIVER"/>
    <x v="0"/>
    <x v="0"/>
    <x v="150"/>
    <n v="16302.5517578125"/>
  </r>
  <r>
    <s v="FINAL0722_BANK_HE1"/>
    <s v="BELUGA RIVER"/>
    <x v="0"/>
    <x v="0"/>
    <x v="151"/>
    <n v="16204.2587890625"/>
  </r>
  <r>
    <s v="FINAL0722_BANK_HE1"/>
    <s v="BELUGA RIVER"/>
    <x v="0"/>
    <x v="0"/>
    <x v="152"/>
    <n v="16106.55859375"/>
  </r>
  <r>
    <s v="FINAL0722_BANK_HE1"/>
    <s v="BELUGA RIVER"/>
    <x v="0"/>
    <x v="0"/>
    <x v="153"/>
    <n v="16009.447265625"/>
  </r>
  <r>
    <s v="FINAL0722_BANK_HE1"/>
    <s v="BELUGA RIVER"/>
    <x v="0"/>
    <x v="0"/>
    <x v="154"/>
    <n v="15912.9208984375"/>
  </r>
  <r>
    <s v="FINAL0722_BANK_HE1"/>
    <s v="BELUGA RIVER"/>
    <x v="0"/>
    <x v="0"/>
    <x v="155"/>
    <n v="15816.9765625"/>
  </r>
  <r>
    <s v="FINAL0722_BANK_HE1"/>
    <s v="BELUGA RIVER"/>
    <x v="0"/>
    <x v="0"/>
    <x v="156"/>
    <n v="15721.611328125"/>
  </r>
  <r>
    <s v="FINAL0722_BANK_HE1"/>
    <s v="BELUGA RIVER"/>
    <x v="0"/>
    <x v="0"/>
    <x v="157"/>
    <n v="15626.8212890625"/>
  </r>
  <r>
    <s v="FINAL0722_BANK_HE1"/>
    <s v="BELUGA RIVER"/>
    <x v="0"/>
    <x v="0"/>
    <x v="158"/>
    <n v="15532.6025390625"/>
  </r>
  <r>
    <s v="FINAL0722_BANK_HE1"/>
    <s v="BELUGA RIVER"/>
    <x v="0"/>
    <x v="0"/>
    <x v="159"/>
    <n v="15438.9521484375"/>
  </r>
  <r>
    <s v="FINAL0722_BANK_HE1"/>
    <s v="BELUGA RIVER"/>
    <x v="0"/>
    <x v="0"/>
    <x v="160"/>
    <n v="15345.8662109375"/>
  </r>
  <r>
    <s v="FINAL0722_BANK_HE1"/>
    <s v="BELUGA RIVER"/>
    <x v="0"/>
    <x v="0"/>
    <x v="161"/>
    <n v="15253.3408203125"/>
  </r>
  <r>
    <s v="FINAL0722_BANK_HE1"/>
    <s v="BELUGA RIVER"/>
    <x v="1"/>
    <x v="0"/>
    <x v="0"/>
    <n v="85688.359375"/>
  </r>
  <r>
    <s v="FINAL0722_BANK_HE1"/>
    <s v="BELUGA RIVER"/>
    <x v="1"/>
    <x v="0"/>
    <x v="1"/>
    <n v="85247.6640625"/>
  </r>
  <r>
    <s v="FINAL0722_BANK_HE1"/>
    <s v="BELUGA RIVER"/>
    <x v="1"/>
    <x v="0"/>
    <x v="2"/>
    <n v="84809.234375"/>
  </r>
  <r>
    <s v="FINAL0722_BANK_HE1"/>
    <s v="BELUGA RIVER"/>
    <x v="1"/>
    <x v="0"/>
    <x v="3"/>
    <n v="84373.0625"/>
  </r>
  <r>
    <s v="FINAL0722_BANK_HE1"/>
    <s v="BELUGA RIVER"/>
    <x v="1"/>
    <x v="0"/>
    <x v="4"/>
    <n v="83939.1328125"/>
  </r>
  <r>
    <s v="FINAL0722_BANK_HE1"/>
    <s v="BELUGA RIVER"/>
    <x v="1"/>
    <x v="0"/>
    <x v="5"/>
    <n v="83507.4296875"/>
  </r>
  <r>
    <s v="FINAL0722_BANK_HE1"/>
    <s v="BELUGA RIVER"/>
    <x v="1"/>
    <x v="0"/>
    <x v="6"/>
    <n v="83077.953125"/>
  </r>
  <r>
    <s v="FINAL0722_BANK_HE1"/>
    <s v="BELUGA RIVER"/>
    <x v="1"/>
    <x v="0"/>
    <x v="7"/>
    <n v="82650.6796875"/>
  </r>
  <r>
    <s v="FINAL0722_BANK_HE1"/>
    <s v="BELUGA RIVER"/>
    <x v="1"/>
    <x v="0"/>
    <x v="8"/>
    <n v="82225.609375"/>
  </r>
  <r>
    <s v="FINAL0722_BANK_HE1"/>
    <s v="BELUGA RIVER"/>
    <x v="1"/>
    <x v="0"/>
    <x v="9"/>
    <n v="81802.71875"/>
  </r>
  <r>
    <s v="FINAL0722_BANK_HE1"/>
    <s v="BELUGA RIVER"/>
    <x v="1"/>
    <x v="0"/>
    <x v="10"/>
    <n v="81382.0078125"/>
  </r>
  <r>
    <s v="FINAL0722_BANK_HE1"/>
    <s v="BELUGA RIVER"/>
    <x v="1"/>
    <x v="0"/>
    <x v="11"/>
    <n v="80963.4609375"/>
  </r>
  <r>
    <s v="FINAL0722_BANK_HE1"/>
    <s v="BELUGA RIVER"/>
    <x v="1"/>
    <x v="0"/>
    <x v="12"/>
    <n v="80547.0625"/>
  </r>
  <r>
    <s v="FINAL0722_BANK_HE1"/>
    <s v="BELUGA RIVER"/>
    <x v="1"/>
    <x v="0"/>
    <x v="13"/>
    <n v="80132.8046875"/>
  </r>
  <r>
    <s v="FINAL0722_BANK_HE1"/>
    <s v="BELUGA RIVER"/>
    <x v="1"/>
    <x v="0"/>
    <x v="14"/>
    <n v="79720.6796875"/>
  </r>
  <r>
    <s v="FINAL0722_BANK_HE1"/>
    <s v="BELUGA RIVER"/>
    <x v="1"/>
    <x v="0"/>
    <x v="15"/>
    <n v="79310.671875"/>
  </r>
  <r>
    <s v="FINAL0722_BANK_HE1"/>
    <s v="BELUGA RIVER"/>
    <x v="1"/>
    <x v="0"/>
    <x v="16"/>
    <n v="78902.7734375"/>
  </r>
  <r>
    <s v="FINAL0722_BANK_HE1"/>
    <s v="BELUGA RIVER"/>
    <x v="1"/>
    <x v="0"/>
    <x v="17"/>
    <n v="78496.9765625"/>
  </r>
  <r>
    <s v="FINAL0722_BANK_HE1"/>
    <s v="BELUGA RIVER"/>
    <x v="1"/>
    <x v="0"/>
    <x v="18"/>
    <n v="78093.265625"/>
  </r>
  <r>
    <s v="FINAL0722_BANK_HE1"/>
    <s v="BELUGA RIVER"/>
    <x v="1"/>
    <x v="0"/>
    <x v="19"/>
    <n v="77691.6328125"/>
  </r>
  <r>
    <s v="FINAL0722_BANK_HE1"/>
    <s v="BELUGA RIVER"/>
    <x v="1"/>
    <x v="0"/>
    <x v="20"/>
    <n v="77292.0625"/>
  </r>
  <r>
    <s v="FINAL0722_BANK_HE1"/>
    <s v="BELUGA RIVER"/>
    <x v="1"/>
    <x v="0"/>
    <x v="21"/>
    <n v="76894.546875"/>
  </r>
  <r>
    <s v="FINAL0722_BANK_HE1"/>
    <s v="BELUGA RIVER"/>
    <x v="1"/>
    <x v="0"/>
    <x v="22"/>
    <n v="76499.078125"/>
  </r>
  <r>
    <s v="FINAL0722_BANK_HE1"/>
    <s v="BELUGA RIVER"/>
    <x v="1"/>
    <x v="0"/>
    <x v="23"/>
    <n v="76105.640625"/>
  </r>
  <r>
    <s v="FINAL0722_BANK_HE1"/>
    <s v="BELUGA RIVER"/>
    <x v="1"/>
    <x v="0"/>
    <x v="24"/>
    <n v="75714.2265625"/>
  </r>
  <r>
    <s v="FINAL0722_BANK_HE1"/>
    <s v="BELUGA RIVER"/>
    <x v="1"/>
    <x v="0"/>
    <x v="25"/>
    <n v="75324.828125"/>
  </r>
  <r>
    <s v="FINAL0722_BANK_HE1"/>
    <s v="BELUGA RIVER"/>
    <x v="1"/>
    <x v="0"/>
    <x v="26"/>
    <n v="74937.4296875"/>
  </r>
  <r>
    <s v="FINAL0722_BANK_HE1"/>
    <s v="BELUGA RIVER"/>
    <x v="1"/>
    <x v="0"/>
    <x v="27"/>
    <n v="74552.0234375"/>
  </r>
  <r>
    <s v="FINAL0722_BANK_HE1"/>
    <s v="BELUGA RIVER"/>
    <x v="1"/>
    <x v="0"/>
    <x v="28"/>
    <n v="74168.6015625"/>
  </r>
  <r>
    <s v="FINAL0722_BANK_HE1"/>
    <s v="BELUGA RIVER"/>
    <x v="1"/>
    <x v="0"/>
    <x v="29"/>
    <n v="73787.1484375"/>
  </r>
  <r>
    <s v="FINAL0722_BANK_HE1"/>
    <s v="BELUGA RIVER"/>
    <x v="1"/>
    <x v="0"/>
    <x v="30"/>
    <n v="73407.6640625"/>
  </r>
  <r>
    <s v="FINAL0722_BANK_HE1"/>
    <s v="BELUGA RIVER"/>
    <x v="1"/>
    <x v="0"/>
    <x v="31"/>
    <n v="73030.125"/>
  </r>
  <r>
    <s v="FINAL0722_BANK_HE1"/>
    <s v="BELUGA RIVER"/>
    <x v="1"/>
    <x v="0"/>
    <x v="32"/>
    <n v="72654.53125"/>
  </r>
  <r>
    <s v="FINAL0722_BANK_HE1"/>
    <s v="BELUGA RIVER"/>
    <x v="1"/>
    <x v="0"/>
    <x v="33"/>
    <n v="72280.8671875"/>
  </r>
  <r>
    <s v="FINAL0722_BANK_HE1"/>
    <s v="BELUGA RIVER"/>
    <x v="1"/>
    <x v="0"/>
    <x v="34"/>
    <n v="71909.125"/>
  </r>
  <r>
    <s v="FINAL0722_BANK_HE1"/>
    <s v="BELUGA RIVER"/>
    <x v="1"/>
    <x v="0"/>
    <x v="35"/>
    <n v="71539.296875"/>
  </r>
  <r>
    <s v="FINAL0722_BANK_HE1"/>
    <s v="BELUGA RIVER"/>
    <x v="1"/>
    <x v="0"/>
    <x v="36"/>
    <n v="71171.3671875"/>
  </r>
  <r>
    <s v="FINAL0722_BANK_HE1"/>
    <s v="BELUGA RIVER"/>
    <x v="1"/>
    <x v="0"/>
    <x v="37"/>
    <n v="70805.328125"/>
  </r>
  <r>
    <s v="FINAL0722_BANK_HE1"/>
    <s v="BELUGA RIVER"/>
    <x v="1"/>
    <x v="0"/>
    <x v="38"/>
    <n v="70441.171875"/>
  </r>
  <r>
    <s v="FINAL0722_BANK_HE1"/>
    <s v="BELUGA RIVER"/>
    <x v="1"/>
    <x v="0"/>
    <x v="39"/>
    <n v="70078.890625"/>
  </r>
  <r>
    <s v="FINAL0722_BANK_HE1"/>
    <s v="BELUGA RIVER"/>
    <x v="1"/>
    <x v="0"/>
    <x v="40"/>
    <n v="69718.4765625"/>
  </r>
  <r>
    <s v="FINAL0722_BANK_HE1"/>
    <s v="BELUGA RIVER"/>
    <x v="1"/>
    <x v="0"/>
    <x v="41"/>
    <n v="69359.9140625"/>
  </r>
  <r>
    <s v="FINAL0722_BANK_HE1"/>
    <s v="BELUGA RIVER"/>
    <x v="1"/>
    <x v="0"/>
    <x v="42"/>
    <n v="69003.1953125"/>
  </r>
  <r>
    <s v="FINAL0722_BANK_HE1"/>
    <s v="BELUGA RIVER"/>
    <x v="1"/>
    <x v="0"/>
    <x v="43"/>
    <n v="68648.3125"/>
  </r>
  <r>
    <s v="FINAL0722_BANK_HE1"/>
    <s v="BELUGA RIVER"/>
    <x v="1"/>
    <x v="0"/>
    <x v="44"/>
    <n v="68295.25"/>
  </r>
  <r>
    <s v="FINAL0722_BANK_HE1"/>
    <s v="BELUGA RIVER"/>
    <x v="1"/>
    <x v="0"/>
    <x v="45"/>
    <n v="67944.0078125"/>
  </r>
  <r>
    <s v="FINAL0722_BANK_HE1"/>
    <s v="BELUGA RIVER"/>
    <x v="1"/>
    <x v="0"/>
    <x v="46"/>
    <n v="67594.5703125"/>
  </r>
  <r>
    <s v="FINAL0722_BANK_HE1"/>
    <s v="BELUGA RIVER"/>
    <x v="1"/>
    <x v="0"/>
    <x v="47"/>
    <n v="67246.9296875"/>
  </r>
  <r>
    <s v="FINAL0722_BANK_HE1"/>
    <s v="BELUGA RIVER"/>
    <x v="1"/>
    <x v="0"/>
    <x v="48"/>
    <n v="66901.078125"/>
  </r>
  <r>
    <s v="FINAL0722_BANK_HE1"/>
    <s v="BELUGA RIVER"/>
    <x v="1"/>
    <x v="0"/>
    <x v="49"/>
    <n v="66557.0078125"/>
  </r>
  <r>
    <s v="FINAL0722_BANK_HE1"/>
    <s v="BELUGA RIVER"/>
    <x v="1"/>
    <x v="0"/>
    <x v="50"/>
    <n v="66214.703125"/>
  </r>
  <r>
    <s v="FINAL0722_BANK_HE1"/>
    <s v="BELUGA RIVER"/>
    <x v="1"/>
    <x v="0"/>
    <x v="51"/>
    <n v="65874.15625"/>
  </r>
  <r>
    <s v="FINAL0722_BANK_HE1"/>
    <s v="BELUGA RIVER"/>
    <x v="1"/>
    <x v="0"/>
    <x v="52"/>
    <n v="65535.36328125"/>
  </r>
  <r>
    <s v="FINAL0722_BANK_HE1"/>
    <s v="BELUGA RIVER"/>
    <x v="1"/>
    <x v="0"/>
    <x v="53"/>
    <n v="65198.3125"/>
  </r>
  <r>
    <s v="FINAL0722_BANK_HE1"/>
    <s v="BELUGA RIVER"/>
    <x v="1"/>
    <x v="0"/>
    <x v="54"/>
    <n v="64862.99609375"/>
  </r>
  <r>
    <s v="FINAL0722_BANK_HE1"/>
    <s v="BELUGA RIVER"/>
    <x v="1"/>
    <x v="0"/>
    <x v="55"/>
    <n v="64529.40625"/>
  </r>
  <r>
    <s v="FINAL0722_BANK_HE1"/>
    <s v="BELUGA RIVER"/>
    <x v="1"/>
    <x v="0"/>
    <x v="56"/>
    <n v="64197.53125"/>
  </r>
  <r>
    <s v="FINAL0722_BANK_HE1"/>
    <s v="BELUGA RIVER"/>
    <x v="1"/>
    <x v="0"/>
    <x v="57"/>
    <n v="63867.36328125"/>
  </r>
  <r>
    <s v="FINAL0722_BANK_HE1"/>
    <s v="BELUGA RIVER"/>
    <x v="1"/>
    <x v="0"/>
    <x v="58"/>
    <n v="63538.89453125"/>
  </r>
  <r>
    <s v="FINAL0722_BANK_HE1"/>
    <s v="BELUGA RIVER"/>
    <x v="1"/>
    <x v="0"/>
    <x v="59"/>
    <n v="63212.11328125"/>
  </r>
  <r>
    <s v="FINAL0722_BANK_HE1"/>
    <s v="BELUGA RIVER"/>
    <x v="1"/>
    <x v="0"/>
    <x v="60"/>
    <n v="62887.01171875"/>
  </r>
  <r>
    <s v="FINAL0722_BANK_HE1"/>
    <s v="BELUGA RIVER"/>
    <x v="1"/>
    <x v="0"/>
    <x v="61"/>
    <n v="62563.58203125"/>
  </r>
  <r>
    <s v="FINAL0722_BANK_HE1"/>
    <s v="BELUGA RIVER"/>
    <x v="1"/>
    <x v="0"/>
    <x v="62"/>
    <n v="62241.81640625"/>
  </r>
  <r>
    <s v="FINAL0722_BANK_HE1"/>
    <s v="BELUGA RIVER"/>
    <x v="1"/>
    <x v="0"/>
    <x v="63"/>
    <n v="61921.70703125"/>
  </r>
  <r>
    <s v="FINAL0722_BANK_HE1"/>
    <s v="BELUGA RIVER"/>
    <x v="1"/>
    <x v="0"/>
    <x v="64"/>
    <n v="61603.2421875"/>
  </r>
  <r>
    <s v="FINAL0722_BANK_HE1"/>
    <s v="BELUGA RIVER"/>
    <x v="1"/>
    <x v="0"/>
    <x v="65"/>
    <n v="61286.4140625"/>
  </r>
  <r>
    <s v="FINAL0722_BANK_HE1"/>
    <s v="BELUGA RIVER"/>
    <x v="1"/>
    <x v="0"/>
    <x v="66"/>
    <n v="60971.21875"/>
  </r>
  <r>
    <s v="FINAL0722_BANK_HE1"/>
    <s v="BELUGA RIVER"/>
    <x v="1"/>
    <x v="0"/>
    <x v="67"/>
    <n v="60657.64453125"/>
  </r>
  <r>
    <s v="FINAL0722_BANK_HE1"/>
    <s v="BELUGA RIVER"/>
    <x v="1"/>
    <x v="0"/>
    <x v="68"/>
    <n v="60345.6796875"/>
  </r>
  <r>
    <s v="FINAL0722_BANK_HE1"/>
    <s v="BELUGA RIVER"/>
    <x v="1"/>
    <x v="0"/>
    <x v="69"/>
    <n v="60035.3203125"/>
  </r>
  <r>
    <s v="FINAL0722_BANK_HE1"/>
    <s v="BELUGA RIVER"/>
    <x v="2"/>
    <x v="0"/>
    <x v="0"/>
    <n v="37203.05078125"/>
  </r>
  <r>
    <s v="FINAL0722_BANK_HE1"/>
    <s v="BELUGA RIVER"/>
    <x v="2"/>
    <x v="0"/>
    <x v="1"/>
    <n v="36321.76953125"/>
  </r>
  <r>
    <s v="FINAL0722_BANK_HE1"/>
    <s v="BELUGA RIVER"/>
    <x v="2"/>
    <x v="0"/>
    <x v="2"/>
    <n v="35461.36328125"/>
  </r>
  <r>
    <s v="FINAL0722_BANK_HE1"/>
    <s v="BELUGA RIVER"/>
    <x v="2"/>
    <x v="0"/>
    <x v="3"/>
    <n v="34621.33984375"/>
  </r>
  <r>
    <s v="FINAL0722_BANK_HE1"/>
    <s v="BELUGA RIVER"/>
    <x v="2"/>
    <x v="0"/>
    <x v="4"/>
    <n v="33801.21484375"/>
  </r>
  <r>
    <s v="FINAL0722_BANK_HE1"/>
    <s v="BELUGA RIVER"/>
    <x v="2"/>
    <x v="0"/>
    <x v="5"/>
    <n v="33000.515625"/>
  </r>
  <r>
    <s v="FINAL0722_BANK_HE1"/>
    <s v="BELUGA RIVER"/>
    <x v="2"/>
    <x v="0"/>
    <x v="6"/>
    <n v="32218.78515625"/>
  </r>
  <r>
    <s v="FINAL0722_BANK_HE1"/>
    <s v="BELUGA RIVER"/>
    <x v="2"/>
    <x v="0"/>
    <x v="7"/>
    <n v="31455.572265625"/>
  </r>
  <r>
    <s v="FINAL0722_BANK_HE1"/>
    <s v="BELUGA RIVER"/>
    <x v="2"/>
    <x v="0"/>
    <x v="8"/>
    <n v="30710.439453125"/>
  </r>
  <r>
    <s v="FINAL0722_BANK_HE1"/>
    <s v="BELUGA RIVER"/>
    <x v="2"/>
    <x v="0"/>
    <x v="9"/>
    <n v="29982.95703125"/>
  </r>
  <r>
    <s v="FINAL0722_BANK_HE1"/>
    <s v="BELUGA RIVER"/>
    <x v="2"/>
    <x v="0"/>
    <x v="10"/>
    <n v="29272.70703125"/>
  </r>
  <r>
    <s v="FINAL0722_BANK_HE1"/>
    <s v="BELUGA RIVER"/>
    <x v="2"/>
    <x v="0"/>
    <x v="11"/>
    <n v="28579.283203125"/>
  </r>
  <r>
    <s v="FINAL0722_BANK_HE1"/>
    <s v="BELUGA RIVER"/>
    <x v="2"/>
    <x v="0"/>
    <x v="12"/>
    <n v="27902.28515625"/>
  </r>
  <r>
    <s v="FINAL0722_BANK_HE1"/>
    <s v="BELUGA RIVER"/>
    <x v="2"/>
    <x v="0"/>
    <x v="13"/>
    <n v="27241.32421875"/>
  </r>
  <r>
    <s v="FINAL0722_BANK_HE1"/>
    <s v="BELUGA RIVER"/>
    <x v="2"/>
    <x v="0"/>
    <x v="14"/>
    <n v="26596.01953125"/>
  </r>
  <r>
    <s v="FINAL0722_BANK_HE1"/>
    <s v="BELUGA RIVER"/>
    <x v="2"/>
    <x v="0"/>
    <x v="15"/>
    <n v="25966.001953125"/>
  </r>
  <r>
    <s v="FINAL0722_BANK_HE1"/>
    <s v="BELUGA RIVER"/>
    <x v="2"/>
    <x v="0"/>
    <x v="16"/>
    <n v="25350.908203125"/>
  </r>
  <r>
    <s v="FINAL0722_BANK_HE1"/>
    <s v="BELUGA RIVER"/>
    <x v="2"/>
    <x v="0"/>
    <x v="17"/>
    <n v="24750.384765625"/>
  </r>
  <r>
    <s v="FINAL0722_BANK_HE1"/>
    <s v="BELUGA RIVER"/>
    <x v="2"/>
    <x v="0"/>
    <x v="18"/>
    <n v="24164.087890625"/>
  </r>
  <r>
    <s v="FINAL0722_BANK_HE1"/>
    <s v="BELUGA RIVER"/>
    <x v="2"/>
    <x v="0"/>
    <x v="19"/>
    <n v="23591.677734375"/>
  </r>
  <r>
    <s v="FINAL0722_BANK_HE1"/>
    <s v="BELUGA RIVER"/>
    <x v="2"/>
    <x v="0"/>
    <x v="20"/>
    <n v="23032.828125"/>
  </r>
  <r>
    <s v="FINAL0722_BANK_HE1"/>
    <s v="BELUGA RIVER"/>
    <x v="2"/>
    <x v="0"/>
    <x v="21"/>
    <n v="22487.216796875"/>
  </r>
  <r>
    <s v="FINAL0722_BANK_HE1"/>
    <s v="BELUGA RIVER"/>
    <x v="2"/>
    <x v="0"/>
    <x v="22"/>
    <n v="21954.529296875"/>
  </r>
  <r>
    <s v="FINAL0722_BANK_HE1"/>
    <s v="BELUGA RIVER"/>
    <x v="2"/>
    <x v="0"/>
    <x v="23"/>
    <n v="21434.4609375"/>
  </r>
  <r>
    <s v="FINAL0722_BANK_HE1"/>
    <s v="BELUGA RIVER"/>
    <x v="2"/>
    <x v="0"/>
    <x v="24"/>
    <n v="20926.712890625"/>
  </r>
  <r>
    <s v="FINAL0722_BANK_HE1"/>
    <s v="BELUGA RIVER"/>
    <x v="2"/>
    <x v="0"/>
    <x v="25"/>
    <n v="20430.9921875"/>
  </r>
  <r>
    <s v="FINAL0722_BANK_HE1"/>
    <s v="BELUGA RIVER"/>
    <x v="2"/>
    <x v="0"/>
    <x v="26"/>
    <n v="19947.013671875"/>
  </r>
  <r>
    <s v="FINAL0722_BANK_HE1"/>
    <s v="BELUGA RIVER"/>
    <x v="2"/>
    <x v="0"/>
    <x v="27"/>
    <n v="19474.5"/>
  </r>
  <r>
    <s v="FINAL0722_BANK_HE1"/>
    <s v="BELUGA RIVER"/>
    <x v="2"/>
    <x v="0"/>
    <x v="28"/>
    <n v="19013.1796875"/>
  </r>
  <r>
    <s v="FINAL0722_BANK_HE1"/>
    <s v="BELUGA RIVER"/>
    <x v="2"/>
    <x v="0"/>
    <x v="29"/>
    <n v="18562.787109375"/>
  </r>
  <r>
    <s v="FINAL0722_BANK_HE1"/>
    <s v="BELUGA RIVER"/>
    <x v="2"/>
    <x v="0"/>
    <x v="30"/>
    <n v="18123.064453125"/>
  </r>
  <r>
    <s v="FINAL0722_BANK_HE1"/>
    <s v="BELUGA RIVER"/>
    <x v="2"/>
    <x v="0"/>
    <x v="31"/>
    <n v="17693.7578125"/>
  </r>
  <r>
    <s v="FINAL0722_BANK_HE1"/>
    <s v="BELUGA RIVER"/>
    <x v="2"/>
    <x v="0"/>
    <x v="32"/>
    <n v="17274.62109375"/>
  </r>
  <r>
    <s v="FINAL0722_BANK_HE1"/>
    <s v="BELUGA RIVER"/>
    <x v="2"/>
    <x v="0"/>
    <x v="33"/>
    <n v="16865.412109375"/>
  </r>
  <r>
    <s v="FINAL0722_BANK_HE1"/>
    <s v="BELUGA RIVER"/>
    <x v="2"/>
    <x v="0"/>
    <x v="34"/>
    <n v="16465.896484375"/>
  </r>
  <r>
    <s v="FINAL0722_BANK_HE1"/>
    <s v="BELUGA RIVER"/>
    <x v="2"/>
    <x v="0"/>
    <x v="35"/>
    <n v="16075.845703125"/>
  </r>
  <r>
    <s v="FINAL0722_BANK_HE1"/>
    <s v="BELUGA RIVER"/>
    <x v="2"/>
    <x v="0"/>
    <x v="36"/>
    <n v="15695.0341796875"/>
  </r>
  <r>
    <s v="FINAL0722_BANK_HE1"/>
    <s v="BELUGA RIVER"/>
    <x v="2"/>
    <x v="0"/>
    <x v="37"/>
    <n v="15323.2431640625"/>
  </r>
  <r>
    <s v="FINAL0722_BANK_HE1"/>
    <s v="BELUGA RIVER"/>
    <x v="2"/>
    <x v="0"/>
    <x v="38"/>
    <n v="14960.259765625"/>
  </r>
  <r>
    <s v="FINAL0722_BANK_HE1"/>
    <s v="BELUGA RIVER"/>
    <x v="2"/>
    <x v="0"/>
    <x v="39"/>
    <n v="14605.875"/>
  </r>
  <r>
    <s v="FINAL0722_BANK_HE1"/>
    <s v="BELUGA RIVER"/>
    <x v="2"/>
    <x v="0"/>
    <x v="40"/>
    <n v="14259.884765625"/>
  </r>
  <r>
    <s v="FINAL0722_BANK_HE1"/>
    <s v="BELUGA RIVER"/>
    <x v="2"/>
    <x v="0"/>
    <x v="41"/>
    <n v="13922.0908203125"/>
  </r>
  <r>
    <s v="FINAL0722_BANK_HE1"/>
    <s v="BELUGA RIVER"/>
    <x v="2"/>
    <x v="0"/>
    <x v="42"/>
    <n v="13592.298828125"/>
  </r>
  <r>
    <s v="FINAL0722_BANK_HE1"/>
    <s v="BELUGA RIVER"/>
    <x v="2"/>
    <x v="0"/>
    <x v="43"/>
    <n v="13270.318359375"/>
  </r>
  <r>
    <s v="FINAL0722_BANK_HE1"/>
    <s v="BELUGA RIVER"/>
    <x v="2"/>
    <x v="0"/>
    <x v="44"/>
    <n v="12955.9658203125"/>
  </r>
  <r>
    <s v="FINAL0722_BANK_HE1"/>
    <s v="BELUGA RIVER"/>
    <x v="2"/>
    <x v="0"/>
    <x v="45"/>
    <n v="12649.0595703125"/>
  </r>
  <r>
    <s v="FINAL0722_BANK_HE1"/>
    <s v="BELUGA RIVER"/>
    <x v="2"/>
    <x v="0"/>
    <x v="46"/>
    <n v="12349.4228515625"/>
  </r>
  <r>
    <s v="FINAL0722_BANK_HE1"/>
    <s v="BELUGA RIVER"/>
    <x v="2"/>
    <x v="0"/>
    <x v="47"/>
    <n v="12056.884765625"/>
  </r>
  <r>
    <s v="FINAL0722_BANK_HE1"/>
    <s v="BELUGA RIVER"/>
    <x v="2"/>
    <x v="0"/>
    <x v="48"/>
    <n v="11771.2763671875"/>
  </r>
  <r>
    <s v="FINAL0722_BANK_HE1"/>
    <s v="BELUGA RIVER"/>
    <x v="2"/>
    <x v="0"/>
    <x v="49"/>
    <n v="11492.43359375"/>
  </r>
  <r>
    <s v="FINAL0722_BANK_HE1"/>
    <s v="BELUGA RIVER"/>
    <x v="2"/>
    <x v="0"/>
    <x v="50"/>
    <n v="11220.1962890625"/>
  </r>
  <r>
    <s v="FINAL0722_BANK_HE1"/>
    <s v="BELUGA RIVER"/>
    <x v="2"/>
    <x v="0"/>
    <x v="51"/>
    <n v="10954.4072265625"/>
  </r>
  <r>
    <s v="FINAL0722_BANK_HE1"/>
    <s v="BELUGA RIVER"/>
    <x v="2"/>
    <x v="0"/>
    <x v="52"/>
    <n v="10694.9150390625"/>
  </r>
  <r>
    <s v="FINAL0722_BANK_HE1"/>
    <s v="BELUGA RIVER"/>
    <x v="2"/>
    <x v="0"/>
    <x v="53"/>
    <n v="10441.5693359375"/>
  </r>
  <r>
    <s v="FINAL0722_BANK_HE1"/>
    <s v="BELUGA RIVER"/>
    <x v="2"/>
    <x v="0"/>
    <x v="54"/>
    <n v="10194.224609375"/>
  </r>
  <r>
    <s v="FINAL0722_BANK_HE1"/>
    <s v="BELUGA RIVER"/>
    <x v="2"/>
    <x v="0"/>
    <x v="55"/>
    <n v="9952.7392578125"/>
  </r>
  <r>
    <s v="FINAL0722_BANK_HE1"/>
    <s v="BELUGA RIVER"/>
    <x v="2"/>
    <x v="0"/>
    <x v="56"/>
    <n v="9716.974609375"/>
  </r>
  <r>
    <s v="FINAL0722_BANK_HE1"/>
    <s v="BELUGA RIVER"/>
    <x v="2"/>
    <x v="0"/>
    <x v="57"/>
    <n v="9486.794921875"/>
  </r>
  <r>
    <s v="FINAL0722_BANK_HE1"/>
    <s v="BELUGA RIVER"/>
    <x v="2"/>
    <x v="0"/>
    <x v="58"/>
    <n v="9262.0673828125"/>
  </r>
  <r>
    <s v="FINAL0722_BANK_HE1"/>
    <s v="BELUGA RIVER"/>
    <x v="2"/>
    <x v="0"/>
    <x v="59"/>
    <n v="9042.6640625"/>
  </r>
  <r>
    <s v="FINAL0722_BANK_HE1"/>
    <s v="BELUGA RIVER"/>
    <x v="2"/>
    <x v="0"/>
    <x v="60"/>
    <n v="8828.4580078125"/>
  </r>
  <r>
    <s v="FINAL0722_BANK_HE1"/>
    <s v="BELUGA RIVER"/>
    <x v="2"/>
    <x v="0"/>
    <x v="61"/>
    <n v="8619.326171875"/>
  </r>
  <r>
    <s v="FINAL0722_BANK_HE1"/>
    <s v="BELUGA RIVER"/>
    <x v="2"/>
    <x v="0"/>
    <x v="62"/>
    <n v="8415.1474609375"/>
  </r>
  <r>
    <s v="FINAL0722_BANK_HE1"/>
    <s v="BELUGA RIVER"/>
    <x v="2"/>
    <x v="0"/>
    <x v="63"/>
    <n v="8215.8056640625"/>
  </r>
  <r>
    <s v="FINAL0722_BANK_HE1"/>
    <s v="BELUGA RIVER"/>
    <x v="2"/>
    <x v="0"/>
    <x v="64"/>
    <n v="8021.18603515625"/>
  </r>
  <r>
    <s v="FINAL0722_BANK_HE1"/>
    <s v="BELUGA RIVER"/>
    <x v="2"/>
    <x v="0"/>
    <x v="65"/>
    <n v="7831.1767578125"/>
  </r>
  <r>
    <s v="FINAL0722_BANK_HE1"/>
    <s v="BELUGA RIVER"/>
    <x v="2"/>
    <x v="0"/>
    <x v="66"/>
    <n v="7645.66845703125"/>
  </r>
  <r>
    <s v="FINAL0722_BANK_HE1"/>
    <s v="BELUGA RIVER"/>
    <x v="2"/>
    <x v="0"/>
    <x v="67"/>
    <n v="7464.5546875"/>
  </r>
  <r>
    <s v="FINAL0722_BANK_HE1"/>
    <s v="BELUGA RIVER"/>
    <x v="2"/>
    <x v="0"/>
    <x v="68"/>
    <n v="7287.73095703125"/>
  </r>
  <r>
    <s v="FINAL0722_BANK_HE1"/>
    <s v="BELUGA RIVER"/>
    <x v="2"/>
    <x v="0"/>
    <x v="69"/>
    <n v="7115.09619140625"/>
  </r>
  <r>
    <s v="FINAL0722_BANK_HE1"/>
    <s v="BELUGA RIVER"/>
    <x v="2"/>
    <x v="0"/>
    <x v="70"/>
    <n v="6946.55078125"/>
  </r>
  <r>
    <s v="FINAL0722_BANK_HE1"/>
    <s v="BELUGA RIVER"/>
    <x v="2"/>
    <x v="0"/>
    <x v="71"/>
    <n v="6781.998046875"/>
  </r>
  <r>
    <s v="FINAL0722_BANK_HE1"/>
    <s v="BELUGA RIVER"/>
    <x v="2"/>
    <x v="0"/>
    <x v="72"/>
    <n v="6621.34326171875"/>
  </r>
  <r>
    <s v="FINAL0722_BANK_HE1"/>
    <s v="BELUGA RIVER"/>
    <x v="2"/>
    <x v="0"/>
    <x v="73"/>
    <n v="6464.494140625"/>
  </r>
  <r>
    <s v="FINAL0722_BANK_HE1"/>
    <s v="BELUGA RIVER"/>
    <x v="2"/>
    <x v="0"/>
    <x v="74"/>
    <n v="6311.3603515625"/>
  </r>
  <r>
    <s v="FINAL0722_BANK_HE1"/>
    <s v="BELUGA RIVER"/>
    <x v="2"/>
    <x v="0"/>
    <x v="75"/>
    <n v="6161.85400390625"/>
  </r>
  <r>
    <s v="FINAL0722_BANK_HE1"/>
    <s v="BELUGA RIVER"/>
    <x v="2"/>
    <x v="0"/>
    <x v="76"/>
    <n v="6015.88916015625"/>
  </r>
  <r>
    <s v="FINAL0722_BANK_HE1"/>
    <s v="BELUGA RIVER"/>
    <x v="2"/>
    <x v="0"/>
    <x v="77"/>
    <n v="5873.38232421875"/>
  </r>
  <r>
    <s v="FINAL0722_BANK_HE1"/>
    <s v="BELUGA RIVER"/>
    <x v="2"/>
    <x v="0"/>
    <x v="78"/>
    <n v="5734.2509765625"/>
  </r>
  <r>
    <s v="FINAL0722_BANK_HE1"/>
    <s v="BELUGA RIVER"/>
    <x v="2"/>
    <x v="0"/>
    <x v="79"/>
    <n v="5598.41552734375"/>
  </r>
  <r>
    <s v="FINAL0722_BANK_HE1"/>
    <s v="BELUGA RIVER"/>
    <x v="2"/>
    <x v="0"/>
    <x v="80"/>
    <n v="5465.7978515625"/>
  </r>
  <r>
    <s v="FINAL0722_BANK_HE1"/>
    <s v="BELUGA RIVER"/>
    <x v="2"/>
    <x v="0"/>
    <x v="81"/>
    <n v="5336.32177734375"/>
  </r>
  <r>
    <s v="FINAL0722_BANK_HE1"/>
    <s v="BELUGA RIVER"/>
    <x v="2"/>
    <x v="0"/>
    <x v="82"/>
    <n v="5209.91259765625"/>
  </r>
  <r>
    <s v="FINAL0722_BANK_HE1"/>
    <s v="BELUGA RIVER"/>
    <x v="2"/>
    <x v="0"/>
    <x v="83"/>
    <n v="5086.498046875"/>
  </r>
  <r>
    <s v="FINAL0722_BANK_HE1"/>
    <s v="BELUGA RIVER"/>
    <x v="2"/>
    <x v="0"/>
    <x v="84"/>
    <n v="4966.0068359375"/>
  </r>
  <r>
    <s v="FINAL0722_BANK_HE1"/>
    <s v="BELUGA RIVER"/>
    <x v="2"/>
    <x v="0"/>
    <x v="85"/>
    <n v="4848.3701171875"/>
  </r>
  <r>
    <s v="FINAL0722_BANK_HE1"/>
    <s v="BELUGA RIVER"/>
    <x v="2"/>
    <x v="0"/>
    <x v="86"/>
    <n v="4733.52001953125"/>
  </r>
  <r>
    <s v="FINAL0722_BANK_HE1"/>
    <s v="BELUGA RIVER"/>
    <x v="2"/>
    <x v="0"/>
    <x v="87"/>
    <n v="4621.390625"/>
  </r>
  <r>
    <s v="FINAL0722_BANK_HE1"/>
    <s v="BELUGA RIVER"/>
    <x v="2"/>
    <x v="0"/>
    <x v="88"/>
    <n v="4511.9169921875"/>
  </r>
  <r>
    <s v="FINAL0722_BANK_HE1"/>
    <s v="BELUGA RIVER"/>
    <x v="3"/>
    <x v="0"/>
    <x v="0"/>
    <n v="3838.0400390625"/>
  </r>
  <r>
    <s v="FINAL0722_BANK_HE1"/>
    <s v="BELUGA RIVER"/>
    <x v="3"/>
    <x v="0"/>
    <x v="1"/>
    <n v="3775.090087890625"/>
  </r>
  <r>
    <s v="FINAL0722_BANK_HE1"/>
    <s v="BELUGA RIVER"/>
    <x v="3"/>
    <x v="0"/>
    <x v="2"/>
    <n v="3713.172607421875"/>
  </r>
  <r>
    <s v="FINAL0722_BANK_HE1"/>
    <s v="BELUGA RIVER"/>
    <x v="3"/>
    <x v="0"/>
    <x v="3"/>
    <n v="3652.270751953125"/>
  </r>
  <r>
    <s v="FINAL0722_BANK_HE1"/>
    <s v="BELUGA RIVER"/>
    <x v="4"/>
    <x v="0"/>
    <x v="0"/>
    <n v="56063.80078125"/>
  </r>
  <r>
    <s v="FINAL0722_BANK_HE1"/>
    <s v="BELUGA RIVER"/>
    <x v="4"/>
    <x v="0"/>
    <x v="1"/>
    <n v="54855.91015625"/>
  </r>
  <r>
    <s v="FINAL0722_BANK_HE1"/>
    <s v="BELUGA RIVER"/>
    <x v="4"/>
    <x v="0"/>
    <x v="2"/>
    <n v="53674.04296875"/>
  </r>
  <r>
    <s v="FINAL0722_BANK_HE1"/>
    <s v="BELUGA RIVER"/>
    <x v="4"/>
    <x v="0"/>
    <x v="3"/>
    <n v="52517.640625"/>
  </r>
  <r>
    <s v="FINAL0722_BANK_HE1"/>
    <s v="BELUGA RIVER"/>
    <x v="4"/>
    <x v="0"/>
    <x v="4"/>
    <n v="51386.15234375"/>
  </r>
  <r>
    <s v="FINAL0722_BANK_HE1"/>
    <s v="BELUGA RIVER"/>
    <x v="4"/>
    <x v="0"/>
    <x v="5"/>
    <n v="50279.04296875"/>
  </r>
  <r>
    <s v="FINAL0722_BANK_HE1"/>
    <s v="BELUGA RIVER"/>
    <x v="4"/>
    <x v="0"/>
    <x v="6"/>
    <n v="49195.78515625"/>
  </r>
  <r>
    <s v="FINAL0722_BANK_HE1"/>
    <s v="BELUGA RIVER"/>
    <x v="4"/>
    <x v="0"/>
    <x v="7"/>
    <n v="48135.8671875"/>
  </r>
  <r>
    <s v="FINAL0722_BANK_HE1"/>
    <s v="BELUGA RIVER"/>
    <x v="4"/>
    <x v="0"/>
    <x v="8"/>
    <n v="47098.78515625"/>
  </r>
  <r>
    <s v="FINAL0722_BANK_HE1"/>
    <s v="BELUGA RIVER"/>
    <x v="4"/>
    <x v="0"/>
    <x v="9"/>
    <n v="46084.046875"/>
  </r>
  <r>
    <s v="FINAL0722_BANK_HE1"/>
    <s v="BELUGA RIVER"/>
    <x v="5"/>
    <x v="0"/>
    <x v="0"/>
    <n v="39311.23046875"/>
  </r>
  <r>
    <s v="FINAL0722_BANK_HE1"/>
    <s v="BELUGA RIVER"/>
    <x v="5"/>
    <x v="0"/>
    <x v="1"/>
    <n v="39039.0234375"/>
  </r>
  <r>
    <s v="FINAL0722_BANK_HE1"/>
    <s v="BELUGA RIVER"/>
    <x v="5"/>
    <x v="0"/>
    <x v="2"/>
    <n v="38768.703125"/>
  </r>
  <r>
    <s v="FINAL0722_BANK_HE1"/>
    <s v="BELUGA RIVER"/>
    <x v="5"/>
    <x v="0"/>
    <x v="3"/>
    <n v="38500.25390625"/>
  </r>
  <r>
    <s v="FINAL0722_BANK_HE1"/>
    <s v="BELUGA RIVER"/>
    <x v="5"/>
    <x v="0"/>
    <x v="4"/>
    <n v="38233.6640625"/>
  </r>
  <r>
    <s v="FINAL0722_BANK_HE1"/>
    <s v="BELUGA RIVER"/>
    <x v="5"/>
    <x v="0"/>
    <x v="5"/>
    <n v="37968.91796875"/>
  </r>
  <r>
    <s v="FINAL0722_BANK_HE1"/>
    <s v="BELUGA RIVER"/>
    <x v="5"/>
    <x v="0"/>
    <x v="6"/>
    <n v="37706.0078125"/>
  </r>
  <r>
    <s v="FINAL0722_BANK_HE1"/>
    <s v="BELUGA RIVER"/>
    <x v="5"/>
    <x v="0"/>
    <x v="7"/>
    <n v="37444.91796875"/>
  </r>
  <r>
    <s v="FINAL0722_BANK_HE1"/>
    <s v="BELUGA RIVER"/>
    <x v="5"/>
    <x v="0"/>
    <x v="8"/>
    <n v="37185.63671875"/>
  </r>
  <r>
    <s v="FINAL0722_BANK_HE1"/>
    <s v="BELUGA RIVER"/>
    <x v="5"/>
    <x v="0"/>
    <x v="9"/>
    <n v="36928.1484375"/>
  </r>
  <r>
    <s v="FINAL0722_BANK_HE1"/>
    <s v="BELUGA RIVER"/>
    <x v="5"/>
    <x v="0"/>
    <x v="10"/>
    <n v="36672.4453125"/>
  </r>
  <r>
    <s v="FINAL0722_BANK_HE1"/>
    <s v="BELUGA RIVER"/>
    <x v="5"/>
    <x v="0"/>
    <x v="11"/>
    <n v="36418.51171875"/>
  </r>
  <r>
    <s v="FINAL0722_BANK_HE1"/>
    <s v="BELUGA RIVER"/>
    <x v="5"/>
    <x v="0"/>
    <x v="12"/>
    <n v="36166.3359375"/>
  </r>
  <r>
    <s v="FINAL0722_BANK_HE1"/>
    <s v="BELUGA RIVER"/>
    <x v="5"/>
    <x v="0"/>
    <x v="13"/>
    <n v="35915.90625"/>
  </r>
  <r>
    <s v="FINAL0722_BANK_HE1"/>
    <s v="BELUGA RIVER"/>
    <x v="5"/>
    <x v="0"/>
    <x v="14"/>
    <n v="35667.2109375"/>
  </r>
  <r>
    <s v="FINAL0722_BANK_HE1"/>
    <s v="BELUGA RIVER"/>
    <x v="5"/>
    <x v="0"/>
    <x v="15"/>
    <n v="35420.23828125"/>
  </r>
  <r>
    <s v="FINAL0722_BANK_HE1"/>
    <s v="BELUGA RIVER"/>
    <x v="5"/>
    <x v="0"/>
    <x v="16"/>
    <n v="35174.9765625"/>
  </r>
  <r>
    <s v="FINAL0722_BANK_HE1"/>
    <s v="BELUGA RIVER"/>
    <x v="5"/>
    <x v="0"/>
    <x v="17"/>
    <n v="34931.41015625"/>
  </r>
  <r>
    <s v="FINAL0722_BANK_HE1"/>
    <s v="BELUGA RIVER"/>
    <x v="5"/>
    <x v="0"/>
    <x v="18"/>
    <n v="34689.53125"/>
  </r>
  <r>
    <s v="FINAL0722_BANK_HE1"/>
    <s v="BELUGA RIVER"/>
    <x v="5"/>
    <x v="0"/>
    <x v="19"/>
    <n v="34449.328125"/>
  </r>
  <r>
    <s v="FINAL0722_BANK_HE1"/>
    <s v="BELUGA RIVER"/>
    <x v="5"/>
    <x v="0"/>
    <x v="20"/>
    <n v="34210.7890625"/>
  </r>
  <r>
    <s v="FINAL0722_BANK_HE1"/>
    <s v="BELUGA RIVER"/>
    <x v="5"/>
    <x v="0"/>
    <x v="21"/>
    <n v="33973.90234375"/>
  </r>
  <r>
    <s v="FINAL0722_BANK_HE1"/>
    <s v="BELUGA RIVER"/>
    <x v="5"/>
    <x v="0"/>
    <x v="22"/>
    <n v="33738.65234375"/>
  </r>
  <r>
    <s v="FINAL0722_BANK_HE1"/>
    <s v="BELUGA RIVER"/>
    <x v="5"/>
    <x v="0"/>
    <x v="23"/>
    <n v="33505.03125"/>
  </r>
  <r>
    <s v="FINAL0722_BANK_HE1"/>
    <s v="BELUGA RIVER"/>
    <x v="5"/>
    <x v="0"/>
    <x v="24"/>
    <n v="33273.03125"/>
  </r>
  <r>
    <s v="FINAL0722_BANK_HE1"/>
    <s v="BELUGA RIVER"/>
    <x v="5"/>
    <x v="0"/>
    <x v="25"/>
    <n v="33042.63671875"/>
  </r>
  <r>
    <s v="FINAL0722_BANK_HE1"/>
    <s v="BELUGA RIVER"/>
    <x v="5"/>
    <x v="0"/>
    <x v="26"/>
    <n v="32813.8359375"/>
  </r>
  <r>
    <s v="FINAL0722_BANK_HE1"/>
    <s v="BELUGA RIVER"/>
    <x v="5"/>
    <x v="0"/>
    <x v="27"/>
    <n v="32586.62109375"/>
  </r>
  <r>
    <s v="FINAL0722_BANK_HE1"/>
    <s v="BELUGA RIVER"/>
    <x v="5"/>
    <x v="0"/>
    <x v="28"/>
    <n v="32360.978515625"/>
  </r>
  <r>
    <s v="FINAL0722_BANK_HE1"/>
    <s v="BELUGA RIVER"/>
    <x v="5"/>
    <x v="0"/>
    <x v="29"/>
    <n v="32136.8984375"/>
  </r>
  <r>
    <s v="FINAL0722_BANK_HE1"/>
    <s v="BELUGA RIVER"/>
    <x v="5"/>
    <x v="0"/>
    <x v="30"/>
    <n v="31914.37109375"/>
  </r>
  <r>
    <s v="FINAL0722_BANK_HE1"/>
    <s v="BELUGA RIVER"/>
    <x v="5"/>
    <x v="0"/>
    <x v="31"/>
    <n v="31693.3828125"/>
  </r>
  <r>
    <s v="FINAL0722_BANK_HE1"/>
    <s v="BELUGA RIVER"/>
    <x v="5"/>
    <x v="0"/>
    <x v="32"/>
    <n v="31473.92578125"/>
  </r>
  <r>
    <s v="FINAL0722_BANK_HE1"/>
    <s v="BELUGA RIVER"/>
    <x v="5"/>
    <x v="0"/>
    <x v="33"/>
    <n v="31255.98828125"/>
  </r>
  <r>
    <s v="FINAL0722_BANK_HE1"/>
    <s v="BELUGA RIVER"/>
    <x v="5"/>
    <x v="0"/>
    <x v="34"/>
    <n v="31039.560546875"/>
  </r>
  <r>
    <s v="FINAL0722_BANK_HE1"/>
    <s v="BELUGA RIVER"/>
    <x v="5"/>
    <x v="0"/>
    <x v="35"/>
    <n v="30824.630859375"/>
  </r>
  <r>
    <s v="FINAL0722_BANK_HE1"/>
    <s v="BELUGA RIVER"/>
    <x v="5"/>
    <x v="0"/>
    <x v="36"/>
    <n v="30611.189453125"/>
  </r>
  <r>
    <s v="FINAL0722_BANK_HE1"/>
    <s v="BELUGA RIVER"/>
    <x v="5"/>
    <x v="0"/>
    <x v="37"/>
    <n v="30399.2265625"/>
  </r>
  <r>
    <s v="FINAL0722_BANK_HE1"/>
    <s v="BELUGA RIVER"/>
    <x v="5"/>
    <x v="0"/>
    <x v="38"/>
    <n v="30188.73046875"/>
  </r>
  <r>
    <s v="FINAL0722_BANK_HE1"/>
    <s v="BELUGA RIVER"/>
    <x v="5"/>
    <x v="0"/>
    <x v="39"/>
    <n v="29979.69140625"/>
  </r>
  <r>
    <s v="FINAL0722_BANK_HE1"/>
    <s v="BELUGA RIVER"/>
    <x v="6"/>
    <x v="1"/>
    <x v="0"/>
    <n v="0"/>
  </r>
  <r>
    <s v="FINAL0722_BANK_HE1"/>
    <s v="BELUGA RIVER"/>
    <x v="6"/>
    <x v="1"/>
    <x v="1"/>
    <n v="0"/>
  </r>
  <r>
    <s v="FINAL0722_BANK_HE1"/>
    <s v="BELUGA RIVER"/>
    <x v="6"/>
    <x v="1"/>
    <x v="2"/>
    <n v="0"/>
  </r>
  <r>
    <s v="FINAL0722_BANK_HE1"/>
    <s v="BELUGA RIVER"/>
    <x v="6"/>
    <x v="1"/>
    <x v="3"/>
    <n v="0"/>
  </r>
  <r>
    <s v="FINAL0722_BANK_HE1"/>
    <s v="BELUGA RIVER"/>
    <x v="6"/>
    <x v="1"/>
    <x v="4"/>
    <n v="0"/>
  </r>
  <r>
    <s v="FINAL0722_BANK_HE1"/>
    <s v="BELUGA RIVER"/>
    <x v="6"/>
    <x v="1"/>
    <x v="5"/>
    <n v="0"/>
  </r>
  <r>
    <s v="FINAL0722_BANK_HE1"/>
    <s v="BELUGA RIVER"/>
    <x v="6"/>
    <x v="1"/>
    <x v="6"/>
    <n v="0"/>
  </r>
  <r>
    <s v="FINAL0722_BANK_HE1"/>
    <s v="BELUGA RIVER"/>
    <x v="6"/>
    <x v="1"/>
    <x v="7"/>
    <n v="139387.1875"/>
  </r>
  <r>
    <s v="FINAL0722_BANK_HE1"/>
    <s v="BELUGA RIVER"/>
    <x v="6"/>
    <x v="1"/>
    <x v="8"/>
    <n v="138168.71875"/>
  </r>
  <r>
    <s v="FINAL0722_BANK_HE1"/>
    <s v="BELUGA RIVER"/>
    <x v="6"/>
    <x v="1"/>
    <x v="9"/>
    <n v="136960.90625"/>
  </r>
  <r>
    <s v="FINAL0722_BANK_HE1"/>
    <s v="BELUGA RIVER"/>
    <x v="6"/>
    <x v="1"/>
    <x v="10"/>
    <n v="135763.640625"/>
  </r>
  <r>
    <s v="FINAL0722_BANK_HE1"/>
    <s v="BELUGA RIVER"/>
    <x v="6"/>
    <x v="1"/>
    <x v="11"/>
    <n v="134576.84375"/>
  </r>
  <r>
    <s v="FINAL0722_BANK_HE1"/>
    <s v="BELUGA RIVER"/>
    <x v="6"/>
    <x v="1"/>
    <x v="12"/>
    <n v="133400.421875"/>
  </r>
  <r>
    <s v="FINAL0722_BANK_HE1"/>
    <s v="BELUGA RIVER"/>
    <x v="6"/>
    <x v="1"/>
    <x v="13"/>
    <n v="132234.28125"/>
  </r>
  <r>
    <s v="FINAL0722_BANK_HE1"/>
    <s v="BELUGA RIVER"/>
    <x v="6"/>
    <x v="1"/>
    <x v="14"/>
    <n v="131078.34375"/>
  </r>
  <r>
    <s v="FINAL0722_BANK_HE1"/>
    <s v="BELUGA RIVER"/>
    <x v="6"/>
    <x v="1"/>
    <x v="15"/>
    <n v="129932.5078125"/>
  </r>
  <r>
    <s v="FINAL0722_BANK_HE1"/>
    <s v="BELUGA RIVER"/>
    <x v="6"/>
    <x v="1"/>
    <x v="16"/>
    <n v="128796.6875"/>
  </r>
  <r>
    <s v="FINAL0722_BANK_HE1"/>
    <s v="BELUGA RIVER"/>
    <x v="6"/>
    <x v="1"/>
    <x v="17"/>
    <n v="127670.796875"/>
  </r>
  <r>
    <s v="FINAL0722_BANK_HE1"/>
    <s v="BELUGA RIVER"/>
    <x v="6"/>
    <x v="1"/>
    <x v="18"/>
    <n v="126554.75"/>
  </r>
  <r>
    <s v="FINAL0722_BANK_HE1"/>
    <s v="BELUGA RIVER"/>
    <x v="6"/>
    <x v="1"/>
    <x v="19"/>
    <n v="125448.4609375"/>
  </r>
  <r>
    <s v="FINAL0722_BANK_HE1"/>
    <s v="BELUGA RIVER"/>
    <x v="6"/>
    <x v="1"/>
    <x v="20"/>
    <n v="124351.8359375"/>
  </r>
  <r>
    <s v="FINAL0722_BANK_HE1"/>
    <s v="BELUGA RIVER"/>
    <x v="6"/>
    <x v="1"/>
    <x v="21"/>
    <n v="123264.796875"/>
  </r>
  <r>
    <s v="FINAL0722_BANK_HE1"/>
    <s v="BELUGA RIVER"/>
    <x v="6"/>
    <x v="1"/>
    <x v="22"/>
    <n v="122187.265625"/>
  </r>
  <r>
    <s v="FINAL0722_BANK_HE1"/>
    <s v="BELUGA RIVER"/>
    <x v="6"/>
    <x v="1"/>
    <x v="23"/>
    <n v="121119.1484375"/>
  </r>
  <r>
    <s v="FINAL0722_BANK_HE1"/>
    <s v="BELUGA RIVER"/>
    <x v="6"/>
    <x v="1"/>
    <x v="24"/>
    <n v="120060.375"/>
  </r>
  <r>
    <s v="FINAL0722_BANK_HE1"/>
    <s v="BELUGA RIVER"/>
    <x v="6"/>
    <x v="1"/>
    <x v="25"/>
    <n v="119010.8515625"/>
  </r>
  <r>
    <s v="FINAL0722_BANK_HE1"/>
    <s v="BELUGA RIVER"/>
    <x v="6"/>
    <x v="1"/>
    <x v="26"/>
    <n v="117970.5078125"/>
  </r>
  <r>
    <s v="FINAL0722_BANK_HE1"/>
    <s v="BELUGA RIVER"/>
    <x v="6"/>
    <x v="1"/>
    <x v="27"/>
    <n v="116939.2578125"/>
  </r>
  <r>
    <s v="FINAL0722_BANK_HE1"/>
    <s v="BELUGA RIVER"/>
    <x v="6"/>
    <x v="1"/>
    <x v="28"/>
    <n v="115917.0234375"/>
  </r>
  <r>
    <s v="FINAL0722_BANK_HE1"/>
    <s v="BELUGA RIVER"/>
    <x v="6"/>
    <x v="1"/>
    <x v="29"/>
    <n v="114903.71875"/>
  </r>
  <r>
    <s v="FINAL0722_BANK_HE1"/>
    <s v="BELUGA RIVER"/>
    <x v="6"/>
    <x v="1"/>
    <x v="30"/>
    <n v="113899.2734375"/>
  </r>
  <r>
    <s v="FINAL0722_BANK_HE1"/>
    <s v="BELUGA RIVER"/>
    <x v="6"/>
    <x v="1"/>
    <x v="31"/>
    <n v="112903.609375"/>
  </r>
  <r>
    <s v="FINAL0722_BANK_HE1"/>
    <s v="BELUGA RIVER"/>
    <x v="6"/>
    <x v="1"/>
    <x v="32"/>
    <n v="111916.6484375"/>
  </r>
  <r>
    <s v="FINAL0722_BANK_HE1"/>
    <s v="BELUGA RIVER"/>
    <x v="6"/>
    <x v="1"/>
    <x v="33"/>
    <n v="110938.3203125"/>
  </r>
  <r>
    <s v="FINAL0722_BANK_HE1"/>
    <s v="BELUGA RIVER"/>
    <x v="6"/>
    <x v="1"/>
    <x v="34"/>
    <n v="109968.5390625"/>
  </r>
  <r>
    <s v="FINAL0722_BANK_HE1"/>
    <s v="BELUGA RIVER"/>
    <x v="6"/>
    <x v="1"/>
    <x v="35"/>
    <n v="109007.234375"/>
  </r>
  <r>
    <s v="FINAL0722_BANK_HE1"/>
    <s v="BELUGA RIVER"/>
    <x v="6"/>
    <x v="1"/>
    <x v="36"/>
    <n v="108054.3359375"/>
  </r>
  <r>
    <s v="FINAL0722_BANK_HE1"/>
    <s v="BELUGA RIVER"/>
    <x v="6"/>
    <x v="1"/>
    <x v="37"/>
    <n v="107109.765625"/>
  </r>
  <r>
    <s v="FINAL0722_BANK_HE1"/>
    <s v="BELUGA RIVER"/>
    <x v="6"/>
    <x v="1"/>
    <x v="38"/>
    <n v="106173.453125"/>
  </r>
  <r>
    <s v="FINAL0722_BANK_HE1"/>
    <s v="BELUGA RIVER"/>
    <x v="6"/>
    <x v="1"/>
    <x v="39"/>
    <n v="105245.328125"/>
  </r>
  <r>
    <s v="FINAL0722_BANK_HE1"/>
    <s v="BELUGA RIVER"/>
    <x v="6"/>
    <x v="1"/>
    <x v="40"/>
    <n v="104325.3125"/>
  </r>
  <r>
    <s v="FINAL0722_BANK_HE1"/>
    <s v="BELUGA RIVER"/>
    <x v="6"/>
    <x v="1"/>
    <x v="41"/>
    <n v="103413.34375"/>
  </r>
  <r>
    <s v="FINAL0722_BANK_HE1"/>
    <s v="BELUGA RIVER"/>
    <x v="6"/>
    <x v="1"/>
    <x v="42"/>
    <n v="102509.34375"/>
  </r>
  <r>
    <s v="FINAL0722_BANK_HE1"/>
    <s v="BELUGA RIVER"/>
    <x v="6"/>
    <x v="1"/>
    <x v="43"/>
    <n v="101613.25"/>
  </r>
  <r>
    <s v="FINAL0722_BANK_HE1"/>
    <s v="BELUGA RIVER"/>
    <x v="6"/>
    <x v="1"/>
    <x v="44"/>
    <n v="100724.984375"/>
  </r>
  <r>
    <s v="FINAL0722_BANK_HE1"/>
    <s v="BELUGA RIVER"/>
    <x v="6"/>
    <x v="1"/>
    <x v="45"/>
    <n v="99844.484375"/>
  </r>
  <r>
    <s v="FINAL0722_BANK_HE1"/>
    <s v="BELUGA RIVER"/>
    <x v="6"/>
    <x v="1"/>
    <x v="46"/>
    <n v="98971.6796875"/>
  </r>
  <r>
    <s v="FINAL0722_BANK_HE1"/>
    <s v="BELUGA RIVER"/>
    <x v="6"/>
    <x v="1"/>
    <x v="47"/>
    <n v="98106.5078125"/>
  </r>
  <r>
    <s v="FINAL0722_BANK_HE1"/>
    <s v="BELUGA RIVER"/>
    <x v="6"/>
    <x v="1"/>
    <x v="48"/>
    <n v="97248.8984375"/>
  </r>
  <r>
    <s v="FINAL0722_BANK_HE1"/>
    <s v="BELUGA RIVER"/>
    <x v="6"/>
    <x v="1"/>
    <x v="49"/>
    <n v="96398.7890625"/>
  </r>
  <r>
    <s v="FINAL0722_BANK_HE1"/>
    <s v="BELUGA RIVER"/>
    <x v="6"/>
    <x v="1"/>
    <x v="50"/>
    <n v="95556.109375"/>
  </r>
  <r>
    <s v="FINAL0722_BANK_HE1"/>
    <s v="BELUGA RIVER"/>
    <x v="6"/>
    <x v="1"/>
    <x v="51"/>
    <n v="94720.796875"/>
  </r>
  <r>
    <s v="FINAL0722_BANK_HE1"/>
    <s v="BELUGA RIVER"/>
    <x v="6"/>
    <x v="1"/>
    <x v="52"/>
    <n v="93892.78125"/>
  </r>
  <r>
    <s v="FINAL0722_BANK_HE1"/>
    <s v="BELUGA RIVER"/>
    <x v="6"/>
    <x v="1"/>
    <x v="53"/>
    <n v="93072.0078125"/>
  </r>
  <r>
    <s v="FINAL0722_BANK_HE1"/>
    <s v="BELUGA RIVER"/>
    <x v="6"/>
    <x v="1"/>
    <x v="54"/>
    <n v="92258.40625"/>
  </r>
  <r>
    <s v="FINAL0722_BANK_HE1"/>
    <s v="BELUGA RIVER"/>
    <x v="6"/>
    <x v="1"/>
    <x v="55"/>
    <n v="91451.921875"/>
  </r>
  <r>
    <s v="FINAL0722_BANK_HE1"/>
    <s v="BELUGA RIVER"/>
    <x v="6"/>
    <x v="1"/>
    <x v="56"/>
    <n v="90652.484375"/>
  </r>
  <r>
    <s v="FINAL0722_BANK_HE1"/>
    <s v="BELUGA RIVER"/>
    <x v="6"/>
    <x v="1"/>
    <x v="57"/>
    <n v="89860.0390625"/>
  </r>
  <r>
    <s v="FINAL0722_BANK_HE1"/>
    <s v="BELUGA RIVER"/>
    <x v="6"/>
    <x v="1"/>
    <x v="58"/>
    <n v="89074.515625"/>
  </r>
  <r>
    <s v="FINAL0722_BANK_HE1"/>
    <s v="BELUGA RIVER"/>
    <x v="6"/>
    <x v="1"/>
    <x v="59"/>
    <n v="88295.859375"/>
  </r>
  <r>
    <s v="FINAL0722_BANK_HE1"/>
    <s v="BELUGA RIVER"/>
    <x v="6"/>
    <x v="1"/>
    <x v="60"/>
    <n v="87524.0078125"/>
  </r>
  <r>
    <s v="FINAL0722_BANK_HE1"/>
    <s v="BELUGA RIVER"/>
    <x v="6"/>
    <x v="1"/>
    <x v="61"/>
    <n v="86758.90625"/>
  </r>
  <r>
    <s v="FINAL0722_BANK_HE1"/>
    <s v="BELUGA RIVER"/>
    <x v="6"/>
    <x v="1"/>
    <x v="62"/>
    <n v="86000.4921875"/>
  </r>
  <r>
    <s v="FINAL0722_BANK_HE1"/>
    <s v="BELUGA RIVER"/>
    <x v="6"/>
    <x v="1"/>
    <x v="63"/>
    <n v="85248.7109375"/>
  </r>
  <r>
    <s v="FINAL0722_BANK_HE1"/>
    <s v="BELUGA RIVER"/>
    <x v="6"/>
    <x v="1"/>
    <x v="64"/>
    <n v="84503.5"/>
  </r>
  <r>
    <s v="FINAL0722_BANK_HE1"/>
    <s v="BELUGA RIVER"/>
    <x v="6"/>
    <x v="1"/>
    <x v="65"/>
    <n v="83764.8046875"/>
  </r>
  <r>
    <s v="FINAL0722_BANK_HE1"/>
    <s v="BELUGA RIVER"/>
    <x v="6"/>
    <x v="1"/>
    <x v="66"/>
    <n v="83032.5625"/>
  </r>
  <r>
    <s v="FINAL0722_BANK_HE1"/>
    <s v="BELUGA RIVER"/>
    <x v="6"/>
    <x v="1"/>
    <x v="67"/>
    <n v="82306.7265625"/>
  </r>
  <r>
    <s v="FINAL0722_BANK_HE1"/>
    <s v="BELUGA RIVER"/>
    <x v="6"/>
    <x v="1"/>
    <x v="68"/>
    <n v="81587.234375"/>
  </r>
  <r>
    <s v="FINAL0722_BANK_HE1"/>
    <s v="BELUGA RIVER"/>
    <x v="6"/>
    <x v="1"/>
    <x v="69"/>
    <n v="80874.03125"/>
  </r>
  <r>
    <s v="FINAL0722_BANK_HE1"/>
    <s v="BELUGA RIVER"/>
    <x v="6"/>
    <x v="1"/>
    <x v="70"/>
    <n v="80167.0625"/>
  </r>
  <r>
    <s v="FINAL0722_BANK_HE1"/>
    <s v="BELUGA RIVER"/>
    <x v="6"/>
    <x v="1"/>
    <x v="71"/>
    <n v="79466.2734375"/>
  </r>
  <r>
    <s v="FINAL0722_BANK_HE1"/>
    <s v="BELUGA RIVER"/>
    <x v="6"/>
    <x v="1"/>
    <x v="72"/>
    <n v="78771.609375"/>
  </r>
  <r>
    <s v="FINAL0722_BANK_HE1"/>
    <s v="BELUGA RIVER"/>
    <x v="6"/>
    <x v="1"/>
    <x v="73"/>
    <n v="78083.015625"/>
  </r>
  <r>
    <s v="FINAL0722_BANK_HE1"/>
    <s v="BELUGA RIVER"/>
    <x v="6"/>
    <x v="1"/>
    <x v="74"/>
    <n v="77400.4453125"/>
  </r>
  <r>
    <s v="FINAL0722_BANK_HE1"/>
    <s v="BELUGA RIVER"/>
    <x v="6"/>
    <x v="1"/>
    <x v="75"/>
    <n v="76723.84375"/>
  </r>
  <r>
    <s v="FINAL0722_BANK_HE1"/>
    <s v="BELUGA RIVER"/>
    <x v="6"/>
    <x v="1"/>
    <x v="76"/>
    <n v="76053.15625"/>
  </r>
  <r>
    <s v="FINAL0722_BANK_HE1"/>
    <s v="BELUGA RIVER"/>
    <x v="6"/>
    <x v="1"/>
    <x v="77"/>
    <n v="75388.328125"/>
  </r>
  <r>
    <s v="FINAL0722_BANK_HE1"/>
    <s v="BELUGA RIVER"/>
    <x v="6"/>
    <x v="1"/>
    <x v="78"/>
    <n v="74729.3125"/>
  </r>
  <r>
    <s v="FINAL0722_BANK_HE1"/>
    <s v="BELUGA RIVER"/>
    <x v="6"/>
    <x v="1"/>
    <x v="79"/>
    <n v="74076.0546875"/>
  </r>
  <r>
    <s v="FINAL0722_BANK_HE1"/>
    <s v="BELUGA RIVER"/>
    <x v="6"/>
    <x v="1"/>
    <x v="80"/>
    <n v="73428.5078125"/>
  </r>
  <r>
    <s v="FINAL0722_BANK_HE1"/>
    <s v="BELUGA RIVER"/>
    <x v="6"/>
    <x v="1"/>
    <x v="81"/>
    <n v="72786.625"/>
  </r>
  <r>
    <s v="FINAL0722_BANK_HE1"/>
    <s v="BELUGA RIVER"/>
    <x v="6"/>
    <x v="1"/>
    <x v="82"/>
    <n v="72150.3515625"/>
  </r>
  <r>
    <s v="FINAL0722_BANK_HE1"/>
    <s v="BELUGA RIVER"/>
    <x v="6"/>
    <x v="1"/>
    <x v="83"/>
    <n v="71519.640625"/>
  </r>
  <r>
    <s v="FINAL0722_BANK_HE1"/>
    <s v="BELUGA RIVER"/>
    <x v="6"/>
    <x v="1"/>
    <x v="84"/>
    <n v="70894.4453125"/>
  </r>
  <r>
    <s v="FINAL0722_BANK_HE1"/>
    <s v="BELUGA RIVER"/>
    <x v="6"/>
    <x v="1"/>
    <x v="85"/>
    <n v="70274.7109375"/>
  </r>
  <r>
    <s v="FINAL0722_BANK_HE1"/>
    <s v="BELUGA RIVER"/>
    <x v="6"/>
    <x v="1"/>
    <x v="86"/>
    <n v="69660.3984375"/>
  </r>
  <r>
    <s v="FINAL0722_BANK_HE1"/>
    <s v="BELUGA RIVER"/>
    <x v="6"/>
    <x v="1"/>
    <x v="87"/>
    <n v="69051.453125"/>
  </r>
  <r>
    <s v="FINAL0722_BANK_HE1"/>
    <s v="BELUGA RIVER"/>
    <x v="6"/>
    <x v="1"/>
    <x v="88"/>
    <n v="68447.8359375"/>
  </r>
  <r>
    <s v="FINAL0722_BANK_HE1"/>
    <s v="BELUGA RIVER"/>
    <x v="6"/>
    <x v="1"/>
    <x v="89"/>
    <n v="67849.4921875"/>
  </r>
  <r>
    <s v="FINAL0722_BANK_HE1"/>
    <s v="BELUGA RIVER"/>
    <x v="6"/>
    <x v="1"/>
    <x v="90"/>
    <n v="67256.375"/>
  </r>
  <r>
    <s v="FINAL0722_BANK_HE1"/>
    <s v="BELUGA RIVER"/>
    <x v="6"/>
    <x v="1"/>
    <x v="91"/>
    <n v="66668.4453125"/>
  </r>
  <r>
    <s v="FINAL0722_BANK_HE1"/>
    <s v="BELUGA RIVER"/>
    <x v="6"/>
    <x v="1"/>
    <x v="92"/>
    <n v="66085.65625"/>
  </r>
  <r>
    <s v="FINAL0722_BANK_HE1"/>
    <s v="BELUGA RIVER"/>
    <x v="6"/>
    <x v="1"/>
    <x v="93"/>
    <n v="65507.9609375"/>
  </r>
  <r>
    <s v="FINAL0722_BANK_HE1"/>
    <s v="BELUGA RIVER"/>
    <x v="6"/>
    <x v="1"/>
    <x v="94"/>
    <n v="64935.31640625"/>
  </r>
  <r>
    <s v="FINAL0722_BANK_HE1"/>
    <s v="BELUGA RIVER"/>
    <x v="6"/>
    <x v="1"/>
    <x v="95"/>
    <n v="64367.67578125"/>
  </r>
  <r>
    <s v="FINAL0722_BANK_HE1"/>
    <s v="BELUGA RIVER"/>
    <x v="6"/>
    <x v="1"/>
    <x v="96"/>
    <n v="63805"/>
  </r>
  <r>
    <s v="FINAL0722_BANK_HE1"/>
    <s v="BELUGA RIVER"/>
    <x v="6"/>
    <x v="1"/>
    <x v="97"/>
    <n v="63247.2421875"/>
  </r>
  <r>
    <s v="FINAL0722_BANK_HE1"/>
    <s v="BELUGA RIVER"/>
    <x v="6"/>
    <x v="1"/>
    <x v="98"/>
    <n v="62694.359375"/>
  </r>
  <r>
    <s v="FINAL0722_BANK_HE1"/>
    <s v="BELUGA RIVER"/>
    <x v="6"/>
    <x v="1"/>
    <x v="99"/>
    <n v="62146.30859375"/>
  </r>
  <r>
    <s v="FINAL0722_BANK_HE1"/>
    <s v="BELUGA RIVER"/>
    <x v="6"/>
    <x v="1"/>
    <x v="100"/>
    <n v="61603.05078125"/>
  </r>
  <r>
    <s v="FINAL0722_BANK_HE1"/>
    <s v="BELUGA RIVER"/>
    <x v="6"/>
    <x v="1"/>
    <x v="101"/>
    <n v="61064.5390625"/>
  </r>
  <r>
    <s v="FINAL0722_BANK_HE1"/>
    <s v="BELUGA RIVER"/>
    <x v="6"/>
    <x v="1"/>
    <x v="102"/>
    <n v="60530.73828125"/>
  </r>
  <r>
    <s v="FINAL0722_BANK_HE1"/>
    <s v="BELUGA RIVER"/>
    <x v="6"/>
    <x v="1"/>
    <x v="103"/>
    <n v="60001.6015625"/>
  </r>
  <r>
    <s v="FINAL0722_BANK_HE1"/>
    <s v="BELUGA RIVER"/>
    <x v="6"/>
    <x v="1"/>
    <x v="104"/>
    <n v="59477.08984375"/>
  </r>
  <r>
    <s v="FINAL0722_BANK_HE1"/>
    <s v="BELUGA RIVER"/>
    <x v="6"/>
    <x v="1"/>
    <x v="105"/>
    <n v="58957.1640625"/>
  </r>
  <r>
    <s v="FINAL0722_BANK_HE1"/>
    <s v="BELUGA RIVER"/>
    <x v="6"/>
    <x v="1"/>
    <x v="106"/>
    <n v="58441.78515625"/>
  </r>
  <r>
    <s v="FINAL0722_BANK_HE1"/>
    <s v="BELUGA RIVER"/>
    <x v="6"/>
    <x v="1"/>
    <x v="107"/>
    <n v="57930.91015625"/>
  </r>
  <r>
    <s v="FINAL0722_BANK_HE1"/>
    <s v="BELUGA RIVER"/>
    <x v="6"/>
    <x v="1"/>
    <x v="108"/>
    <n v="57424.5"/>
  </r>
  <r>
    <s v="FINAL0722_BANK_HE1"/>
    <s v="BELUGA RIVER"/>
    <x v="6"/>
    <x v="1"/>
    <x v="109"/>
    <n v="56922.515625"/>
  </r>
  <r>
    <s v="FINAL0722_BANK_HE1"/>
    <s v="BELUGA RIVER"/>
    <x v="6"/>
    <x v="1"/>
    <x v="110"/>
    <n v="56424.921875"/>
  </r>
  <r>
    <s v="FINAL0722_BANK_HE1"/>
    <s v="BELUGA RIVER"/>
    <x v="6"/>
    <x v="1"/>
    <x v="111"/>
    <n v="55931.67578125"/>
  </r>
  <r>
    <s v="FINAL0722_BANK_HE1"/>
    <s v="BELUGA RIVER"/>
    <x v="6"/>
    <x v="1"/>
    <x v="112"/>
    <n v="55442.7421875"/>
  </r>
  <r>
    <s v="FINAL0722_BANK_HE1"/>
    <s v="BELUGA RIVER"/>
    <x v="6"/>
    <x v="1"/>
    <x v="113"/>
    <n v="54958.08203125"/>
  </r>
  <r>
    <s v="FINAL0722_BANK_HE1"/>
    <s v="BELUGA RIVER"/>
    <x v="6"/>
    <x v="1"/>
    <x v="114"/>
    <n v="54477.66015625"/>
  </r>
  <r>
    <s v="FINAL0722_BANK_HE1"/>
    <s v="BELUGA RIVER"/>
    <x v="6"/>
    <x v="1"/>
    <x v="115"/>
    <n v="54001.4375"/>
  </r>
  <r>
    <s v="FINAL0722_BANK_HE1"/>
    <s v="BELUGA RIVER"/>
    <x v="6"/>
    <x v="1"/>
    <x v="116"/>
    <n v="53529.37890625"/>
  </r>
  <r>
    <s v="FINAL0722_BANK_HE1"/>
    <s v="BELUGA RIVER"/>
    <x v="6"/>
    <x v="1"/>
    <x v="117"/>
    <n v="53061.4453125"/>
  </r>
  <r>
    <s v="FINAL0722_BANK_HE1"/>
    <s v="BELUGA RIVER"/>
    <x v="6"/>
    <x v="1"/>
    <x v="118"/>
    <n v="52597.6015625"/>
  </r>
  <r>
    <s v="FINAL0722_BANK_HE1"/>
    <s v="BELUGA RIVER"/>
    <x v="6"/>
    <x v="1"/>
    <x v="119"/>
    <n v="52137.8125"/>
  </r>
  <r>
    <s v="FINAL0722_BANK_HE1"/>
    <s v="BELUGA RIVER"/>
    <x v="6"/>
    <x v="1"/>
    <x v="120"/>
    <n v="51682.04296875"/>
  </r>
  <r>
    <s v="FINAL0722_BANK_HE1"/>
    <s v="BELUGA RIVER"/>
    <x v="6"/>
    <x v="1"/>
    <x v="121"/>
    <n v="51230.2578125"/>
  </r>
  <r>
    <s v="FINAL0722_BANK_HE1"/>
    <s v="BELUGA RIVER"/>
    <x v="6"/>
    <x v="1"/>
    <x v="122"/>
    <n v="50782.421875"/>
  </r>
  <r>
    <s v="FINAL0722_BANK_HE1"/>
    <s v="BELUGA RIVER"/>
    <x v="6"/>
    <x v="1"/>
    <x v="123"/>
    <n v="50338.5"/>
  </r>
  <r>
    <s v="FINAL0722_BANK_HE1"/>
    <s v="BELUGA RIVER"/>
    <x v="6"/>
    <x v="1"/>
    <x v="124"/>
    <n v="49898.4609375"/>
  </r>
  <r>
    <s v="FINAL0722_BANK_HE1"/>
    <s v="BELUGA RIVER"/>
    <x v="6"/>
    <x v="1"/>
    <x v="125"/>
    <n v="49462.26953125"/>
  </r>
  <r>
    <s v="FINAL0722_BANK_HE1"/>
    <s v="BELUGA RIVER"/>
    <x v="6"/>
    <x v="1"/>
    <x v="126"/>
    <n v="49029.890625"/>
  </r>
  <r>
    <s v="FINAL0722_BANK_HE1"/>
    <s v="BELUGA RIVER"/>
    <x v="6"/>
    <x v="1"/>
    <x v="127"/>
    <n v="48601.2890625"/>
  </r>
  <r>
    <s v="FINAL0722_BANK_HE1"/>
    <s v="BELUGA RIVER"/>
    <x v="6"/>
    <x v="1"/>
    <x v="128"/>
    <n v="48176.43359375"/>
  </r>
  <r>
    <s v="FINAL0722_BANK_HE1"/>
    <s v="BELUGA RIVER"/>
    <x v="6"/>
    <x v="1"/>
    <x v="129"/>
    <n v="47755.29296875"/>
  </r>
  <r>
    <s v="FINAL0722_BANK_HE1"/>
    <s v="BELUGA RIVER"/>
    <x v="6"/>
    <x v="1"/>
    <x v="130"/>
    <n v="47337.8359375"/>
  </r>
  <r>
    <s v="FINAL0722_BANK_HE1"/>
    <s v="BELUGA RIVER"/>
    <x v="6"/>
    <x v="1"/>
    <x v="131"/>
    <n v="46924.02734375"/>
  </r>
  <r>
    <s v="FINAL0722_BANK_HE1"/>
    <s v="BELUGA RIVER"/>
    <x v="6"/>
    <x v="1"/>
    <x v="132"/>
    <n v="46513.8359375"/>
  </r>
  <r>
    <s v="FINAL0722_BANK_HE1"/>
    <s v="BELUGA RIVER"/>
    <x v="6"/>
    <x v="1"/>
    <x v="133"/>
    <n v="46107.23046875"/>
  </r>
  <r>
    <s v="FINAL0722_BANK_HE1"/>
    <s v="BELUGA RIVER"/>
    <x v="6"/>
    <x v="1"/>
    <x v="134"/>
    <n v="45704.1796875"/>
  </r>
  <r>
    <s v="FINAL0722_BANK_HE1"/>
    <s v="BELUGA RIVER"/>
    <x v="6"/>
    <x v="1"/>
    <x v="135"/>
    <n v="45304.65234375"/>
  </r>
  <r>
    <s v="FINAL0722_BANK_HE1"/>
    <s v="BELUGA RIVER"/>
    <x v="6"/>
    <x v="1"/>
    <x v="136"/>
    <n v="44908.6171875"/>
  </r>
  <r>
    <s v="FINAL0722_BANK_HE1"/>
    <s v="BELUGA RIVER"/>
    <x v="6"/>
    <x v="1"/>
    <x v="137"/>
    <n v="44516.04296875"/>
  </r>
  <r>
    <s v="FINAL0722_BANK_HE1"/>
    <s v="BELUGA RIVER"/>
    <x v="6"/>
    <x v="1"/>
    <x v="138"/>
    <n v="44126.90234375"/>
  </r>
  <r>
    <s v="FINAL0722_BANK_HE1"/>
    <s v="BELUGA RIVER"/>
    <x v="6"/>
    <x v="1"/>
    <x v="139"/>
    <n v="43741.1640625"/>
  </r>
  <r>
    <s v="FINAL0722_BANK_HE1"/>
    <s v="BELUGA RIVER"/>
    <x v="6"/>
    <x v="1"/>
    <x v="140"/>
    <n v="43358.796875"/>
  </r>
  <r>
    <s v="FINAL0722_BANK_HE1"/>
    <s v="BELUGA RIVER"/>
    <x v="6"/>
    <x v="1"/>
    <x v="141"/>
    <n v="42979.76953125"/>
  </r>
  <r>
    <s v="FINAL0722_BANK_HE1"/>
    <s v="BELUGA RIVER"/>
    <x v="6"/>
    <x v="1"/>
    <x v="142"/>
    <n v="42604.05859375"/>
  </r>
  <r>
    <s v="FINAL0722_BANK_HE1"/>
    <s v="BELUGA RIVER"/>
    <x v="6"/>
    <x v="1"/>
    <x v="143"/>
    <n v="42231.62890625"/>
  </r>
  <r>
    <s v="FINAL0722_BANK_HE1"/>
    <s v="BELUGA RIVER"/>
    <x v="6"/>
    <x v="1"/>
    <x v="144"/>
    <n v="41862.45703125"/>
  </r>
  <r>
    <s v="FINAL0722_BANK_HE1"/>
    <s v="BELUGA RIVER"/>
    <x v="6"/>
    <x v="1"/>
    <x v="145"/>
    <n v="41496.51171875"/>
  </r>
  <r>
    <s v="FINAL0722_BANK_HE1"/>
    <s v="BELUGA RIVER"/>
    <x v="6"/>
    <x v="1"/>
    <x v="146"/>
    <n v="41133.765625"/>
  </r>
  <r>
    <s v="FINAL0722_BANK_HE1"/>
    <s v="BELUGA RIVER"/>
    <x v="6"/>
    <x v="1"/>
    <x v="147"/>
    <n v="40774.19140625"/>
  </r>
  <r>
    <s v="FINAL0722_BANK_HE1"/>
    <s v="BELUGA RIVER"/>
    <x v="6"/>
    <x v="1"/>
    <x v="148"/>
    <n v="40417.7578125"/>
  </r>
  <r>
    <s v="FINAL0722_BANK_HE1"/>
    <s v="BELUGA RIVER"/>
    <x v="6"/>
    <x v="1"/>
    <x v="149"/>
    <n v="40064.44140625"/>
  </r>
  <r>
    <s v="FINAL0722_BANK_HE1"/>
    <s v="BELUGA RIVER"/>
    <x v="6"/>
    <x v="1"/>
    <x v="150"/>
    <n v="39714.21484375"/>
  </r>
  <r>
    <s v="FINAL0722_BANK_HE1"/>
    <s v="BELUGA RIVER"/>
    <x v="6"/>
    <x v="1"/>
    <x v="151"/>
    <n v="39367.046875"/>
  </r>
  <r>
    <s v="FINAL0722_BANK_HE1"/>
    <s v="BELUGA RIVER"/>
    <x v="6"/>
    <x v="1"/>
    <x v="152"/>
    <n v="39022.9140625"/>
  </r>
  <r>
    <s v="FINAL0722_BANK_HE1"/>
    <s v="BELUGA RIVER"/>
    <x v="6"/>
    <x v="1"/>
    <x v="153"/>
    <n v="38681.7890625"/>
  </r>
  <r>
    <s v="FINAL0722_BANK_HE1"/>
    <s v="BELUGA RIVER"/>
    <x v="6"/>
    <x v="1"/>
    <x v="154"/>
    <n v="38343.6484375"/>
  </r>
  <r>
    <s v="FINAL0722_BANK_HE1"/>
    <s v="BELUGA RIVER"/>
    <x v="6"/>
    <x v="1"/>
    <x v="155"/>
    <n v="38008.46484375"/>
  </r>
  <r>
    <s v="FINAL0722_BANK_HE1"/>
    <s v="BELUGA RIVER"/>
    <x v="6"/>
    <x v="1"/>
    <x v="156"/>
    <n v="37676.2109375"/>
  </r>
  <r>
    <s v="FINAL0722_BANK_HE1"/>
    <s v="BELUGA RIVER"/>
    <x v="6"/>
    <x v="1"/>
    <x v="157"/>
    <n v="37346.859375"/>
  </r>
  <r>
    <s v="FINAL0722_BANK_HE1"/>
    <s v="BELUGA RIVER"/>
    <x v="6"/>
    <x v="1"/>
    <x v="158"/>
    <n v="37020.38671875"/>
  </r>
  <r>
    <s v="FINAL0722_BANK_HE1"/>
    <s v="BELUGA RIVER"/>
    <x v="6"/>
    <x v="1"/>
    <x v="159"/>
    <n v="36696.76953125"/>
  </r>
  <r>
    <s v="FINAL0722_BANK_HE1"/>
    <s v="BELUGA RIVER"/>
    <x v="6"/>
    <x v="1"/>
    <x v="160"/>
    <n v="36375.98046875"/>
  </r>
  <r>
    <s v="FINAL0722_BANK_HE1"/>
    <s v="BELUGA RIVER"/>
    <x v="6"/>
    <x v="1"/>
    <x v="161"/>
    <n v="36057.99609375"/>
  </r>
  <r>
    <s v="FINAL0722_BANK_HE1"/>
    <s v="BELUGA RIVER"/>
    <x v="7"/>
    <x v="0"/>
    <x v="0"/>
    <n v="95712.5078125"/>
  </r>
  <r>
    <s v="FINAL0722_BANK_HE1"/>
    <s v="BELUGA RIVER"/>
    <x v="7"/>
    <x v="0"/>
    <x v="1"/>
    <n v="94237.8125"/>
  </r>
  <r>
    <s v="FINAL0722_BANK_HE1"/>
    <s v="BELUGA RIVER"/>
    <x v="7"/>
    <x v="0"/>
    <x v="2"/>
    <n v="92785.84375"/>
  </r>
  <r>
    <s v="FINAL0722_BANK_HE1"/>
    <s v="BELUGA RIVER"/>
    <x v="7"/>
    <x v="0"/>
    <x v="3"/>
    <n v="91356.2421875"/>
  </r>
  <r>
    <s v="FINAL0722_BANK_HE1"/>
    <s v="BELUGA RIVER"/>
    <x v="7"/>
    <x v="0"/>
    <x v="4"/>
    <n v="89948.6640625"/>
  </r>
  <r>
    <s v="FINAL0722_BANK_HE1"/>
    <s v="BELUGA RIVER"/>
    <x v="7"/>
    <x v="0"/>
    <x v="5"/>
    <n v="88562.7734375"/>
  </r>
  <r>
    <s v="FINAL0722_BANK_HE1"/>
    <s v="BELUGA RIVER"/>
    <x v="7"/>
    <x v="0"/>
    <x v="6"/>
    <n v="87198.2421875"/>
  </r>
  <r>
    <s v="FINAL0722_BANK_HE1"/>
    <s v="BELUGA RIVER"/>
    <x v="7"/>
    <x v="0"/>
    <x v="7"/>
    <n v="85854.734375"/>
  </r>
  <r>
    <s v="FINAL0722_BANK_HE1"/>
    <s v="BELUGA RIVER"/>
    <x v="7"/>
    <x v="0"/>
    <x v="8"/>
    <n v="84531.921875"/>
  </r>
  <r>
    <s v="FINAL0722_BANK_HE1"/>
    <s v="BELUGA RIVER"/>
    <x v="7"/>
    <x v="0"/>
    <x v="9"/>
    <n v="83229.4921875"/>
  </r>
  <r>
    <s v="FINAL0722_BANK_HE1"/>
    <s v="BELUGA RIVER"/>
    <x v="7"/>
    <x v="0"/>
    <x v="10"/>
    <n v="81947.1328125"/>
  </r>
  <r>
    <s v="FINAL0722_BANK_HE1"/>
    <s v="BELUGA RIVER"/>
    <x v="7"/>
    <x v="0"/>
    <x v="11"/>
    <n v="80684.53125"/>
  </r>
  <r>
    <s v="FINAL0722_BANK_HE1"/>
    <s v="BELUGA RIVER"/>
    <x v="7"/>
    <x v="0"/>
    <x v="12"/>
    <n v="79441.3828125"/>
  </r>
  <r>
    <s v="FINAL0722_BANK_HE1"/>
    <s v="BELUGA RIVER"/>
    <x v="7"/>
    <x v="0"/>
    <x v="13"/>
    <n v="78217.390625"/>
  </r>
  <r>
    <s v="FINAL0722_BANK_HE1"/>
    <s v="BELUGA RIVER"/>
    <x v="7"/>
    <x v="0"/>
    <x v="14"/>
    <n v="77012.25"/>
  </r>
  <r>
    <s v="FINAL0722_BANK_HE1"/>
    <s v="BELUGA RIVER"/>
    <x v="7"/>
    <x v="0"/>
    <x v="15"/>
    <n v="75825.6796875"/>
  </r>
  <r>
    <s v="FINAL0722_BANK_HE1"/>
    <s v="BELUGA RIVER"/>
    <x v="7"/>
    <x v="0"/>
    <x v="16"/>
    <n v="74657.390625"/>
  </r>
  <r>
    <s v="FINAL0722_BANK_HE1"/>
    <s v="BELUGA RIVER"/>
    <x v="7"/>
    <x v="0"/>
    <x v="17"/>
    <n v="73507.1015625"/>
  </r>
  <r>
    <s v="FINAL0722_BANK_HE1"/>
    <s v="BELUGA RIVER"/>
    <x v="7"/>
    <x v="0"/>
    <x v="18"/>
    <n v="72374.5390625"/>
  </r>
  <r>
    <s v="FINAL0722_BANK_HE1"/>
    <s v="BELUGA RIVER"/>
    <x v="7"/>
    <x v="0"/>
    <x v="19"/>
    <n v="71259.4296875"/>
  </r>
  <r>
    <s v="FINAL0722_BANK_HE1"/>
    <s v="BELUGA RIVER"/>
    <x v="7"/>
    <x v="0"/>
    <x v="20"/>
    <n v="70161.5"/>
  </r>
  <r>
    <s v="FINAL0722_BANK_HE1"/>
    <s v="BELUGA RIVER"/>
    <x v="7"/>
    <x v="0"/>
    <x v="21"/>
    <n v="69080.484375"/>
  </r>
  <r>
    <s v="FINAL0722_BANK_HE1"/>
    <s v="BELUGA RIVER"/>
    <x v="7"/>
    <x v="0"/>
    <x v="22"/>
    <n v="68016.125"/>
  </r>
  <r>
    <s v="FINAL0722_BANK_HE1"/>
    <s v="BELUGA RIVER"/>
    <x v="7"/>
    <x v="0"/>
    <x v="23"/>
    <n v="66968.1640625"/>
  </r>
  <r>
    <s v="FINAL0722_BANK_HE1"/>
    <s v="BELUGA RIVER"/>
    <x v="7"/>
    <x v="0"/>
    <x v="24"/>
    <n v="65936.3515625"/>
  </r>
  <r>
    <s v="FINAL0722_BANK_HE1"/>
    <s v="BELUGA RIVER"/>
    <x v="7"/>
    <x v="0"/>
    <x v="25"/>
    <n v="64920.43359375"/>
  </r>
  <r>
    <s v="FINAL0722_BANK_HE1"/>
    <s v="BELUGA RIVER"/>
    <x v="7"/>
    <x v="0"/>
    <x v="26"/>
    <n v="63920.16796875"/>
  </r>
  <r>
    <s v="FINAL0722_BANK_HE1"/>
    <s v="BELUGA RIVER"/>
    <x v="7"/>
    <x v="0"/>
    <x v="27"/>
    <n v="62935.31640625"/>
  </r>
  <r>
    <s v="FINAL0722_BANK_HE1"/>
    <s v="BELUGA RIVER"/>
    <x v="7"/>
    <x v="0"/>
    <x v="28"/>
    <n v="61965.63671875"/>
  </r>
  <r>
    <s v="FINAL0722_BANK_HE1"/>
    <s v="BELUGA RIVER"/>
    <x v="7"/>
    <x v="0"/>
    <x v="29"/>
    <n v="61010.8984375"/>
  </r>
  <r>
    <s v="FINAL0722_BANK_HE1"/>
    <s v="BELUGA RIVER"/>
    <x v="7"/>
    <x v="0"/>
    <x v="30"/>
    <n v="60070.87109375"/>
  </r>
  <r>
    <s v="FINAL0722_BANK_HE1"/>
    <s v="BELUGA RIVER"/>
    <x v="7"/>
    <x v="0"/>
    <x v="31"/>
    <n v="59145.328125"/>
  </r>
  <r>
    <s v="FINAL0722_BANK_HE1"/>
    <s v="BELUGA RIVER"/>
    <x v="7"/>
    <x v="0"/>
    <x v="32"/>
    <n v="58234.04296875"/>
  </r>
  <r>
    <s v="FINAL0722_BANK_HE1"/>
    <s v="BELUGA RIVER"/>
    <x v="7"/>
    <x v="0"/>
    <x v="33"/>
    <n v="57336.80078125"/>
  </r>
  <r>
    <s v="FINAL0722_BANK_HE1"/>
    <s v="BELUGA RIVER"/>
    <x v="7"/>
    <x v="0"/>
    <x v="34"/>
    <n v="56453.3828125"/>
  </r>
  <r>
    <s v="FINAL0722_BANK_HE1"/>
    <s v="BELUGA RIVER"/>
    <x v="7"/>
    <x v="0"/>
    <x v="35"/>
    <n v="55583.57421875"/>
  </r>
  <r>
    <s v="FINAL0722_BANK_HE1"/>
    <s v="BELUGA RIVER"/>
    <x v="7"/>
    <x v="0"/>
    <x v="36"/>
    <n v="54727.16796875"/>
  </r>
  <r>
    <s v="FINAL0722_BANK_HE1"/>
    <s v="BELUGA RIVER"/>
    <x v="7"/>
    <x v="0"/>
    <x v="37"/>
    <n v="53883.95703125"/>
  </r>
  <r>
    <s v="FINAL0722_BANK_HE1"/>
    <s v="BELUGA RIVER"/>
    <x v="7"/>
    <x v="0"/>
    <x v="38"/>
    <n v="53053.73828125"/>
  </r>
  <r>
    <s v="FINAL0722_BANK_HE1"/>
    <s v="BELUGA RIVER"/>
    <x v="7"/>
    <x v="0"/>
    <x v="39"/>
    <n v="52236.3125"/>
  </r>
  <r>
    <s v="FINAL0722_BANK_HE1"/>
    <s v="BELUGA RIVER"/>
    <x v="7"/>
    <x v="0"/>
    <x v="40"/>
    <n v="51431.48046875"/>
  </r>
  <r>
    <s v="FINAL0722_BANK_HE1"/>
    <s v="BELUGA RIVER"/>
    <x v="7"/>
    <x v="0"/>
    <x v="41"/>
    <n v="50639.046875"/>
  </r>
  <r>
    <s v="FINAL0722_BANK_HE1"/>
    <s v="BELUGA RIVER"/>
    <x v="7"/>
    <x v="0"/>
    <x v="42"/>
    <n v="49858.82421875"/>
  </r>
  <r>
    <s v="FINAL0722_BANK_HE1"/>
    <s v="BELUGA RIVER"/>
    <x v="7"/>
    <x v="0"/>
    <x v="43"/>
    <n v="49090.62109375"/>
  </r>
  <r>
    <s v="FINAL0722_BANK_HE1"/>
    <s v="BELUGA RIVER"/>
    <x v="7"/>
    <x v="0"/>
    <x v="44"/>
    <n v="48334.25390625"/>
  </r>
  <r>
    <s v="FINAL0722_BANK_HE1"/>
    <s v="BELUGA RIVER"/>
    <x v="7"/>
    <x v="0"/>
    <x v="45"/>
    <n v="47589.54296875"/>
  </r>
  <r>
    <s v="FINAL0722_BANK_HE1"/>
    <s v="BELUGA RIVER"/>
    <x v="7"/>
    <x v="0"/>
    <x v="46"/>
    <n v="46856.3046875"/>
  </r>
  <r>
    <s v="FINAL0722_BANK_HE1"/>
    <s v="BELUGA RIVER"/>
    <x v="7"/>
    <x v="0"/>
    <x v="47"/>
    <n v="46134.36328125"/>
  </r>
  <r>
    <s v="FINAL0722_BANK_HE1"/>
    <s v="BELUGA RIVER"/>
    <x v="7"/>
    <x v="0"/>
    <x v="48"/>
    <n v="45423.546875"/>
  </r>
  <r>
    <s v="FINAL0722_BANK_HE1"/>
    <s v="BELUGA RIVER"/>
    <x v="7"/>
    <x v="0"/>
    <x v="49"/>
    <n v="44723.68359375"/>
  </r>
  <r>
    <s v="FINAL0722_BANK_HE1"/>
    <s v="BELUGA RIVER"/>
    <x v="7"/>
    <x v="0"/>
    <x v="50"/>
    <n v="44034.6015625"/>
  </r>
  <r>
    <s v="FINAL0722_BANK_HE1"/>
    <s v="BELUGA RIVER"/>
    <x v="7"/>
    <x v="0"/>
    <x v="51"/>
    <n v="43356.13671875"/>
  </r>
  <r>
    <s v="FINAL0722_BANK_HE1"/>
    <s v="BELUGA RIVER"/>
    <x v="7"/>
    <x v="0"/>
    <x v="52"/>
    <n v="42688.125"/>
  </r>
  <r>
    <s v="FINAL0722_BANK_HE1"/>
    <s v="BELUGA RIVER"/>
    <x v="7"/>
    <x v="0"/>
    <x v="53"/>
    <n v="42030.40625"/>
  </r>
  <r>
    <s v="FINAL0722_BANK_HE1"/>
    <s v="BELUGA RIVER"/>
    <x v="7"/>
    <x v="0"/>
    <x v="54"/>
    <n v="41382.8203125"/>
  </r>
  <r>
    <s v="FINAL0722_BANK_HE1"/>
    <s v="BELUGA RIVER"/>
    <x v="7"/>
    <x v="0"/>
    <x v="55"/>
    <n v="40745.21484375"/>
  </r>
  <r>
    <s v="FINAL0722_BANK_HE1"/>
    <s v="BELUGA RIVER"/>
    <x v="7"/>
    <x v="0"/>
    <x v="56"/>
    <n v="40117.4296875"/>
  </r>
  <r>
    <s v="FINAL0722_BANK_HE1"/>
    <s v="BELUGA RIVER"/>
    <x v="7"/>
    <x v="0"/>
    <x v="57"/>
    <n v="39499.3203125"/>
  </r>
  <r>
    <s v="FINAL0722_BANK_HE1"/>
    <s v="BELUGA RIVER"/>
    <x v="7"/>
    <x v="0"/>
    <x v="58"/>
    <n v="38890.734375"/>
  </r>
  <r>
    <s v="FINAL0722_BANK_HE1"/>
    <s v="BELUGA RIVER"/>
    <x v="7"/>
    <x v="0"/>
    <x v="59"/>
    <n v="38291.5234375"/>
  </r>
  <r>
    <s v="FINAL0722_BANK_HE1"/>
    <s v="BELUGA RIVER"/>
    <x v="7"/>
    <x v="0"/>
    <x v="60"/>
    <n v="37701.546875"/>
  </r>
  <r>
    <s v="FINAL0722_BANK_HE1"/>
    <s v="BELUGA RIVER"/>
    <x v="7"/>
    <x v="0"/>
    <x v="61"/>
    <n v="37120.66015625"/>
  </r>
  <r>
    <s v="FINAL0722_BANK_HE1"/>
    <s v="BELUGA RIVER"/>
    <x v="7"/>
    <x v="0"/>
    <x v="62"/>
    <n v="36548.72265625"/>
  </r>
  <r>
    <s v="FINAL0722_BANK_HE1"/>
    <s v="BELUGA RIVER"/>
    <x v="7"/>
    <x v="0"/>
    <x v="63"/>
    <n v="35985.59765625"/>
  </r>
  <r>
    <s v="FINAL0722_BANK_HE1"/>
    <s v="BELUGA RIVER"/>
    <x v="7"/>
    <x v="0"/>
    <x v="64"/>
    <n v="35431.1484375"/>
  </r>
  <r>
    <s v="FINAL0722_BANK_HE1"/>
    <s v="BELUGA RIVER"/>
    <x v="7"/>
    <x v="0"/>
    <x v="65"/>
    <n v="34885.2421875"/>
  </r>
  <r>
    <s v="FINAL0722_BANK_HE1"/>
    <s v="BELUGA RIVER"/>
    <x v="7"/>
    <x v="0"/>
    <x v="66"/>
    <n v="34347.74609375"/>
  </r>
  <r>
    <s v="FINAL0722_BANK_HE1"/>
    <s v="BELUGA RIVER"/>
    <x v="7"/>
    <x v="0"/>
    <x v="67"/>
    <n v="33818.53125"/>
  </r>
  <r>
    <s v="FINAL0722_BANK_HE1"/>
    <s v="BELUGA RIVER"/>
    <x v="7"/>
    <x v="0"/>
    <x v="68"/>
    <n v="33297.47265625"/>
  </r>
  <r>
    <s v="FINAL0722_BANK_HE1"/>
    <s v="BELUGA RIVER"/>
    <x v="7"/>
    <x v="0"/>
    <x v="69"/>
    <n v="32784.44140625"/>
  </r>
  <r>
    <s v="FINAL0722_BANK_HE1"/>
    <s v="BELUGA RIVER"/>
    <x v="7"/>
    <x v="0"/>
    <x v="70"/>
    <n v="32279.314453125"/>
  </r>
  <r>
    <s v="FINAL0722_BANK_HE1"/>
    <s v="BELUGA RIVER"/>
    <x v="7"/>
    <x v="0"/>
    <x v="71"/>
    <n v="31781.970703125"/>
  </r>
  <r>
    <s v="FINAL0722_BANK_HE1"/>
    <s v="BELUGA RIVER"/>
    <x v="7"/>
    <x v="0"/>
    <x v="72"/>
    <n v="31292.2890625"/>
  </r>
  <r>
    <s v="FINAL0722_BANK_HE1"/>
    <s v="BELUGA RIVER"/>
    <x v="7"/>
    <x v="0"/>
    <x v="73"/>
    <n v="30810.15234375"/>
  </r>
  <r>
    <s v="FINAL0722_BANK_HE1"/>
    <s v="BELUGA RIVER"/>
    <x v="7"/>
    <x v="0"/>
    <x v="74"/>
    <n v="30335.443359375"/>
  </r>
  <r>
    <s v="FINAL0722_BANK_HE1"/>
    <s v="BELUGA RIVER"/>
    <x v="7"/>
    <x v="0"/>
    <x v="75"/>
    <n v="29868.048828125"/>
  </r>
  <r>
    <s v="FINAL0722_BANK_HE1"/>
    <s v="BELUGA RIVER"/>
    <x v="7"/>
    <x v="0"/>
    <x v="76"/>
    <n v="29407.85546875"/>
  </r>
  <r>
    <s v="FINAL0722_BANK_HE1"/>
    <s v="BELUGA RIVER"/>
    <x v="7"/>
    <x v="0"/>
    <x v="77"/>
    <n v="28954.751953125"/>
  </r>
  <r>
    <s v="FINAL0722_BANK_HE1"/>
    <s v="BELUGA RIVER"/>
    <x v="7"/>
    <x v="0"/>
    <x v="78"/>
    <n v="28508.630859375"/>
  </r>
  <r>
    <s v="FINAL0722_BANK_HE1"/>
    <s v="BELUGA RIVER"/>
    <x v="7"/>
    <x v="0"/>
    <x v="79"/>
    <n v="28069.3828125"/>
  </r>
  <r>
    <s v="FINAL0722_BANK_HE1"/>
    <s v="BELUGA RIVER"/>
    <x v="7"/>
    <x v="0"/>
    <x v="80"/>
    <n v="27636.90234375"/>
  </r>
  <r>
    <s v="FINAL0722_BANK_HE1"/>
    <s v="BELUGA RIVER"/>
    <x v="7"/>
    <x v="0"/>
    <x v="81"/>
    <n v="27211.0859375"/>
  </r>
  <r>
    <s v="FINAL0722_BANK_HE1"/>
    <s v="BELUGA RIVER"/>
    <x v="7"/>
    <x v="0"/>
    <x v="82"/>
    <n v="26791.830078125"/>
  </r>
  <r>
    <s v="FINAL0722_BANK_HE1"/>
    <s v="BELUGA RIVER"/>
    <x v="7"/>
    <x v="0"/>
    <x v="83"/>
    <n v="26379.033203125"/>
  </r>
  <r>
    <s v="FINAL0722_BANK_HE1"/>
    <s v="BELUGA RIVER"/>
    <x v="7"/>
    <x v="0"/>
    <x v="84"/>
    <n v="25972.59765625"/>
  </r>
  <r>
    <s v="FINAL0722_BANK_HE1"/>
    <s v="BELUGA RIVER"/>
    <x v="7"/>
    <x v="0"/>
    <x v="85"/>
    <n v="25572.423828125"/>
  </r>
  <r>
    <s v="FINAL0722_BANK_HE1"/>
    <s v="BELUGA RIVER"/>
    <x v="7"/>
    <x v="0"/>
    <x v="86"/>
    <n v="25178.416015625"/>
  </r>
  <r>
    <s v="FINAL0722_BANK_HE1"/>
    <s v="BELUGA RIVER"/>
    <x v="7"/>
    <x v="0"/>
    <x v="87"/>
    <n v="24790.478515625"/>
  </r>
  <r>
    <s v="FINAL0722_BANK_HE1"/>
    <s v="BELUGA RIVER"/>
    <x v="7"/>
    <x v="0"/>
    <x v="88"/>
    <n v="24408.517578125"/>
  </r>
  <r>
    <s v="FINAL0722_BANK_HE1"/>
    <s v="BELUGA RIVER"/>
    <x v="7"/>
    <x v="0"/>
    <x v="89"/>
    <n v="24032.443359375"/>
  </r>
  <r>
    <s v="FINAL0722_BANK_HE1"/>
    <s v="BELUGA RIVER"/>
    <x v="7"/>
    <x v="0"/>
    <x v="90"/>
    <n v="23662.162109375"/>
  </r>
  <r>
    <s v="FINAL0722_BANK_HE1"/>
    <s v="BELUGA RIVER"/>
    <x v="7"/>
    <x v="0"/>
    <x v="91"/>
    <n v="23297.5859375"/>
  </r>
  <r>
    <s v="FINAL0722_BANK_HE1"/>
    <s v="BELUGA RIVER"/>
    <x v="7"/>
    <x v="0"/>
    <x v="92"/>
    <n v="22938.626953125"/>
  </r>
  <r>
    <s v="FINAL0722_BANK_HE1"/>
    <s v="BELUGA RIVER"/>
    <x v="7"/>
    <x v="0"/>
    <x v="93"/>
    <n v="22585.19921875"/>
  </r>
  <r>
    <s v="FINAL0722_BANK_HE1"/>
    <s v="BELUGA RIVER"/>
    <x v="7"/>
    <x v="0"/>
    <x v="94"/>
    <n v="22237.216796875"/>
  </r>
  <r>
    <s v="FINAL0722_BANK_HE1"/>
    <s v="BELUGA RIVER"/>
    <x v="7"/>
    <x v="0"/>
    <x v="95"/>
    <n v="21894.595703125"/>
  </r>
  <r>
    <s v="FINAL0722_BANK_HE1"/>
    <s v="BELUGA RIVER"/>
    <x v="7"/>
    <x v="0"/>
    <x v="96"/>
    <n v="21557.25390625"/>
  </r>
  <r>
    <s v="FINAL0722_BANK_HE1"/>
    <s v="BELUGA RIVER"/>
    <x v="7"/>
    <x v="0"/>
    <x v="97"/>
    <n v="21225.109375"/>
  </r>
  <r>
    <s v="FINAL0722_BANK_HE1"/>
    <s v="BELUGA RIVER"/>
    <x v="7"/>
    <x v="0"/>
    <x v="98"/>
    <n v="20898.08203125"/>
  </r>
  <r>
    <s v="FINAL0722_BANK_HE1"/>
    <s v="BELUGA RIVER"/>
    <x v="7"/>
    <x v="0"/>
    <x v="99"/>
    <n v="20576.09375"/>
  </r>
  <r>
    <s v="FINAL0722_BANK_HE1"/>
    <s v="BELUGA RIVER"/>
    <x v="7"/>
    <x v="0"/>
    <x v="100"/>
    <n v="20259.06640625"/>
  </r>
  <r>
    <s v="FINAL0722_BANK_HE1"/>
    <s v="BELUGA RIVER"/>
    <x v="7"/>
    <x v="0"/>
    <x v="101"/>
    <n v="19946.923828125"/>
  </r>
  <r>
    <s v="FINAL0722_BANK_HE1"/>
    <s v="BELUGA RIVER"/>
    <x v="7"/>
    <x v="0"/>
    <x v="102"/>
    <n v="19639.591796875"/>
  </r>
  <r>
    <s v="FINAL0722_BANK_HE1"/>
    <s v="BELUGA RIVER"/>
    <x v="7"/>
    <x v="0"/>
    <x v="103"/>
    <n v="19336.994140625"/>
  </r>
  <r>
    <s v="FINAL0722_BANK_HE1"/>
    <s v="BELUGA RIVER"/>
    <x v="7"/>
    <x v="0"/>
    <x v="104"/>
    <n v="19039.05859375"/>
  </r>
  <r>
    <s v="FINAL0722_BANK_HE1"/>
    <s v="BELUGA RIVER"/>
    <x v="7"/>
    <x v="0"/>
    <x v="105"/>
    <n v="18745.712890625"/>
  </r>
  <r>
    <s v="FINAL0722_BANK_HE1"/>
    <s v="BELUGA RIVER"/>
    <x v="7"/>
    <x v="0"/>
    <x v="106"/>
    <n v="18456.88671875"/>
  </r>
  <r>
    <s v="FINAL0722_BANK_HE1"/>
    <s v="BELUGA RIVER"/>
    <x v="7"/>
    <x v="0"/>
    <x v="107"/>
    <n v="18172.51171875"/>
  </r>
  <r>
    <s v="FINAL0722_BANK_HE1"/>
    <s v="BELUGA RIVER"/>
    <x v="7"/>
    <x v="0"/>
    <x v="108"/>
    <n v="17892.517578125"/>
  </r>
  <r>
    <s v="FINAL0722_BANK_HE1"/>
    <s v="BELUGA RIVER"/>
    <x v="7"/>
    <x v="0"/>
    <x v="109"/>
    <n v="17616.837890625"/>
  </r>
  <r>
    <s v="FINAL0722_BANK_HE1"/>
    <s v="BELUGA RIVER"/>
    <x v="7"/>
    <x v="0"/>
    <x v="110"/>
    <n v="17345.40625"/>
  </r>
  <r>
    <s v="FINAL0722_BANK_HE1"/>
    <s v="BELUGA RIVER"/>
    <x v="7"/>
    <x v="0"/>
    <x v="111"/>
    <n v="17078.15625"/>
  </r>
  <r>
    <s v="FINAL0722_BANK_HE1"/>
    <s v="BELUGA RIVER"/>
    <x v="7"/>
    <x v="0"/>
    <x v="112"/>
    <n v="16815.0234375"/>
  </r>
  <r>
    <s v="FINAL0722_BANK_HE1"/>
    <s v="BELUGA RIVER"/>
    <x v="7"/>
    <x v="0"/>
    <x v="113"/>
    <n v="16555.9453125"/>
  </r>
  <r>
    <s v="FINAL0722_BANK_HE1"/>
    <s v="BELUGA RIVER"/>
    <x v="7"/>
    <x v="0"/>
    <x v="114"/>
    <n v="16300.859375"/>
  </r>
  <r>
    <s v="FINAL0722_BANK_HE1"/>
    <s v="BELUGA RIVER"/>
    <x v="7"/>
    <x v="0"/>
    <x v="115"/>
    <n v="16049.703125"/>
  </r>
  <r>
    <s v="FINAL0722_BANK_HE1"/>
    <s v="BELUGA RIVER"/>
    <x v="7"/>
    <x v="0"/>
    <x v="116"/>
    <n v="15802.4169921875"/>
  </r>
  <r>
    <s v="FINAL0722_BANK_HE1"/>
    <s v="BELUGA RIVER"/>
    <x v="7"/>
    <x v="0"/>
    <x v="117"/>
    <n v="15558.9404296875"/>
  </r>
  <r>
    <s v="FINAL0722_BANK_HE1"/>
    <s v="BELUGA RIVER"/>
    <x v="7"/>
    <x v="0"/>
    <x v="118"/>
    <n v="15319.2158203125"/>
  </r>
  <r>
    <s v="FINAL0722_BANK_HE1"/>
    <s v="BELUGA RIVER"/>
    <x v="7"/>
    <x v="0"/>
    <x v="119"/>
    <n v="15083.1845703125"/>
  </r>
  <r>
    <s v="FINAL0722_BANK_HE1"/>
    <s v="BELUGA RIVER"/>
    <x v="7"/>
    <x v="0"/>
    <x v="120"/>
    <n v="14850.7900390625"/>
  </r>
  <r>
    <s v="FINAL0722_BANK_HE1"/>
    <s v="BELUGA RIVER"/>
    <x v="7"/>
    <x v="0"/>
    <x v="121"/>
    <n v="14621.9755859375"/>
  </r>
  <r>
    <s v="FINAL0722_BANK_HE1"/>
    <s v="BELUGA RIVER"/>
    <x v="7"/>
    <x v="0"/>
    <x v="122"/>
    <n v="14396.6865234375"/>
  </r>
  <r>
    <s v="FINAL0722_BANK_HE1"/>
    <s v="BELUGA RIVER"/>
    <x v="7"/>
    <x v="0"/>
    <x v="123"/>
    <n v="14174.869140625"/>
  </r>
  <r>
    <s v="FINAL0722_BANK_HE1"/>
    <s v="BELUGA RIVER"/>
    <x v="7"/>
    <x v="0"/>
    <x v="124"/>
    <n v="13956.4697265625"/>
  </r>
  <r>
    <s v="FINAL0722_BANK_HE1"/>
    <s v="BELUGA RIVER"/>
    <x v="7"/>
    <x v="0"/>
    <x v="125"/>
    <n v="13741.4345703125"/>
  </r>
  <r>
    <s v="FINAL0722_BANK_HE1"/>
    <s v="BELUGA RIVER"/>
    <x v="7"/>
    <x v="0"/>
    <x v="126"/>
    <n v="13529.712890625"/>
  </r>
  <r>
    <s v="FINAL0722_BANK_HE1"/>
    <s v="BELUGA RIVER"/>
    <x v="7"/>
    <x v="0"/>
    <x v="127"/>
    <n v="13321.2529296875"/>
  </r>
  <r>
    <s v="FINAL0722_BANK_HE1"/>
    <s v="BELUGA RIVER"/>
    <x v="7"/>
    <x v="0"/>
    <x v="128"/>
    <n v="13116.0048828125"/>
  </r>
  <r>
    <s v="FINAL0722_BANK_HE1"/>
    <s v="BELUGA RIVER"/>
    <x v="7"/>
    <x v="0"/>
    <x v="129"/>
    <n v="12913.919921875"/>
  </r>
  <r>
    <s v="FINAL0722_BANK_HE1"/>
    <s v="BELUGA RIVER"/>
    <x v="7"/>
    <x v="0"/>
    <x v="130"/>
    <n v="12714.9482421875"/>
  </r>
  <r>
    <s v="FINAL0722_BANK_HE1"/>
    <s v="BELUGA RIVER"/>
    <x v="7"/>
    <x v="0"/>
    <x v="131"/>
    <n v="12519.0419921875"/>
  </r>
  <r>
    <s v="FINAL0722_BANK_HE1"/>
    <s v="BELUGA RIVER"/>
    <x v="7"/>
    <x v="0"/>
    <x v="132"/>
    <n v="12326.154296875"/>
  </r>
  <r>
    <s v="FINAL0722_BANK_HE1"/>
    <s v="BELUGA RIVER"/>
    <x v="7"/>
    <x v="0"/>
    <x v="133"/>
    <n v="12136.23828125"/>
  </r>
  <r>
    <s v="FINAL0722_BANK_HE1"/>
    <s v="BELUGA RIVER"/>
    <x v="7"/>
    <x v="0"/>
    <x v="134"/>
    <n v="11949.2490234375"/>
  </r>
  <r>
    <s v="FINAL0722_BANK_HE1"/>
    <s v="BELUGA RIVER"/>
    <x v="7"/>
    <x v="0"/>
    <x v="135"/>
    <n v="11765.140625"/>
  </r>
  <r>
    <s v="FINAL0722_BANK_HE1"/>
    <s v="BELUGA RIVER"/>
    <x v="7"/>
    <x v="0"/>
    <x v="136"/>
    <n v="11583.869140625"/>
  </r>
  <r>
    <s v="FINAL0722_BANK_HE1"/>
    <s v="BELUGA RIVER"/>
    <x v="7"/>
    <x v="0"/>
    <x v="137"/>
    <n v="11405.390625"/>
  </r>
  <r>
    <s v="FINAL0722_BANK_HE1"/>
    <s v="BELUGA RIVER"/>
    <x v="7"/>
    <x v="0"/>
    <x v="138"/>
    <n v="11229.662109375"/>
  </r>
  <r>
    <s v="FINAL0722_BANK_HE1"/>
    <s v="BELUGA RIVER"/>
    <x v="7"/>
    <x v="0"/>
    <x v="139"/>
    <n v="11056.640625"/>
  </r>
  <r>
    <s v="FINAL0722_BANK_HE1"/>
    <s v="BELUGA RIVER"/>
    <x v="7"/>
    <x v="0"/>
    <x v="140"/>
    <n v="10886.28515625"/>
  </r>
  <r>
    <s v="FINAL0722_BANK_HE1"/>
    <s v="BELUGA RIVER"/>
    <x v="7"/>
    <x v="0"/>
    <x v="141"/>
    <n v="10718.5546875"/>
  </r>
  <r>
    <s v="FINAL0722_BANK_HE1"/>
    <s v="BELUGA RIVER"/>
    <x v="7"/>
    <x v="0"/>
    <x v="142"/>
    <n v="10553.408203125"/>
  </r>
  <r>
    <s v="FINAL0722_BANK_HE1"/>
    <s v="BELUGA RIVER"/>
    <x v="7"/>
    <x v="0"/>
    <x v="143"/>
    <n v="10390.806640625"/>
  </r>
  <r>
    <s v="FINAL0722_BANK_HE1"/>
    <s v="BELUGA RIVER"/>
    <x v="7"/>
    <x v="0"/>
    <x v="144"/>
    <n v="10230.7099609375"/>
  </r>
  <r>
    <s v="FINAL0722_BANK_HE1"/>
    <s v="BELUGA RIVER"/>
    <x v="7"/>
    <x v="0"/>
    <x v="145"/>
    <n v="10073.080078125"/>
  </r>
  <r>
    <s v="FINAL0722_BANK_HE1"/>
    <s v="BELUGA RIVER"/>
    <x v="8"/>
    <x v="2"/>
    <x v="0"/>
    <n v="0"/>
  </r>
  <r>
    <s v="FINAL0722_BANK_HE1"/>
    <s v="BELUGA RIVER"/>
    <x v="8"/>
    <x v="2"/>
    <x v="1"/>
    <n v="0"/>
  </r>
  <r>
    <s v="FINAL0722_BANK_HE1"/>
    <s v="BELUGA RIVER"/>
    <x v="8"/>
    <x v="2"/>
    <x v="2"/>
    <n v="0"/>
  </r>
  <r>
    <s v="FINAL0722_BANK_HE1"/>
    <s v="BELUGA RIVER"/>
    <x v="8"/>
    <x v="2"/>
    <x v="3"/>
    <n v="0"/>
  </r>
  <r>
    <s v="FINAL0722_BANK_HE1"/>
    <s v="BELUGA RIVER"/>
    <x v="8"/>
    <x v="2"/>
    <x v="4"/>
    <n v="0"/>
  </r>
  <r>
    <s v="FINAL0722_BANK_HE1"/>
    <s v="BELUGA RIVER"/>
    <x v="8"/>
    <x v="2"/>
    <x v="5"/>
    <n v="0"/>
  </r>
  <r>
    <s v="FINAL0722_BANK_HE1"/>
    <s v="BELUGA RIVER"/>
    <x v="8"/>
    <x v="2"/>
    <x v="6"/>
    <n v="0"/>
  </r>
  <r>
    <s v="FINAL0722_BANK_HE1"/>
    <s v="BELUGA RIVER"/>
    <x v="8"/>
    <x v="2"/>
    <x v="7"/>
    <n v="0"/>
  </r>
  <r>
    <s v="FINAL0722_BANK_HE1"/>
    <s v="BELUGA RIVER"/>
    <x v="8"/>
    <x v="2"/>
    <x v="8"/>
    <n v="0"/>
  </r>
  <r>
    <s v="FINAL0722_BANK_HE1"/>
    <s v="BELUGA RIVER"/>
    <x v="8"/>
    <x v="2"/>
    <x v="9"/>
    <n v="0"/>
  </r>
  <r>
    <s v="FINAL0722_BANK_HE1"/>
    <s v="BELUGA RIVER"/>
    <x v="8"/>
    <x v="2"/>
    <x v="10"/>
    <n v="0"/>
  </r>
  <r>
    <s v="FINAL0722_BANK_HE1"/>
    <s v="BELUGA RIVER"/>
    <x v="8"/>
    <x v="2"/>
    <x v="11"/>
    <n v="0"/>
  </r>
  <r>
    <s v="FINAL0722_BANK_HE1"/>
    <s v="BELUGA RIVER"/>
    <x v="8"/>
    <x v="2"/>
    <x v="12"/>
    <n v="0"/>
  </r>
  <r>
    <s v="FINAL0722_BANK_HE1"/>
    <s v="BELUGA RIVER"/>
    <x v="8"/>
    <x v="2"/>
    <x v="13"/>
    <n v="0"/>
  </r>
  <r>
    <s v="FINAL0722_BANK_HE1"/>
    <s v="BELUGA RIVER"/>
    <x v="8"/>
    <x v="2"/>
    <x v="14"/>
    <n v="0"/>
  </r>
  <r>
    <s v="FINAL0722_BANK_HE1"/>
    <s v="BELUGA RIVER"/>
    <x v="8"/>
    <x v="2"/>
    <x v="15"/>
    <n v="0"/>
  </r>
  <r>
    <s v="FINAL0722_BANK_HE1"/>
    <s v="BELUGA RIVER"/>
    <x v="8"/>
    <x v="2"/>
    <x v="16"/>
    <n v="0"/>
  </r>
  <r>
    <s v="FINAL0722_BANK_HE1"/>
    <s v="BELUGA RIVER"/>
    <x v="8"/>
    <x v="2"/>
    <x v="17"/>
    <n v="0"/>
  </r>
  <r>
    <s v="FINAL0722_BANK_HE1"/>
    <s v="BELUGA RIVER"/>
    <x v="8"/>
    <x v="2"/>
    <x v="18"/>
    <n v="0"/>
  </r>
  <r>
    <s v="FINAL0722_BANK_HE1"/>
    <s v="BELUGA RIVER"/>
    <x v="8"/>
    <x v="2"/>
    <x v="19"/>
    <n v="0"/>
  </r>
  <r>
    <s v="FINAL0722_BANK_HE1"/>
    <s v="BELUGA RIVER"/>
    <x v="8"/>
    <x v="2"/>
    <x v="20"/>
    <n v="0"/>
  </r>
  <r>
    <s v="FINAL0722_BANK_HE1"/>
    <s v="BELUGA RIVER"/>
    <x v="8"/>
    <x v="2"/>
    <x v="21"/>
    <n v="0"/>
  </r>
  <r>
    <s v="FINAL0722_BANK_HE1"/>
    <s v="BELUGA RIVER"/>
    <x v="8"/>
    <x v="2"/>
    <x v="22"/>
    <n v="0"/>
  </r>
  <r>
    <s v="FINAL0722_BANK_HE1"/>
    <s v="BELUGA RIVER"/>
    <x v="8"/>
    <x v="2"/>
    <x v="23"/>
    <n v="0"/>
  </r>
  <r>
    <s v="FINAL0722_BANK_HE1"/>
    <s v="BELUGA RIVER"/>
    <x v="8"/>
    <x v="2"/>
    <x v="24"/>
    <n v="0"/>
  </r>
  <r>
    <s v="FINAL0722_BANK_HE1"/>
    <s v="BELUGA RIVER"/>
    <x v="8"/>
    <x v="2"/>
    <x v="25"/>
    <n v="0"/>
  </r>
  <r>
    <s v="FINAL0722_BANK_HE1"/>
    <s v="BELUGA RIVER"/>
    <x v="8"/>
    <x v="2"/>
    <x v="26"/>
    <n v="0"/>
  </r>
  <r>
    <s v="FINAL0722_BANK_HE1"/>
    <s v="BELUGA RIVER"/>
    <x v="8"/>
    <x v="2"/>
    <x v="27"/>
    <n v="0"/>
  </r>
  <r>
    <s v="FINAL0722_BANK_HE1"/>
    <s v="BELUGA RIVER"/>
    <x v="8"/>
    <x v="2"/>
    <x v="28"/>
    <n v="0"/>
  </r>
  <r>
    <s v="FINAL0722_BANK_HE1"/>
    <s v="BELUGA RIVER"/>
    <x v="8"/>
    <x v="2"/>
    <x v="29"/>
    <n v="0"/>
  </r>
  <r>
    <s v="FINAL0722_BANK_HE1"/>
    <s v="BELUGA RIVER"/>
    <x v="8"/>
    <x v="2"/>
    <x v="30"/>
    <n v="0"/>
  </r>
  <r>
    <s v="FINAL0722_BANK_HE1"/>
    <s v="BELUGA RIVER"/>
    <x v="8"/>
    <x v="2"/>
    <x v="31"/>
    <n v="0"/>
  </r>
  <r>
    <s v="FINAL0722_BANK_HE1"/>
    <s v="BELUGA RIVER"/>
    <x v="8"/>
    <x v="2"/>
    <x v="32"/>
    <n v="0"/>
  </r>
  <r>
    <s v="FINAL0722_BANK_HE1"/>
    <s v="BELUGA RIVER"/>
    <x v="8"/>
    <x v="2"/>
    <x v="33"/>
    <n v="0"/>
  </r>
  <r>
    <s v="FINAL0722_BANK_HE1"/>
    <s v="BELUGA RIVER"/>
    <x v="8"/>
    <x v="2"/>
    <x v="34"/>
    <n v="0"/>
  </r>
  <r>
    <s v="FINAL0722_BANK_HE1"/>
    <s v="BELUGA RIVER"/>
    <x v="8"/>
    <x v="2"/>
    <x v="35"/>
    <n v="0"/>
  </r>
  <r>
    <s v="FINAL0722_BANK_HE1"/>
    <s v="BELUGA RIVER"/>
    <x v="8"/>
    <x v="2"/>
    <x v="36"/>
    <n v="0"/>
  </r>
  <r>
    <s v="FINAL0722_BANK_HE1"/>
    <s v="BELUGA RIVER"/>
    <x v="8"/>
    <x v="2"/>
    <x v="37"/>
    <n v="0"/>
  </r>
  <r>
    <s v="FINAL0722_BANK_HE1"/>
    <s v="BELUGA RIVER"/>
    <x v="8"/>
    <x v="2"/>
    <x v="38"/>
    <n v="0"/>
  </r>
  <r>
    <s v="FINAL0722_BANK_HE1"/>
    <s v="BELUGA RIVER"/>
    <x v="8"/>
    <x v="2"/>
    <x v="39"/>
    <n v="0"/>
  </r>
  <r>
    <s v="FINAL0722_BANK_HE1"/>
    <s v="BELUGA RIVER"/>
    <x v="8"/>
    <x v="2"/>
    <x v="40"/>
    <n v="0"/>
  </r>
  <r>
    <s v="FINAL0722_BANK_HE1"/>
    <s v="BELUGA RIVER"/>
    <x v="8"/>
    <x v="2"/>
    <x v="41"/>
    <n v="0"/>
  </r>
  <r>
    <s v="FINAL0722_BANK_HE1"/>
    <s v="BELUGA RIVER"/>
    <x v="8"/>
    <x v="2"/>
    <x v="42"/>
    <n v="0"/>
  </r>
  <r>
    <s v="FINAL0722_BANK_HE1"/>
    <s v="BELUGA RIVER"/>
    <x v="8"/>
    <x v="2"/>
    <x v="43"/>
    <n v="0"/>
  </r>
  <r>
    <s v="FINAL0722_BANK_HE1"/>
    <s v="BELUGA RIVER"/>
    <x v="8"/>
    <x v="2"/>
    <x v="44"/>
    <n v="0"/>
  </r>
  <r>
    <s v="FINAL0722_BANK_HE1"/>
    <s v="BELUGA RIVER"/>
    <x v="8"/>
    <x v="2"/>
    <x v="45"/>
    <n v="0"/>
  </r>
  <r>
    <s v="FINAL0722_BANK_HE1"/>
    <s v="BELUGA RIVER"/>
    <x v="8"/>
    <x v="2"/>
    <x v="46"/>
    <n v="0"/>
  </r>
  <r>
    <s v="FINAL0722_BANK_HE1"/>
    <s v="BELUGA RIVER"/>
    <x v="8"/>
    <x v="2"/>
    <x v="47"/>
    <n v="0"/>
  </r>
  <r>
    <s v="FINAL0722_BANK_HE1"/>
    <s v="BELUGA RIVER"/>
    <x v="8"/>
    <x v="2"/>
    <x v="48"/>
    <n v="0"/>
  </r>
  <r>
    <s v="FINAL0722_BANK_HE1"/>
    <s v="BELUGA RIVER"/>
    <x v="8"/>
    <x v="2"/>
    <x v="49"/>
    <n v="0"/>
  </r>
  <r>
    <s v="FINAL0722_BANK_HE1"/>
    <s v="BELUGA RIVER"/>
    <x v="8"/>
    <x v="2"/>
    <x v="50"/>
    <n v="0"/>
  </r>
  <r>
    <s v="FINAL0722_BANK_HE1"/>
    <s v="BELUGA RIVER"/>
    <x v="8"/>
    <x v="2"/>
    <x v="51"/>
    <n v="0"/>
  </r>
  <r>
    <s v="FINAL0722_BANK_HE1"/>
    <s v="BELUGA RIVER"/>
    <x v="8"/>
    <x v="2"/>
    <x v="52"/>
    <n v="0"/>
  </r>
  <r>
    <s v="FINAL0722_BANK_HE1"/>
    <s v="BELUGA RIVER"/>
    <x v="8"/>
    <x v="2"/>
    <x v="53"/>
    <n v="0"/>
  </r>
  <r>
    <s v="FINAL0722_BANK_HE1"/>
    <s v="BELUGA RIVER"/>
    <x v="8"/>
    <x v="2"/>
    <x v="54"/>
    <n v="120289.4140625"/>
  </r>
  <r>
    <s v="FINAL0722_BANK_HE1"/>
    <s v="BELUGA RIVER"/>
    <x v="8"/>
    <x v="2"/>
    <x v="55"/>
    <n v="117576.375"/>
  </r>
  <r>
    <s v="FINAL0722_BANK_HE1"/>
    <s v="BELUGA RIVER"/>
    <x v="8"/>
    <x v="2"/>
    <x v="56"/>
    <n v="114924.5234375"/>
  </r>
  <r>
    <s v="FINAL0722_BANK_HE1"/>
    <s v="BELUGA RIVER"/>
    <x v="8"/>
    <x v="2"/>
    <x v="57"/>
    <n v="112332.484375"/>
  </r>
  <r>
    <s v="FINAL0722_BANK_HE1"/>
    <s v="BELUGA RIVER"/>
    <x v="8"/>
    <x v="2"/>
    <x v="58"/>
    <n v="109798.90625"/>
  </r>
  <r>
    <s v="FINAL0722_BANK_HE1"/>
    <s v="BELUGA RIVER"/>
    <x v="8"/>
    <x v="2"/>
    <x v="59"/>
    <n v="107322.4765625"/>
  </r>
  <r>
    <s v="FINAL0722_BANK_HE1"/>
    <s v="BELUGA RIVER"/>
    <x v="8"/>
    <x v="2"/>
    <x v="60"/>
    <n v="104901.8984375"/>
  </r>
  <r>
    <s v="FINAL0722_BANK_HE1"/>
    <s v="BELUGA RIVER"/>
    <x v="8"/>
    <x v="2"/>
    <x v="61"/>
    <n v="102535.9140625"/>
  </r>
  <r>
    <s v="FINAL0722_BANK_HE1"/>
    <s v="BELUGA RIVER"/>
    <x v="8"/>
    <x v="2"/>
    <x v="62"/>
    <n v="100223.2890625"/>
  </r>
  <r>
    <s v="FINAL0722_BANK_HE1"/>
    <s v="BELUGA RIVER"/>
    <x v="8"/>
    <x v="2"/>
    <x v="63"/>
    <n v="97962.828125"/>
  </r>
  <r>
    <s v="FINAL0722_BANK_HE1"/>
    <s v="BELUGA RIVER"/>
    <x v="8"/>
    <x v="2"/>
    <x v="64"/>
    <n v="95753.3515625"/>
  </r>
  <r>
    <s v="FINAL0722_BANK_HE1"/>
    <s v="BELUGA RIVER"/>
    <x v="8"/>
    <x v="2"/>
    <x v="65"/>
    <n v="93593.703125"/>
  </r>
  <r>
    <s v="FINAL0722_BANK_HE1"/>
    <s v="BELUGA RIVER"/>
    <x v="8"/>
    <x v="2"/>
    <x v="66"/>
    <n v="91482.765625"/>
  </r>
  <r>
    <s v="FINAL0722_BANK_HE1"/>
    <s v="BELUGA RIVER"/>
    <x v="8"/>
    <x v="2"/>
    <x v="67"/>
    <n v="89419.4375"/>
  </r>
  <r>
    <s v="FINAL0722_BANK_HE1"/>
    <s v="BELUGA RIVER"/>
    <x v="8"/>
    <x v="2"/>
    <x v="68"/>
    <n v="87402.6484375"/>
  </r>
  <r>
    <s v="FINAL0722_BANK_HE1"/>
    <s v="BELUGA RIVER"/>
    <x v="8"/>
    <x v="2"/>
    <x v="69"/>
    <n v="85431.34375"/>
  </r>
  <r>
    <s v="FINAL0722_BANK_HE1"/>
    <s v="BELUGA RIVER"/>
    <x v="8"/>
    <x v="2"/>
    <x v="70"/>
    <n v="83504.5"/>
  </r>
  <r>
    <s v="FINAL0722_BANK_HE1"/>
    <s v="BELUGA RIVER"/>
    <x v="8"/>
    <x v="2"/>
    <x v="71"/>
    <n v="81621.1171875"/>
  </r>
  <r>
    <s v="FINAL0722_BANK_HE1"/>
    <s v="BELUGA RIVER"/>
    <x v="8"/>
    <x v="2"/>
    <x v="72"/>
    <n v="79780.2109375"/>
  </r>
  <r>
    <s v="FINAL0722_BANK_HE1"/>
    <s v="BELUGA RIVER"/>
    <x v="8"/>
    <x v="2"/>
    <x v="73"/>
    <n v="77980.828125"/>
  </r>
  <r>
    <s v="FINAL0722_BANK_HE1"/>
    <s v="BELUGA RIVER"/>
    <x v="8"/>
    <x v="2"/>
    <x v="74"/>
    <n v="76222.03125"/>
  </r>
  <r>
    <s v="FINAL0722_BANK_HE1"/>
    <s v="BELUGA RIVER"/>
    <x v="8"/>
    <x v="2"/>
    <x v="75"/>
    <n v="74502.8984375"/>
  </r>
  <r>
    <s v="FINAL0722_BANK_HE1"/>
    <s v="BELUGA RIVER"/>
    <x v="8"/>
    <x v="2"/>
    <x v="76"/>
    <n v="72822.5390625"/>
  </r>
  <r>
    <s v="FINAL0722_BANK_HE1"/>
    <s v="BELUGA RIVER"/>
    <x v="8"/>
    <x v="2"/>
    <x v="77"/>
    <n v="71180.078125"/>
  </r>
  <r>
    <s v="FINAL0722_BANK_HE1"/>
    <s v="BELUGA RIVER"/>
    <x v="8"/>
    <x v="2"/>
    <x v="78"/>
    <n v="69574.6640625"/>
  </r>
  <r>
    <s v="FINAL0722_BANK_HE1"/>
    <s v="BELUGA RIVER"/>
    <x v="8"/>
    <x v="2"/>
    <x v="79"/>
    <n v="68005.4609375"/>
  </r>
  <r>
    <s v="FINAL0722_BANK_HE1"/>
    <s v="BELUGA RIVER"/>
    <x v="8"/>
    <x v="2"/>
    <x v="80"/>
    <n v="66471.6484375"/>
  </r>
  <r>
    <s v="FINAL0722_BANK_HE1"/>
    <s v="BELUGA RIVER"/>
    <x v="8"/>
    <x v="2"/>
    <x v="81"/>
    <n v="64972.4296875"/>
  </r>
  <r>
    <s v="FINAL0722_BANK_HE1"/>
    <s v="BELUGA RIVER"/>
    <x v="8"/>
    <x v="2"/>
    <x v="82"/>
    <n v="63507.0234375"/>
  </r>
  <r>
    <s v="FINAL0722_BANK_HE1"/>
    <s v="BELUGA RIVER"/>
    <x v="8"/>
    <x v="2"/>
    <x v="83"/>
    <n v="62074.66796875"/>
  </r>
  <r>
    <s v="FINAL0722_BANK_HE1"/>
    <s v="BELUGA RIVER"/>
    <x v="8"/>
    <x v="2"/>
    <x v="84"/>
    <n v="60674.62109375"/>
  </r>
  <r>
    <s v="FINAL0722_BANK_HE1"/>
    <s v="BELUGA RIVER"/>
    <x v="8"/>
    <x v="2"/>
    <x v="85"/>
    <n v="59306.1484375"/>
  </r>
  <r>
    <s v="FINAL0722_BANK_HE1"/>
    <s v="BELUGA RIVER"/>
    <x v="8"/>
    <x v="2"/>
    <x v="86"/>
    <n v="57968.54296875"/>
  </r>
  <r>
    <s v="FINAL0722_BANK_HE1"/>
    <s v="BELUGA RIVER"/>
    <x v="8"/>
    <x v="2"/>
    <x v="87"/>
    <n v="56661.10546875"/>
  </r>
  <r>
    <s v="FINAL0722_BANK_HE1"/>
    <s v="BELUGA RIVER"/>
    <x v="8"/>
    <x v="2"/>
    <x v="88"/>
    <n v="55383.15625"/>
  </r>
  <r>
    <s v="FINAL0722_BANK_HE1"/>
    <s v="BELUGA RIVER"/>
    <x v="8"/>
    <x v="2"/>
    <x v="89"/>
    <n v="54134.03125"/>
  </r>
  <r>
    <s v="FINAL0722_BANK_HE1"/>
    <s v="BELUGA RIVER"/>
    <x v="8"/>
    <x v="2"/>
    <x v="90"/>
    <n v="52913.078125"/>
  </r>
  <r>
    <s v="FINAL0722_BANK_HE1"/>
    <s v="BELUGA RIVER"/>
    <x v="8"/>
    <x v="2"/>
    <x v="91"/>
    <n v="51719.6640625"/>
  </r>
  <r>
    <s v="FINAL0722_BANK_HE1"/>
    <s v="BELUGA RIVER"/>
    <x v="8"/>
    <x v="2"/>
    <x v="92"/>
    <n v="50553.1640625"/>
  </r>
  <r>
    <s v="FINAL0722_BANK_HE1"/>
    <s v="BELUGA RIVER"/>
    <x v="8"/>
    <x v="2"/>
    <x v="93"/>
    <n v="49412.9765625"/>
  </r>
  <r>
    <s v="FINAL0722_BANK_HE1"/>
    <s v="BELUGA RIVER"/>
    <x v="8"/>
    <x v="2"/>
    <x v="94"/>
    <n v="48298.50390625"/>
  </r>
  <r>
    <s v="FINAL0722_BANK_HE1"/>
    <s v="BELUGA RIVER"/>
    <x v="8"/>
    <x v="2"/>
    <x v="95"/>
    <n v="47209.16796875"/>
  </r>
  <r>
    <s v="FINAL0722_BANK_HE1"/>
    <s v="BELUGA RIVER"/>
    <x v="8"/>
    <x v="2"/>
    <x v="96"/>
    <n v="46144.3984375"/>
  </r>
  <r>
    <s v="FINAL0722_BANK_HE1"/>
    <s v="BELUGA RIVER"/>
    <x v="8"/>
    <x v="2"/>
    <x v="97"/>
    <n v="45103.64453125"/>
  </r>
  <r>
    <s v="FINAL0722_BANK_HE1"/>
    <s v="BELUGA RIVER"/>
    <x v="8"/>
    <x v="2"/>
    <x v="98"/>
    <n v="44086.36328125"/>
  </r>
  <r>
    <s v="FINAL0722_BANK_HE1"/>
    <s v="BELUGA RIVER"/>
    <x v="8"/>
    <x v="2"/>
    <x v="99"/>
    <n v="43092.02734375"/>
  </r>
  <r>
    <s v="FINAL0722_BANK_HE1"/>
    <s v="BELUGA RIVER"/>
    <x v="8"/>
    <x v="2"/>
    <x v="100"/>
    <n v="42120.1171875"/>
  </r>
  <r>
    <s v="FINAL0722_BANK_HE1"/>
    <s v="BELUGA RIVER"/>
    <x v="8"/>
    <x v="2"/>
    <x v="101"/>
    <n v="41170.12890625"/>
  </r>
  <r>
    <s v="FINAL0722_BANK_HE1"/>
    <s v="BELUGA RIVER"/>
    <x v="8"/>
    <x v="2"/>
    <x v="102"/>
    <n v="40241.56640625"/>
  </r>
  <r>
    <s v="FINAL0722_BANK_HE1"/>
    <s v="BELUGA RIVER"/>
    <x v="8"/>
    <x v="2"/>
    <x v="103"/>
    <n v="39333.94921875"/>
  </r>
  <r>
    <s v="FINAL0722_BANK_HE1"/>
    <s v="BELUGA RIVER"/>
    <x v="8"/>
    <x v="2"/>
    <x v="104"/>
    <n v="38446.80078125"/>
  </r>
  <r>
    <s v="FINAL0722_BANK_HE1"/>
    <s v="BELUGA RIVER"/>
    <x v="8"/>
    <x v="2"/>
    <x v="105"/>
    <n v="37579.66015625"/>
  </r>
  <r>
    <s v="FINAL0722_BANK_HE1"/>
    <s v="BELUGA RIVER"/>
    <x v="8"/>
    <x v="2"/>
    <x v="106"/>
    <n v="36732.078125"/>
  </r>
  <r>
    <s v="FINAL0722_BANK_HE1"/>
    <s v="BELUGA RIVER"/>
    <x v="8"/>
    <x v="2"/>
    <x v="107"/>
    <n v="35903.61328125"/>
  </r>
  <r>
    <s v="FINAL0722_BANK_HE1"/>
    <s v="BELUGA RIVER"/>
    <x v="8"/>
    <x v="2"/>
    <x v="108"/>
    <n v="35093.83203125"/>
  </r>
  <r>
    <s v="FINAL0722_BANK_HE1"/>
    <s v="BELUGA RIVER"/>
    <x v="8"/>
    <x v="2"/>
    <x v="109"/>
    <n v="34302.31640625"/>
  </r>
  <r>
    <s v="FINAL0722_BANK_HE1"/>
    <s v="BELUGA RIVER"/>
    <x v="8"/>
    <x v="2"/>
    <x v="110"/>
    <n v="33528.65234375"/>
  </r>
  <r>
    <s v="FINAL0722_BANK_HE1"/>
    <s v="BELUGA RIVER"/>
    <x v="8"/>
    <x v="2"/>
    <x v="111"/>
    <n v="32772.4375"/>
  </r>
  <r>
    <s v="FINAL0722_BANK_HE1"/>
    <s v="BELUGA RIVER"/>
    <x v="8"/>
    <x v="2"/>
    <x v="112"/>
    <n v="32033.279296875"/>
  </r>
  <r>
    <s v="FINAL0722_BANK_HE1"/>
    <s v="BELUGA RIVER"/>
    <x v="8"/>
    <x v="2"/>
    <x v="113"/>
    <n v="31310.79296875"/>
  </r>
  <r>
    <s v="FINAL0722_BANK_HE1"/>
    <s v="BELUGA RIVER"/>
    <x v="8"/>
    <x v="2"/>
    <x v="114"/>
    <n v="23598.25"/>
  </r>
  <r>
    <s v="FINAL0722_BANK_HE1"/>
    <s v="BELUGA RIVER"/>
    <x v="9"/>
    <x v="2"/>
    <x v="0"/>
    <n v="0"/>
  </r>
  <r>
    <s v="FINAL0722_BANK_HE1"/>
    <s v="BELUGA RIVER"/>
    <x v="9"/>
    <x v="2"/>
    <x v="1"/>
    <n v="0"/>
  </r>
  <r>
    <s v="FINAL0722_BANK_HE1"/>
    <s v="BELUGA RIVER"/>
    <x v="9"/>
    <x v="2"/>
    <x v="2"/>
    <n v="243333.359375"/>
  </r>
  <r>
    <s v="FINAL0722_BANK_HE1"/>
    <s v="BELUGA RIVER"/>
    <x v="9"/>
    <x v="2"/>
    <x v="3"/>
    <n v="243333.359375"/>
  </r>
  <r>
    <s v="FINAL0722_BANK_HE1"/>
    <s v="BELUGA RIVER"/>
    <x v="9"/>
    <x v="2"/>
    <x v="4"/>
    <n v="243333.359375"/>
  </r>
  <r>
    <s v="FINAL0722_BANK_HE1"/>
    <s v="BELUGA RIVER"/>
    <x v="9"/>
    <x v="2"/>
    <x v="5"/>
    <n v="243333.359375"/>
  </r>
  <r>
    <s v="FINAL0722_BANK_HE1"/>
    <s v="BELUGA RIVER"/>
    <x v="9"/>
    <x v="2"/>
    <x v="6"/>
    <n v="243333.359375"/>
  </r>
  <r>
    <s v="FINAL0722_BANK_HE1"/>
    <s v="BELUGA RIVER"/>
    <x v="9"/>
    <x v="2"/>
    <x v="7"/>
    <n v="243333.359375"/>
  </r>
  <r>
    <s v="FINAL0722_BANK_HE1"/>
    <s v="BELUGA RIVER"/>
    <x v="9"/>
    <x v="2"/>
    <x v="8"/>
    <n v="243333.359375"/>
  </r>
  <r>
    <s v="FINAL0722_BANK_HE1"/>
    <s v="BELUGA RIVER"/>
    <x v="9"/>
    <x v="2"/>
    <x v="9"/>
    <n v="243333.359375"/>
  </r>
  <r>
    <s v="FINAL0722_BANK_HE1"/>
    <s v="BELUGA RIVER"/>
    <x v="9"/>
    <x v="2"/>
    <x v="10"/>
    <n v="243333.359375"/>
  </r>
  <r>
    <s v="FINAL0722_BANK_HE1"/>
    <s v="BELUGA RIVER"/>
    <x v="9"/>
    <x v="2"/>
    <x v="11"/>
    <n v="243333.359375"/>
  </r>
  <r>
    <s v="FINAL0722_BANK_HE1"/>
    <s v="BELUGA RIVER"/>
    <x v="9"/>
    <x v="2"/>
    <x v="12"/>
    <n v="243333.359375"/>
  </r>
  <r>
    <s v="FINAL0722_BANK_HE1"/>
    <s v="BELUGA RIVER"/>
    <x v="9"/>
    <x v="2"/>
    <x v="13"/>
    <n v="243333.359375"/>
  </r>
  <r>
    <s v="FINAL0722_BANK_HE1"/>
    <s v="BELUGA RIVER"/>
    <x v="9"/>
    <x v="2"/>
    <x v="14"/>
    <n v="243333.359375"/>
  </r>
  <r>
    <s v="FINAL0722_BANK_HE1"/>
    <s v="BELUGA RIVER"/>
    <x v="9"/>
    <x v="2"/>
    <x v="15"/>
    <n v="243333.359375"/>
  </r>
  <r>
    <s v="FINAL0722_BANK_HE1"/>
    <s v="BELUGA RIVER"/>
    <x v="9"/>
    <x v="2"/>
    <x v="16"/>
    <n v="243333.359375"/>
  </r>
  <r>
    <s v="FINAL0722_BANK_HE1"/>
    <s v="BELUGA RIVER"/>
    <x v="9"/>
    <x v="2"/>
    <x v="17"/>
    <n v="243333.359375"/>
  </r>
  <r>
    <s v="FINAL0722_BANK_HE1"/>
    <s v="BELUGA RIVER"/>
    <x v="9"/>
    <x v="2"/>
    <x v="18"/>
    <n v="243333.359375"/>
  </r>
  <r>
    <s v="FINAL0722_BANK_HE1"/>
    <s v="BELUGA RIVER"/>
    <x v="9"/>
    <x v="2"/>
    <x v="19"/>
    <n v="238968.234375"/>
  </r>
  <r>
    <s v="FINAL0722_BANK_HE1"/>
    <s v="BELUGA RIVER"/>
    <x v="9"/>
    <x v="2"/>
    <x v="20"/>
    <n v="230446.1875"/>
  </r>
  <r>
    <s v="FINAL0722_BANK_HE1"/>
    <s v="BELUGA RIVER"/>
    <x v="9"/>
    <x v="2"/>
    <x v="21"/>
    <n v="222228.046875"/>
  </r>
  <r>
    <s v="FINAL0722_BANK_HE1"/>
    <s v="BELUGA RIVER"/>
    <x v="9"/>
    <x v="2"/>
    <x v="22"/>
    <n v="214302.984375"/>
  </r>
  <r>
    <s v="FINAL0722_BANK_HE1"/>
    <s v="BELUGA RIVER"/>
    <x v="9"/>
    <x v="2"/>
    <x v="23"/>
    <n v="206660.546875"/>
  </r>
  <r>
    <s v="FINAL0722_BANK_HE1"/>
    <s v="BELUGA RIVER"/>
    <x v="9"/>
    <x v="2"/>
    <x v="24"/>
    <n v="199290.65625"/>
  </r>
  <r>
    <s v="FINAL0722_BANK_HE1"/>
    <s v="BELUGA RIVER"/>
    <x v="9"/>
    <x v="2"/>
    <x v="25"/>
    <n v="192183.578125"/>
  </r>
  <r>
    <s v="FINAL0722_BANK_HE1"/>
    <s v="BELUGA RIVER"/>
    <x v="9"/>
    <x v="2"/>
    <x v="26"/>
    <n v="185329.953125"/>
  </r>
  <r>
    <s v="FINAL0722_BANK_HE1"/>
    <s v="BELUGA RIVER"/>
    <x v="9"/>
    <x v="2"/>
    <x v="27"/>
    <n v="178720.75"/>
  </r>
  <r>
    <s v="FINAL0722_BANK_HE1"/>
    <s v="BELUGA RIVER"/>
    <x v="9"/>
    <x v="2"/>
    <x v="28"/>
    <n v="172347.234375"/>
  </r>
  <r>
    <s v="FINAL0722_BANK_HE1"/>
    <s v="BELUGA RIVER"/>
    <x v="9"/>
    <x v="2"/>
    <x v="29"/>
    <n v="166201.015625"/>
  </r>
  <r>
    <s v="FINAL0722_BANK_HE1"/>
    <s v="BELUGA RIVER"/>
    <x v="9"/>
    <x v="2"/>
    <x v="30"/>
    <n v="160273.984375"/>
  </r>
  <r>
    <s v="FINAL0722_BANK_HE1"/>
    <s v="BELUGA RIVER"/>
    <x v="9"/>
    <x v="2"/>
    <x v="31"/>
    <n v="154558.3125"/>
  </r>
  <r>
    <s v="FINAL0722_BANK_HE1"/>
    <s v="BELUGA RIVER"/>
    <x v="9"/>
    <x v="2"/>
    <x v="32"/>
    <n v="149046.484375"/>
  </r>
  <r>
    <s v="FINAL0722_BANK_HE1"/>
    <s v="BELUGA RIVER"/>
    <x v="9"/>
    <x v="2"/>
    <x v="33"/>
    <n v="143731.21875"/>
  </r>
  <r>
    <s v="FINAL0722_BANK_HE1"/>
    <s v="BELUGA RIVER"/>
    <x v="9"/>
    <x v="2"/>
    <x v="34"/>
    <n v="138605.5"/>
  </r>
  <r>
    <s v="FINAL0722_BANK_HE1"/>
    <s v="BELUGA RIVER"/>
    <x v="9"/>
    <x v="2"/>
    <x v="35"/>
    <n v="133662.578125"/>
  </r>
  <r>
    <s v="FINAL0722_BANK_HE1"/>
    <s v="BELUGA RIVER"/>
    <x v="9"/>
    <x v="2"/>
    <x v="36"/>
    <n v="128895.921875"/>
  </r>
  <r>
    <s v="FINAL0722_BANK_HE1"/>
    <s v="BELUGA RIVER"/>
    <x v="9"/>
    <x v="2"/>
    <x v="37"/>
    <n v="124299.2578125"/>
  </r>
  <r>
    <s v="FINAL0722_BANK_HE1"/>
    <s v="BELUGA RIVER"/>
    <x v="9"/>
    <x v="2"/>
    <x v="38"/>
    <n v="119866.515625"/>
  </r>
  <r>
    <s v="FINAL0722_BANK_HE1"/>
    <s v="BELUGA RIVER"/>
    <x v="9"/>
    <x v="2"/>
    <x v="39"/>
    <n v="115591.859375"/>
  </r>
  <r>
    <s v="FINAL0722_BANK_HE1"/>
    <s v="BELUGA RIVER"/>
    <x v="9"/>
    <x v="2"/>
    <x v="40"/>
    <n v="111469.640625"/>
  </r>
  <r>
    <s v="FINAL0722_BANK_HE1"/>
    <s v="BELUGA RIVER"/>
    <x v="9"/>
    <x v="2"/>
    <x v="41"/>
    <n v="107494.4296875"/>
  </r>
  <r>
    <s v="FINAL0722_BANK_HE1"/>
    <s v="BELUGA RIVER"/>
    <x v="9"/>
    <x v="2"/>
    <x v="42"/>
    <n v="103660.984375"/>
  </r>
  <r>
    <s v="FINAL0722_BANK_HE1"/>
    <s v="BELUGA RIVER"/>
    <x v="9"/>
    <x v="2"/>
    <x v="43"/>
    <n v="99964.2421875"/>
  </r>
  <r>
    <s v="FINAL0722_BANK_HE1"/>
    <s v="BELUGA RIVER"/>
    <x v="9"/>
    <x v="2"/>
    <x v="44"/>
    <n v="96399.3359375"/>
  </r>
  <r>
    <s v="FINAL0722_BANK_HE1"/>
    <s v="BELUGA RIVER"/>
    <x v="9"/>
    <x v="2"/>
    <x v="45"/>
    <n v="92961.5625"/>
  </r>
  <r>
    <s v="FINAL0722_BANK_HE1"/>
    <s v="BELUGA RIVER"/>
    <x v="9"/>
    <x v="2"/>
    <x v="46"/>
    <n v="89646.3828125"/>
  </r>
  <r>
    <s v="FINAL0722_BANK_HE1"/>
    <s v="BELUGA RIVER"/>
    <x v="9"/>
    <x v="2"/>
    <x v="47"/>
    <n v="86449.4296875"/>
  </r>
  <r>
    <s v="FINAL0722_BANK_HE1"/>
    <s v="BELUGA RIVER"/>
    <x v="9"/>
    <x v="2"/>
    <x v="48"/>
    <n v="83366.484375"/>
  </r>
  <r>
    <s v="FINAL0722_BANK_HE1"/>
    <s v="BELUGA RIVER"/>
    <x v="9"/>
    <x v="2"/>
    <x v="49"/>
    <n v="80393.484375"/>
  </r>
  <r>
    <s v="FINAL0722_BANK_HE1"/>
    <s v="BELUGA RIVER"/>
    <x v="9"/>
    <x v="2"/>
    <x v="50"/>
    <n v="77526.5078125"/>
  </r>
  <r>
    <s v="FINAL0722_BANK_HE1"/>
    <s v="BELUGA RIVER"/>
    <x v="9"/>
    <x v="2"/>
    <x v="51"/>
    <n v="74761.7734375"/>
  </r>
  <r>
    <s v="FINAL0722_BANK_HE1"/>
    <s v="BELUGA RIVER"/>
    <x v="9"/>
    <x v="2"/>
    <x v="52"/>
    <n v="72095.6328125"/>
  </r>
  <r>
    <s v="FINAL0722_BANK_HE1"/>
    <s v="BELUGA RIVER"/>
    <x v="9"/>
    <x v="2"/>
    <x v="53"/>
    <n v="69524.5703125"/>
  </r>
  <r>
    <s v="FINAL0722_BANK_HE1"/>
    <s v="BELUGA RIVER"/>
    <x v="9"/>
    <x v="2"/>
    <x v="54"/>
    <n v="67045.1953125"/>
  </r>
  <r>
    <s v="FINAL0722_BANK_HE1"/>
    <s v="BELUGA RIVER"/>
    <x v="9"/>
    <x v="2"/>
    <x v="55"/>
    <n v="64654.2421875"/>
  </r>
  <r>
    <s v="FINAL0722_BANK_HE1"/>
    <s v="BELUGA RIVER"/>
    <x v="9"/>
    <x v="2"/>
    <x v="56"/>
    <n v="62348.5546875"/>
  </r>
  <r>
    <s v="FINAL0722_BANK_HE1"/>
    <s v="BELUGA RIVER"/>
    <x v="9"/>
    <x v="2"/>
    <x v="57"/>
    <n v="60125.08984375"/>
  </r>
  <r>
    <s v="FINAL0722_BANK_HE1"/>
    <s v="BELUGA RIVER"/>
    <x v="9"/>
    <x v="2"/>
    <x v="58"/>
    <n v="57980.91796875"/>
  </r>
  <r>
    <s v="FINAL0722_BANK_HE1"/>
    <s v="BELUGA RIVER"/>
    <x v="9"/>
    <x v="2"/>
    <x v="59"/>
    <n v="55913.2109375"/>
  </r>
  <r>
    <s v="FINAL0722_BANK_HE1"/>
    <s v="BELUGA RIVER"/>
    <x v="9"/>
    <x v="2"/>
    <x v="60"/>
    <n v="53919.2421875"/>
  </r>
  <r>
    <s v="FINAL0722_BANK_HE1"/>
    <s v="BELUGA RIVER"/>
    <x v="9"/>
    <x v="2"/>
    <x v="61"/>
    <n v="51996.3828125"/>
  </r>
  <r>
    <s v="FINAL0722_BANK_HE1"/>
    <s v="BELUGA RIVER"/>
    <x v="9"/>
    <x v="2"/>
    <x v="62"/>
    <n v="50142.09765625"/>
  </r>
  <r>
    <s v="FINAL0722_BANK_HE1"/>
    <s v="BELUGA RIVER"/>
    <x v="9"/>
    <x v="2"/>
    <x v="63"/>
    <n v="48353.9375"/>
  </r>
  <r>
    <s v="FINAL0722_BANK_HE1"/>
    <s v="BELUGA RIVER"/>
    <x v="9"/>
    <x v="2"/>
    <x v="64"/>
    <n v="46629.546875"/>
  </r>
  <r>
    <s v="FINAL0722_BANK_HE1"/>
    <s v="BELUGA RIVER"/>
    <x v="9"/>
    <x v="2"/>
    <x v="65"/>
    <n v="44966.65234375"/>
  </r>
  <r>
    <s v="FINAL0722_BANK_HE1"/>
    <s v="BELUGA RIVER"/>
    <x v="9"/>
    <x v="2"/>
    <x v="66"/>
    <n v="43363.05859375"/>
  </r>
  <r>
    <s v="FINAL0722_BANK_HE1"/>
    <s v="BELUGA RIVER"/>
    <x v="9"/>
    <x v="2"/>
    <x v="67"/>
    <n v="41816.65234375"/>
  </r>
  <r>
    <s v="FINAL0722_BANK_HE1"/>
    <s v="BELUGA RIVER"/>
    <x v="9"/>
    <x v="2"/>
    <x v="68"/>
    <n v="40325.39453125"/>
  </r>
  <r>
    <s v="FINAL0722_BANK_HE1"/>
    <s v="BELUGA RIVER"/>
    <x v="9"/>
    <x v="2"/>
    <x v="69"/>
    <n v="38887.31640625"/>
  </r>
  <r>
    <s v="FINAL0722_BANK_HE1"/>
    <s v="BELUGA RIVER"/>
    <x v="9"/>
    <x v="2"/>
    <x v="70"/>
    <n v="37500.5234375"/>
  </r>
  <r>
    <s v="FINAL0722_BANK_HE1"/>
    <s v="BELUGA RIVER"/>
    <x v="9"/>
    <x v="2"/>
    <x v="71"/>
    <n v="36163.1875"/>
  </r>
  <r>
    <s v="FINAL0722_BANK_HE1"/>
    <s v="BELUGA RIVER"/>
    <x v="9"/>
    <x v="2"/>
    <x v="72"/>
    <n v="34873.54296875"/>
  </r>
  <r>
    <s v="FINAL0722_BANK_HE1"/>
    <s v="BELUGA RIVER"/>
    <x v="9"/>
    <x v="2"/>
    <x v="73"/>
    <n v="33629.88671875"/>
  </r>
  <r>
    <s v="FINAL0722_BANK_HE1"/>
    <s v="BELUGA RIVER"/>
    <x v="9"/>
    <x v="2"/>
    <x v="74"/>
    <n v="32430.583984375"/>
  </r>
  <r>
    <s v="FINAL0722_BANK_HE1"/>
    <s v="BELUGA RIVER"/>
    <x v="9"/>
    <x v="2"/>
    <x v="75"/>
    <n v="31274.05078125"/>
  </r>
  <r>
    <s v="FINAL0722_BANK_HE1"/>
    <s v="BELUGA RIVER"/>
    <x v="9"/>
    <x v="2"/>
    <x v="76"/>
    <n v="8069"/>
  </r>
  <r>
    <s v="FINAL0722_BANK_HE1"/>
    <s v="BELUGA RIVER"/>
    <x v="10"/>
    <x v="2"/>
    <x v="0"/>
    <n v="0"/>
  </r>
  <r>
    <s v="FINAL0722_BANK_HE1"/>
    <s v="BELUGA RIVER"/>
    <x v="10"/>
    <x v="2"/>
    <x v="1"/>
    <n v="243333.359375"/>
  </r>
  <r>
    <s v="FINAL0722_BANK_HE1"/>
    <s v="BELUGA RIVER"/>
    <x v="10"/>
    <x v="2"/>
    <x v="2"/>
    <n v="243333.359375"/>
  </r>
  <r>
    <s v="FINAL0722_BANK_HE1"/>
    <s v="BELUGA RIVER"/>
    <x v="10"/>
    <x v="2"/>
    <x v="3"/>
    <n v="243333.359375"/>
  </r>
  <r>
    <s v="FINAL0722_BANK_HE1"/>
    <s v="BELUGA RIVER"/>
    <x v="10"/>
    <x v="2"/>
    <x v="4"/>
    <n v="243333.359375"/>
  </r>
  <r>
    <s v="FINAL0722_BANK_HE1"/>
    <s v="BELUGA RIVER"/>
    <x v="10"/>
    <x v="2"/>
    <x v="5"/>
    <n v="243333.359375"/>
  </r>
  <r>
    <s v="FINAL0722_BANK_HE1"/>
    <s v="BELUGA RIVER"/>
    <x v="10"/>
    <x v="2"/>
    <x v="6"/>
    <n v="243333.359375"/>
  </r>
  <r>
    <s v="FINAL0722_BANK_HE1"/>
    <s v="BELUGA RIVER"/>
    <x v="10"/>
    <x v="2"/>
    <x v="7"/>
    <n v="243333.359375"/>
  </r>
  <r>
    <s v="FINAL0722_BANK_HE1"/>
    <s v="BELUGA RIVER"/>
    <x v="10"/>
    <x v="2"/>
    <x v="8"/>
    <n v="243333.359375"/>
  </r>
  <r>
    <s v="FINAL0722_BANK_HE1"/>
    <s v="BELUGA RIVER"/>
    <x v="10"/>
    <x v="2"/>
    <x v="9"/>
    <n v="243333.359375"/>
  </r>
  <r>
    <s v="FINAL0722_BANK_HE1"/>
    <s v="BELUGA RIVER"/>
    <x v="10"/>
    <x v="2"/>
    <x v="10"/>
    <n v="243333.359375"/>
  </r>
  <r>
    <s v="FINAL0722_BANK_HE1"/>
    <s v="BELUGA RIVER"/>
    <x v="10"/>
    <x v="2"/>
    <x v="11"/>
    <n v="243333.359375"/>
  </r>
  <r>
    <s v="FINAL0722_BANK_HE1"/>
    <s v="BELUGA RIVER"/>
    <x v="10"/>
    <x v="2"/>
    <x v="12"/>
    <n v="243333.359375"/>
  </r>
  <r>
    <s v="FINAL0722_BANK_HE1"/>
    <s v="BELUGA RIVER"/>
    <x v="10"/>
    <x v="2"/>
    <x v="13"/>
    <n v="243333.359375"/>
  </r>
  <r>
    <s v="FINAL0722_BANK_HE1"/>
    <s v="BELUGA RIVER"/>
    <x v="10"/>
    <x v="2"/>
    <x v="14"/>
    <n v="243333.359375"/>
  </r>
  <r>
    <s v="FINAL0722_BANK_HE1"/>
    <s v="BELUGA RIVER"/>
    <x v="10"/>
    <x v="2"/>
    <x v="15"/>
    <n v="243333.359375"/>
  </r>
  <r>
    <s v="FINAL0722_BANK_HE1"/>
    <s v="BELUGA RIVER"/>
    <x v="10"/>
    <x v="2"/>
    <x v="16"/>
    <n v="243333.359375"/>
  </r>
  <r>
    <s v="FINAL0722_BANK_HE1"/>
    <s v="BELUGA RIVER"/>
    <x v="10"/>
    <x v="2"/>
    <x v="17"/>
    <n v="243333.359375"/>
  </r>
  <r>
    <s v="FINAL0722_BANK_HE1"/>
    <s v="BELUGA RIVER"/>
    <x v="10"/>
    <x v="2"/>
    <x v="18"/>
    <n v="238968.234375"/>
  </r>
  <r>
    <s v="FINAL0722_BANK_HE1"/>
    <s v="BELUGA RIVER"/>
    <x v="10"/>
    <x v="2"/>
    <x v="19"/>
    <n v="230446.1875"/>
  </r>
  <r>
    <s v="FINAL0722_BANK_HE1"/>
    <s v="BELUGA RIVER"/>
    <x v="10"/>
    <x v="2"/>
    <x v="20"/>
    <n v="222228.046875"/>
  </r>
  <r>
    <s v="FINAL0722_BANK_HE1"/>
    <s v="BELUGA RIVER"/>
    <x v="10"/>
    <x v="2"/>
    <x v="21"/>
    <n v="214302.984375"/>
  </r>
  <r>
    <s v="FINAL0722_BANK_HE1"/>
    <s v="BELUGA RIVER"/>
    <x v="10"/>
    <x v="2"/>
    <x v="22"/>
    <n v="206660.546875"/>
  </r>
  <r>
    <s v="FINAL0722_BANK_HE1"/>
    <s v="BELUGA RIVER"/>
    <x v="10"/>
    <x v="2"/>
    <x v="23"/>
    <n v="199290.65625"/>
  </r>
  <r>
    <s v="FINAL0722_BANK_HE1"/>
    <s v="BELUGA RIVER"/>
    <x v="10"/>
    <x v="2"/>
    <x v="24"/>
    <n v="192183.578125"/>
  </r>
  <r>
    <s v="FINAL0722_BANK_HE1"/>
    <s v="BELUGA RIVER"/>
    <x v="10"/>
    <x v="2"/>
    <x v="25"/>
    <n v="185329.953125"/>
  </r>
  <r>
    <s v="FINAL0722_BANK_HE1"/>
    <s v="BELUGA RIVER"/>
    <x v="10"/>
    <x v="2"/>
    <x v="26"/>
    <n v="178720.75"/>
  </r>
  <r>
    <s v="FINAL0722_BANK_HE1"/>
    <s v="BELUGA RIVER"/>
    <x v="10"/>
    <x v="2"/>
    <x v="27"/>
    <n v="172347.234375"/>
  </r>
  <r>
    <s v="FINAL0722_BANK_HE1"/>
    <s v="BELUGA RIVER"/>
    <x v="10"/>
    <x v="2"/>
    <x v="28"/>
    <n v="166201.015625"/>
  </r>
  <r>
    <s v="FINAL0722_BANK_HE1"/>
    <s v="BELUGA RIVER"/>
    <x v="10"/>
    <x v="2"/>
    <x v="29"/>
    <n v="160273.984375"/>
  </r>
  <r>
    <s v="FINAL0722_BANK_HE1"/>
    <s v="BELUGA RIVER"/>
    <x v="10"/>
    <x v="2"/>
    <x v="30"/>
    <n v="154558.3125"/>
  </r>
  <r>
    <s v="FINAL0722_BANK_HE1"/>
    <s v="BELUGA RIVER"/>
    <x v="10"/>
    <x v="2"/>
    <x v="31"/>
    <n v="149046.484375"/>
  </r>
  <r>
    <s v="FINAL0722_BANK_HE1"/>
    <s v="BELUGA RIVER"/>
    <x v="10"/>
    <x v="2"/>
    <x v="32"/>
    <n v="143731.21875"/>
  </r>
  <r>
    <s v="FINAL0722_BANK_HE1"/>
    <s v="BELUGA RIVER"/>
    <x v="10"/>
    <x v="2"/>
    <x v="33"/>
    <n v="138605.5"/>
  </r>
  <r>
    <s v="FINAL0722_BANK_HE1"/>
    <s v="BELUGA RIVER"/>
    <x v="10"/>
    <x v="2"/>
    <x v="34"/>
    <n v="133662.578125"/>
  </r>
  <r>
    <s v="FINAL0722_BANK_HE1"/>
    <s v="BELUGA RIVER"/>
    <x v="10"/>
    <x v="2"/>
    <x v="35"/>
    <n v="128895.921875"/>
  </r>
  <r>
    <s v="FINAL0722_BANK_HE1"/>
    <s v="BELUGA RIVER"/>
    <x v="10"/>
    <x v="2"/>
    <x v="36"/>
    <n v="124299.2578125"/>
  </r>
  <r>
    <s v="FINAL0722_BANK_HE1"/>
    <s v="BELUGA RIVER"/>
    <x v="10"/>
    <x v="2"/>
    <x v="37"/>
    <n v="119866.515625"/>
  </r>
  <r>
    <s v="FINAL0722_BANK_HE1"/>
    <s v="BELUGA RIVER"/>
    <x v="10"/>
    <x v="2"/>
    <x v="38"/>
    <n v="115591.859375"/>
  </r>
  <r>
    <s v="FINAL0722_BANK_HE1"/>
    <s v="BELUGA RIVER"/>
    <x v="10"/>
    <x v="2"/>
    <x v="39"/>
    <n v="111469.640625"/>
  </r>
  <r>
    <s v="FINAL0722_BANK_HE1"/>
    <s v="BELUGA RIVER"/>
    <x v="10"/>
    <x v="2"/>
    <x v="40"/>
    <n v="107494.4296875"/>
  </r>
  <r>
    <s v="FINAL0722_BANK_HE1"/>
    <s v="BELUGA RIVER"/>
    <x v="10"/>
    <x v="2"/>
    <x v="41"/>
    <n v="103660.984375"/>
  </r>
  <r>
    <s v="FINAL0722_BANK_HE1"/>
    <s v="BELUGA RIVER"/>
    <x v="10"/>
    <x v="2"/>
    <x v="42"/>
    <n v="99964.2421875"/>
  </r>
  <r>
    <s v="FINAL0722_BANK_HE1"/>
    <s v="BELUGA RIVER"/>
    <x v="10"/>
    <x v="2"/>
    <x v="43"/>
    <n v="96399.3359375"/>
  </r>
  <r>
    <s v="FINAL0722_BANK_HE1"/>
    <s v="BELUGA RIVER"/>
    <x v="10"/>
    <x v="2"/>
    <x v="44"/>
    <n v="92961.5625"/>
  </r>
  <r>
    <s v="FINAL0722_BANK_HE1"/>
    <s v="BELUGA RIVER"/>
    <x v="10"/>
    <x v="2"/>
    <x v="45"/>
    <n v="89646.3828125"/>
  </r>
  <r>
    <s v="FINAL0722_BANK_HE1"/>
    <s v="BELUGA RIVER"/>
    <x v="10"/>
    <x v="2"/>
    <x v="46"/>
    <n v="86449.4296875"/>
  </r>
  <r>
    <s v="FINAL0722_BANK_HE1"/>
    <s v="BELUGA RIVER"/>
    <x v="10"/>
    <x v="2"/>
    <x v="47"/>
    <n v="83366.484375"/>
  </r>
  <r>
    <s v="FINAL0722_BANK_HE1"/>
    <s v="BELUGA RIVER"/>
    <x v="10"/>
    <x v="2"/>
    <x v="48"/>
    <n v="80393.484375"/>
  </r>
  <r>
    <s v="FINAL0722_BANK_HE1"/>
    <s v="BELUGA RIVER"/>
    <x v="10"/>
    <x v="2"/>
    <x v="49"/>
    <n v="77526.5078125"/>
  </r>
  <r>
    <s v="FINAL0722_BANK_HE1"/>
    <s v="BELUGA RIVER"/>
    <x v="10"/>
    <x v="2"/>
    <x v="50"/>
    <n v="74761.7734375"/>
  </r>
  <r>
    <s v="FINAL0722_BANK_HE1"/>
    <s v="BELUGA RIVER"/>
    <x v="10"/>
    <x v="2"/>
    <x v="51"/>
    <n v="72095.6328125"/>
  </r>
  <r>
    <s v="FINAL0722_BANK_HE1"/>
    <s v="BELUGA RIVER"/>
    <x v="10"/>
    <x v="2"/>
    <x v="52"/>
    <n v="69524.5703125"/>
  </r>
  <r>
    <s v="FINAL0722_BANK_HE1"/>
    <s v="BELUGA RIVER"/>
    <x v="10"/>
    <x v="2"/>
    <x v="53"/>
    <n v="67045.1953125"/>
  </r>
  <r>
    <s v="FINAL0722_BANK_HE1"/>
    <s v="BELUGA RIVER"/>
    <x v="10"/>
    <x v="2"/>
    <x v="54"/>
    <n v="64654.2421875"/>
  </r>
  <r>
    <s v="FINAL0722_BANK_HE1"/>
    <s v="BELUGA RIVER"/>
    <x v="10"/>
    <x v="2"/>
    <x v="55"/>
    <n v="62348.5546875"/>
  </r>
  <r>
    <s v="FINAL0722_BANK_HE1"/>
    <s v="BELUGA RIVER"/>
    <x v="10"/>
    <x v="2"/>
    <x v="56"/>
    <n v="60125.08984375"/>
  </r>
  <r>
    <s v="FINAL0722_BANK_HE1"/>
    <s v="BELUGA RIVER"/>
    <x v="10"/>
    <x v="2"/>
    <x v="57"/>
    <n v="57980.91796875"/>
  </r>
  <r>
    <s v="FINAL0722_BANK_HE1"/>
    <s v="BELUGA RIVER"/>
    <x v="10"/>
    <x v="2"/>
    <x v="58"/>
    <n v="55913.2109375"/>
  </r>
  <r>
    <s v="FINAL0722_BANK_HE1"/>
    <s v="BELUGA RIVER"/>
    <x v="10"/>
    <x v="2"/>
    <x v="59"/>
    <n v="53919.2421875"/>
  </r>
  <r>
    <s v="FINAL0722_BANK_HE1"/>
    <s v="BELUGA RIVER"/>
    <x v="10"/>
    <x v="2"/>
    <x v="60"/>
    <n v="51996.3828125"/>
  </r>
  <r>
    <s v="FINAL0722_BANK_HE1"/>
    <s v="BELUGA RIVER"/>
    <x v="10"/>
    <x v="2"/>
    <x v="61"/>
    <n v="50142.09765625"/>
  </r>
  <r>
    <s v="FINAL0722_BANK_HE1"/>
    <s v="BELUGA RIVER"/>
    <x v="10"/>
    <x v="2"/>
    <x v="62"/>
    <n v="48353.9375"/>
  </r>
  <r>
    <s v="FINAL0722_BANK_HE1"/>
    <s v="BELUGA RIVER"/>
    <x v="10"/>
    <x v="2"/>
    <x v="63"/>
    <n v="46629.546875"/>
  </r>
  <r>
    <s v="FINAL0722_BANK_HE1"/>
    <s v="BELUGA RIVER"/>
    <x v="10"/>
    <x v="2"/>
    <x v="64"/>
    <n v="44966.65234375"/>
  </r>
  <r>
    <s v="FINAL0722_BANK_HE1"/>
    <s v="BELUGA RIVER"/>
    <x v="10"/>
    <x v="2"/>
    <x v="65"/>
    <n v="43363.05859375"/>
  </r>
  <r>
    <s v="FINAL0722_BANK_HE1"/>
    <s v="BELUGA RIVER"/>
    <x v="10"/>
    <x v="2"/>
    <x v="66"/>
    <n v="41816.65234375"/>
  </r>
  <r>
    <s v="FINAL0722_BANK_HE1"/>
    <s v="BELUGA RIVER"/>
    <x v="10"/>
    <x v="2"/>
    <x v="67"/>
    <n v="40325.39453125"/>
  </r>
  <r>
    <s v="FINAL0722_BANK_HE1"/>
    <s v="BELUGA RIVER"/>
    <x v="10"/>
    <x v="2"/>
    <x v="68"/>
    <n v="38887.31640625"/>
  </r>
  <r>
    <s v="FINAL0722_BANK_HE1"/>
    <s v="BELUGA RIVER"/>
    <x v="10"/>
    <x v="2"/>
    <x v="69"/>
    <n v="37500.5234375"/>
  </r>
  <r>
    <s v="FINAL0722_BANK_HE1"/>
    <s v="BELUGA RIVER"/>
    <x v="10"/>
    <x v="2"/>
    <x v="70"/>
    <n v="36163.1875"/>
  </r>
  <r>
    <s v="FINAL0722_BANK_HE1"/>
    <s v="BELUGA RIVER"/>
    <x v="10"/>
    <x v="2"/>
    <x v="71"/>
    <n v="34873.54296875"/>
  </r>
  <r>
    <s v="FINAL0722_BANK_HE1"/>
    <s v="BELUGA RIVER"/>
    <x v="10"/>
    <x v="2"/>
    <x v="72"/>
    <n v="33629.88671875"/>
  </r>
  <r>
    <s v="FINAL0722_BANK_HE1"/>
    <s v="BELUGA RIVER"/>
    <x v="10"/>
    <x v="2"/>
    <x v="73"/>
    <n v="32430.583984375"/>
  </r>
  <r>
    <s v="FINAL0722_BANK_HE1"/>
    <s v="BELUGA RIVER"/>
    <x v="10"/>
    <x v="2"/>
    <x v="74"/>
    <n v="31274.05078125"/>
  </r>
  <r>
    <s v="FINAL0722_BANK_HE1"/>
    <s v="BELUGA RIVER"/>
    <x v="10"/>
    <x v="2"/>
    <x v="75"/>
    <n v="8069"/>
  </r>
  <r>
    <s v="FINAL0722_BANK_HE1"/>
    <s v="BELUGA RIVER"/>
    <x v="11"/>
    <x v="0"/>
    <x v="0"/>
    <n v="104833.953125"/>
  </r>
  <r>
    <s v="FINAL0722_BANK_HE1"/>
    <s v="BELUGA RIVER"/>
    <x v="11"/>
    <x v="0"/>
    <x v="1"/>
    <n v="102463.6328125"/>
  </r>
  <r>
    <s v="FINAL0722_BANK_HE1"/>
    <s v="BELUGA RIVER"/>
    <x v="11"/>
    <x v="0"/>
    <x v="2"/>
    <n v="100146.90625"/>
  </r>
  <r>
    <s v="FINAL0722_BANK_HE1"/>
    <s v="BELUGA RIVER"/>
    <x v="11"/>
    <x v="0"/>
    <x v="3"/>
    <n v="97882.5625"/>
  </r>
  <r>
    <s v="FINAL0722_BANK_HE1"/>
    <s v="BELUGA RIVER"/>
    <x v="11"/>
    <x v="0"/>
    <x v="4"/>
    <n v="95669.4140625"/>
  </r>
  <r>
    <s v="FINAL0722_BANK_HE1"/>
    <s v="BELUGA RIVER"/>
    <x v="11"/>
    <x v="0"/>
    <x v="5"/>
    <n v="93506.3125"/>
  </r>
  <r>
    <s v="FINAL0722_BANK_HE1"/>
    <s v="BELUGA RIVER"/>
    <x v="11"/>
    <x v="0"/>
    <x v="6"/>
    <n v="91392.1171875"/>
  </r>
  <r>
    <s v="FINAL0722_BANK_HE1"/>
    <s v="BELUGA RIVER"/>
    <x v="11"/>
    <x v="0"/>
    <x v="7"/>
    <n v="89325.71875"/>
  </r>
  <r>
    <s v="FINAL0722_BANK_HE1"/>
    <s v="BELUGA RIVER"/>
    <x v="11"/>
    <x v="0"/>
    <x v="8"/>
    <n v="87306.046875"/>
  </r>
  <r>
    <s v="FINAL0722_BANK_HE1"/>
    <s v="BELUGA RIVER"/>
    <x v="11"/>
    <x v="0"/>
    <x v="9"/>
    <n v="85332.0390625"/>
  </r>
  <r>
    <s v="FINAL0722_BANK_HE1"/>
    <s v="BELUGA RIVER"/>
    <x v="11"/>
    <x v="0"/>
    <x v="10"/>
    <n v="83402.6640625"/>
  </r>
  <r>
    <s v="FINAL0722_BANK_HE1"/>
    <s v="BELUGA RIVER"/>
    <x v="11"/>
    <x v="0"/>
    <x v="11"/>
    <n v="81516.9140625"/>
  </r>
  <r>
    <s v="FINAL0722_BANK_HE1"/>
    <s v="BELUGA RIVER"/>
    <x v="11"/>
    <x v="0"/>
    <x v="12"/>
    <n v="79673.796875"/>
  </r>
  <r>
    <s v="FINAL0722_BANK_HE1"/>
    <s v="BELUGA RIVER"/>
    <x v="11"/>
    <x v="0"/>
    <x v="13"/>
    <n v="77872.359375"/>
  </r>
  <r>
    <s v="FINAL0722_BANK_HE1"/>
    <s v="BELUGA RIVER"/>
    <x v="11"/>
    <x v="0"/>
    <x v="14"/>
    <n v="76111.6484375"/>
  </r>
  <r>
    <s v="FINAL0722_BANK_HE1"/>
    <s v="BELUGA RIVER"/>
    <x v="11"/>
    <x v="0"/>
    <x v="15"/>
    <n v="74390.75"/>
  </r>
  <r>
    <s v="FINAL0722_BANK_HE1"/>
    <s v="BELUGA RIVER"/>
    <x v="11"/>
    <x v="0"/>
    <x v="16"/>
    <n v="72708.7578125"/>
  </r>
  <r>
    <s v="FINAL0722_BANK_HE1"/>
    <s v="BELUGA RIVER"/>
    <x v="11"/>
    <x v="0"/>
    <x v="17"/>
    <n v="71064.796875"/>
  </r>
  <r>
    <s v="FINAL0722_BANK_HE1"/>
    <s v="BELUGA RIVER"/>
    <x v="11"/>
    <x v="0"/>
    <x v="18"/>
    <n v="69458.0078125"/>
  </r>
  <r>
    <s v="FINAL0722_BANK_HE1"/>
    <s v="BELUGA RIVER"/>
    <x v="11"/>
    <x v="0"/>
    <x v="19"/>
    <n v="67887.546875"/>
  </r>
  <r>
    <s v="FINAL0722_BANK_HE1"/>
    <s v="BELUGA RIVER"/>
    <x v="11"/>
    <x v="0"/>
    <x v="20"/>
    <n v="66352.59375"/>
  </r>
  <r>
    <s v="FINAL0722_BANK_HE1"/>
    <s v="BELUGA RIVER"/>
    <x v="11"/>
    <x v="0"/>
    <x v="21"/>
    <n v="64852.34765625"/>
  </r>
  <r>
    <s v="FINAL0722_BANK_HE1"/>
    <s v="BELUGA RIVER"/>
    <x v="11"/>
    <x v="0"/>
    <x v="22"/>
    <n v="63386.0234375"/>
  </r>
  <r>
    <s v="FINAL0722_BANK_HE1"/>
    <s v="BELUGA RIVER"/>
    <x v="11"/>
    <x v="0"/>
    <x v="23"/>
    <n v="61952.8515625"/>
  </r>
  <r>
    <s v="FINAL0722_BANK_HE1"/>
    <s v="BELUGA RIVER"/>
    <x v="11"/>
    <x v="0"/>
    <x v="24"/>
    <n v="60552.0859375"/>
  </r>
  <r>
    <s v="FINAL0722_BANK_HE1"/>
    <s v="BELUGA RIVER"/>
    <x v="11"/>
    <x v="0"/>
    <x v="25"/>
    <n v="59182.9921875"/>
  </r>
  <r>
    <s v="FINAL0722_BANK_HE1"/>
    <s v="BELUGA RIVER"/>
    <x v="11"/>
    <x v="0"/>
    <x v="26"/>
    <n v="57844.8515625"/>
  </r>
  <r>
    <s v="FINAL0722_BANK_HE1"/>
    <s v="BELUGA RIVER"/>
    <x v="11"/>
    <x v="0"/>
    <x v="27"/>
    <n v="56536.96875"/>
  </r>
  <r>
    <s v="FINAL0722_BANK_HE1"/>
    <s v="BELUGA RIVER"/>
    <x v="11"/>
    <x v="0"/>
    <x v="28"/>
    <n v="55258.65625"/>
  </r>
  <r>
    <s v="FINAL0722_BANK_HE1"/>
    <s v="BELUGA RIVER"/>
    <x v="11"/>
    <x v="0"/>
    <x v="29"/>
    <n v="54009.24609375"/>
  </r>
  <r>
    <s v="FINAL0722_BANK_HE1"/>
    <s v="BELUGA RIVER"/>
    <x v="11"/>
    <x v="0"/>
    <x v="30"/>
    <n v="52788.0859375"/>
  </r>
  <r>
    <s v="FINAL0722_BANK_HE1"/>
    <s v="BELUGA RIVER"/>
    <x v="11"/>
    <x v="0"/>
    <x v="31"/>
    <n v="51594.53515625"/>
  </r>
  <r>
    <s v="FINAL0722_BANK_HE1"/>
    <s v="BELUGA RIVER"/>
    <x v="11"/>
    <x v="0"/>
    <x v="32"/>
    <n v="50427.97265625"/>
  </r>
  <r>
    <s v="FINAL0722_BANK_HE1"/>
    <s v="BELUGA RIVER"/>
    <x v="11"/>
    <x v="0"/>
    <x v="33"/>
    <n v="49287.78515625"/>
  </r>
  <r>
    <s v="FINAL0722_BANK_HE1"/>
    <s v="BELUGA RIVER"/>
    <x v="11"/>
    <x v="0"/>
    <x v="34"/>
    <n v="48173.37890625"/>
  </r>
  <r>
    <s v="FINAL0722_BANK_HE1"/>
    <s v="BELUGA RIVER"/>
    <x v="11"/>
    <x v="0"/>
    <x v="35"/>
    <n v="47084.16796875"/>
  </r>
  <r>
    <s v="FINAL0722_BANK_HE1"/>
    <s v="BELUGA RIVER"/>
    <x v="11"/>
    <x v="0"/>
    <x v="36"/>
    <n v="46019.5859375"/>
  </r>
  <r>
    <s v="FINAL0722_BANK_HE1"/>
    <s v="BELUGA RIVER"/>
    <x v="11"/>
    <x v="0"/>
    <x v="37"/>
    <n v="44979.07421875"/>
  </r>
  <r>
    <s v="FINAL0722_BANK_HE1"/>
    <s v="BELUGA RIVER"/>
    <x v="11"/>
    <x v="0"/>
    <x v="38"/>
    <n v="43962.08984375"/>
  </r>
  <r>
    <s v="FINAL0722_BANK_HE1"/>
    <s v="BELUGA RIVER"/>
    <x v="11"/>
    <x v="0"/>
    <x v="39"/>
    <n v="42968.09765625"/>
  </r>
  <r>
    <s v="FINAL0722_BANK_HE1"/>
    <s v="BELUGA RIVER"/>
    <x v="11"/>
    <x v="0"/>
    <x v="40"/>
    <n v="41996.58203125"/>
  </r>
  <r>
    <s v="FINAL0722_BANK_HE1"/>
    <s v="BELUGA RIVER"/>
    <x v="11"/>
    <x v="0"/>
    <x v="41"/>
    <n v="41047.03125"/>
  </r>
  <r>
    <s v="FINAL0722_BANK_HE1"/>
    <s v="BELUGA RIVER"/>
    <x v="11"/>
    <x v="0"/>
    <x v="42"/>
    <n v="40118.94921875"/>
  </r>
  <r>
    <s v="FINAL0722_BANK_HE1"/>
    <s v="BELUGA RIVER"/>
    <x v="11"/>
    <x v="0"/>
    <x v="43"/>
    <n v="39211.8515625"/>
  </r>
  <r>
    <s v="FINAL0722_BANK_HE1"/>
    <s v="BELUGA RIVER"/>
    <x v="11"/>
    <x v="0"/>
    <x v="44"/>
    <n v="38325.26171875"/>
  </r>
  <r>
    <s v="FINAL0722_BANK_HE1"/>
    <s v="BELUGA RIVER"/>
    <x v="11"/>
    <x v="0"/>
    <x v="45"/>
    <n v="37458.71875"/>
  </r>
  <r>
    <s v="FINAL0722_BANK_HE1"/>
    <s v="BELUGA RIVER"/>
    <x v="11"/>
    <x v="0"/>
    <x v="46"/>
    <n v="36611.76953125"/>
  </r>
  <r>
    <s v="FINAL0722_BANK_HE1"/>
    <s v="BELUGA RIVER"/>
    <x v="11"/>
    <x v="0"/>
    <x v="47"/>
    <n v="35783.96875"/>
  </r>
  <r>
    <s v="FINAL0722_BANK_HE1"/>
    <s v="BELUGA RIVER"/>
    <x v="11"/>
    <x v="0"/>
    <x v="48"/>
    <n v="34974.88671875"/>
  </r>
  <r>
    <s v="FINAL0722_BANK_HE1"/>
    <s v="BELUGA RIVER"/>
    <x v="11"/>
    <x v="0"/>
    <x v="49"/>
    <n v="34184.09765625"/>
  </r>
  <r>
    <s v="FINAL0722_BANK_HE1"/>
    <s v="BELUGA RIVER"/>
    <x v="11"/>
    <x v="0"/>
    <x v="50"/>
    <n v="33411.1875"/>
  </r>
  <r>
    <s v="FINAL0722_BANK_HE1"/>
    <s v="BELUGA RIVER"/>
    <x v="11"/>
    <x v="0"/>
    <x v="51"/>
    <n v="32655.75390625"/>
  </r>
  <r>
    <s v="FINAL0722_BANK_HE1"/>
    <s v="BELUGA RIVER"/>
    <x v="11"/>
    <x v="0"/>
    <x v="52"/>
    <n v="31917.400390625"/>
  </r>
  <r>
    <s v="FINAL0722_BANK_HE1"/>
    <s v="BELUGA RIVER"/>
    <x v="11"/>
    <x v="0"/>
    <x v="53"/>
    <n v="31195.7421875"/>
  </r>
  <r>
    <s v="FINAL0722_BANK_HE1"/>
    <s v="BELUGA RIVER"/>
    <x v="11"/>
    <x v="0"/>
    <x v="54"/>
    <n v="30490.400390625"/>
  </r>
  <r>
    <s v="FINAL0722_BANK_HE1"/>
    <s v="BELUGA RIVER"/>
    <x v="12"/>
    <x v="1"/>
    <x v="0"/>
    <n v="0"/>
  </r>
  <r>
    <s v="FINAL0722_BANK_HE1"/>
    <s v="BELUGA RIVER"/>
    <x v="12"/>
    <x v="1"/>
    <x v="1"/>
    <n v="0"/>
  </r>
  <r>
    <s v="FINAL0722_BANK_HE1"/>
    <s v="BELUGA RIVER"/>
    <x v="12"/>
    <x v="1"/>
    <x v="2"/>
    <n v="0"/>
  </r>
  <r>
    <s v="FINAL0722_BANK_HE1"/>
    <s v="BELUGA RIVER"/>
    <x v="12"/>
    <x v="1"/>
    <x v="3"/>
    <n v="0"/>
  </r>
  <r>
    <s v="FINAL0722_BANK_HE1"/>
    <s v="BELUGA RIVER"/>
    <x v="12"/>
    <x v="1"/>
    <x v="4"/>
    <n v="0"/>
  </r>
  <r>
    <s v="FINAL0722_BANK_HE1"/>
    <s v="BELUGA RIVER"/>
    <x v="12"/>
    <x v="1"/>
    <x v="5"/>
    <n v="0"/>
  </r>
  <r>
    <s v="FINAL0722_BANK_HE1"/>
    <s v="BELUGA RIVER"/>
    <x v="12"/>
    <x v="1"/>
    <x v="6"/>
    <n v="0"/>
  </r>
  <r>
    <s v="FINAL0722_BANK_HE1"/>
    <s v="BELUGA RIVER"/>
    <x v="12"/>
    <x v="1"/>
    <x v="7"/>
    <n v="0"/>
  </r>
  <r>
    <s v="FINAL0722_BANK_HE1"/>
    <s v="BELUGA RIVER"/>
    <x v="12"/>
    <x v="1"/>
    <x v="8"/>
    <n v="0"/>
  </r>
  <r>
    <s v="FINAL0722_BANK_HE1"/>
    <s v="BELUGA RIVER"/>
    <x v="12"/>
    <x v="1"/>
    <x v="9"/>
    <n v="0"/>
  </r>
  <r>
    <s v="FINAL0722_BANK_HE1"/>
    <s v="BELUGA RIVER"/>
    <x v="12"/>
    <x v="1"/>
    <x v="10"/>
    <n v="0"/>
  </r>
  <r>
    <s v="FINAL0722_BANK_HE1"/>
    <s v="BELUGA RIVER"/>
    <x v="12"/>
    <x v="1"/>
    <x v="11"/>
    <n v="0"/>
  </r>
  <r>
    <s v="FINAL0722_BANK_HE1"/>
    <s v="BELUGA RIVER"/>
    <x v="12"/>
    <x v="1"/>
    <x v="12"/>
    <n v="0"/>
  </r>
  <r>
    <s v="FINAL0722_BANK_HE1"/>
    <s v="BELUGA RIVER"/>
    <x v="12"/>
    <x v="1"/>
    <x v="13"/>
    <n v="0"/>
  </r>
  <r>
    <s v="FINAL0722_BANK_HE1"/>
    <s v="BELUGA RIVER"/>
    <x v="12"/>
    <x v="1"/>
    <x v="14"/>
    <n v="0"/>
  </r>
  <r>
    <s v="FINAL0722_BANK_HE1"/>
    <s v="BELUGA RIVER"/>
    <x v="12"/>
    <x v="1"/>
    <x v="15"/>
    <n v="0"/>
  </r>
  <r>
    <s v="FINAL0722_BANK_HE1"/>
    <s v="BELUGA RIVER"/>
    <x v="12"/>
    <x v="1"/>
    <x v="16"/>
    <n v="0"/>
  </r>
  <r>
    <s v="FINAL0722_BANK_HE1"/>
    <s v="BELUGA RIVER"/>
    <x v="12"/>
    <x v="1"/>
    <x v="17"/>
    <n v="0"/>
  </r>
  <r>
    <s v="FINAL0722_BANK_HE1"/>
    <s v="BELUGA RIVER"/>
    <x v="12"/>
    <x v="1"/>
    <x v="18"/>
    <n v="0"/>
  </r>
  <r>
    <s v="FINAL0722_BANK_HE1"/>
    <s v="BELUGA RIVER"/>
    <x v="12"/>
    <x v="1"/>
    <x v="19"/>
    <n v="0"/>
  </r>
  <r>
    <s v="FINAL0722_BANK_HE1"/>
    <s v="BELUGA RIVER"/>
    <x v="12"/>
    <x v="1"/>
    <x v="20"/>
    <n v="0"/>
  </r>
  <r>
    <s v="FINAL0722_BANK_HE1"/>
    <s v="BELUGA RIVER"/>
    <x v="12"/>
    <x v="1"/>
    <x v="21"/>
    <n v="0"/>
  </r>
  <r>
    <s v="FINAL0722_BANK_HE1"/>
    <s v="BELUGA RIVER"/>
    <x v="12"/>
    <x v="1"/>
    <x v="22"/>
    <n v="0"/>
  </r>
  <r>
    <s v="FINAL0722_BANK_HE1"/>
    <s v="BELUGA RIVER"/>
    <x v="12"/>
    <x v="1"/>
    <x v="23"/>
    <n v="0"/>
  </r>
  <r>
    <s v="FINAL0722_BANK_HE1"/>
    <s v="BELUGA RIVER"/>
    <x v="12"/>
    <x v="1"/>
    <x v="24"/>
    <n v="0"/>
  </r>
  <r>
    <s v="FINAL0722_BANK_HE1"/>
    <s v="BELUGA RIVER"/>
    <x v="12"/>
    <x v="1"/>
    <x v="25"/>
    <n v="0"/>
  </r>
  <r>
    <s v="FINAL0722_BANK_HE1"/>
    <s v="BELUGA RIVER"/>
    <x v="12"/>
    <x v="1"/>
    <x v="26"/>
    <n v="0"/>
  </r>
  <r>
    <s v="FINAL0722_BANK_HE1"/>
    <s v="BELUGA RIVER"/>
    <x v="12"/>
    <x v="1"/>
    <x v="27"/>
    <n v="0"/>
  </r>
  <r>
    <s v="FINAL0722_BANK_HE1"/>
    <s v="BELUGA RIVER"/>
    <x v="12"/>
    <x v="1"/>
    <x v="28"/>
    <n v="0"/>
  </r>
  <r>
    <s v="FINAL0722_BANK_HE1"/>
    <s v="BELUGA RIVER"/>
    <x v="12"/>
    <x v="1"/>
    <x v="29"/>
    <n v="0"/>
  </r>
  <r>
    <s v="FINAL0722_BANK_HE1"/>
    <s v="BELUGA RIVER"/>
    <x v="12"/>
    <x v="1"/>
    <x v="30"/>
    <n v="0"/>
  </r>
  <r>
    <s v="FINAL0722_BANK_HE1"/>
    <s v="BELUGA RIVER"/>
    <x v="12"/>
    <x v="1"/>
    <x v="31"/>
    <n v="0"/>
  </r>
  <r>
    <s v="FINAL0722_BANK_HE1"/>
    <s v="BELUGA RIVER"/>
    <x v="12"/>
    <x v="1"/>
    <x v="32"/>
    <n v="0"/>
  </r>
  <r>
    <s v="FINAL0722_BANK_HE1"/>
    <s v="BELUGA RIVER"/>
    <x v="12"/>
    <x v="1"/>
    <x v="33"/>
    <n v="0"/>
  </r>
  <r>
    <s v="FINAL0722_BANK_HE1"/>
    <s v="BELUGA RIVER"/>
    <x v="12"/>
    <x v="1"/>
    <x v="34"/>
    <n v="0"/>
  </r>
  <r>
    <s v="FINAL0722_BANK_HE1"/>
    <s v="BELUGA RIVER"/>
    <x v="12"/>
    <x v="1"/>
    <x v="35"/>
    <n v="0"/>
  </r>
  <r>
    <s v="FINAL0722_BANK_HE1"/>
    <s v="BELUGA RIVER"/>
    <x v="12"/>
    <x v="1"/>
    <x v="36"/>
    <n v="0"/>
  </r>
  <r>
    <s v="FINAL0722_BANK_HE1"/>
    <s v="BELUGA RIVER"/>
    <x v="12"/>
    <x v="1"/>
    <x v="37"/>
    <n v="0"/>
  </r>
  <r>
    <s v="FINAL0722_BANK_HE1"/>
    <s v="BELUGA RIVER"/>
    <x v="12"/>
    <x v="1"/>
    <x v="38"/>
    <n v="0"/>
  </r>
  <r>
    <s v="FINAL0722_BANK_HE1"/>
    <s v="BELUGA RIVER"/>
    <x v="12"/>
    <x v="1"/>
    <x v="39"/>
    <n v="0"/>
  </r>
  <r>
    <s v="FINAL0722_BANK_HE1"/>
    <s v="BELUGA RIVER"/>
    <x v="12"/>
    <x v="1"/>
    <x v="40"/>
    <n v="0"/>
  </r>
  <r>
    <s v="FINAL0722_BANK_HE1"/>
    <s v="BELUGA RIVER"/>
    <x v="12"/>
    <x v="1"/>
    <x v="41"/>
    <n v="0"/>
  </r>
  <r>
    <s v="FINAL0722_BANK_HE1"/>
    <s v="BELUGA RIVER"/>
    <x v="12"/>
    <x v="1"/>
    <x v="42"/>
    <n v="0"/>
  </r>
  <r>
    <s v="FINAL0722_BANK_HE1"/>
    <s v="BELUGA RIVER"/>
    <x v="12"/>
    <x v="1"/>
    <x v="43"/>
    <n v="0"/>
  </r>
  <r>
    <s v="FINAL0722_BANK_HE1"/>
    <s v="BELUGA RIVER"/>
    <x v="12"/>
    <x v="1"/>
    <x v="44"/>
    <n v="0"/>
  </r>
  <r>
    <s v="FINAL0722_BANK_HE1"/>
    <s v="BELUGA RIVER"/>
    <x v="12"/>
    <x v="1"/>
    <x v="45"/>
    <n v="0"/>
  </r>
  <r>
    <s v="FINAL0722_BANK_HE1"/>
    <s v="BELUGA RIVER"/>
    <x v="12"/>
    <x v="1"/>
    <x v="46"/>
    <n v="0"/>
  </r>
  <r>
    <s v="FINAL0722_BANK_HE1"/>
    <s v="BELUGA RIVER"/>
    <x v="12"/>
    <x v="1"/>
    <x v="47"/>
    <n v="0"/>
  </r>
  <r>
    <s v="FINAL0722_BANK_HE1"/>
    <s v="BELUGA RIVER"/>
    <x v="12"/>
    <x v="1"/>
    <x v="48"/>
    <n v="0"/>
  </r>
  <r>
    <s v="FINAL0722_BANK_HE1"/>
    <s v="BELUGA RIVER"/>
    <x v="12"/>
    <x v="1"/>
    <x v="49"/>
    <n v="0"/>
  </r>
  <r>
    <s v="FINAL0722_BANK_HE1"/>
    <s v="BELUGA RIVER"/>
    <x v="12"/>
    <x v="1"/>
    <x v="50"/>
    <n v="0"/>
  </r>
  <r>
    <s v="FINAL0722_BANK_HE1"/>
    <s v="BELUGA RIVER"/>
    <x v="12"/>
    <x v="1"/>
    <x v="51"/>
    <n v="0"/>
  </r>
  <r>
    <s v="FINAL0722_BANK_HE1"/>
    <s v="BELUGA RIVER"/>
    <x v="12"/>
    <x v="1"/>
    <x v="52"/>
    <n v="0"/>
  </r>
  <r>
    <s v="FINAL0722_BANK_HE1"/>
    <s v="BELUGA RIVER"/>
    <x v="12"/>
    <x v="1"/>
    <x v="53"/>
    <n v="0"/>
  </r>
  <r>
    <s v="FINAL0722_BANK_HE1"/>
    <s v="BELUGA RIVER"/>
    <x v="12"/>
    <x v="1"/>
    <x v="54"/>
    <n v="0"/>
  </r>
  <r>
    <s v="FINAL0722_BANK_HE1"/>
    <s v="BELUGA RIVER"/>
    <x v="12"/>
    <x v="1"/>
    <x v="55"/>
    <n v="0"/>
  </r>
  <r>
    <s v="FINAL0722_BANK_HE1"/>
    <s v="BELUGA RIVER"/>
    <x v="12"/>
    <x v="1"/>
    <x v="56"/>
    <n v="0"/>
  </r>
  <r>
    <s v="FINAL0722_BANK_HE1"/>
    <s v="BELUGA RIVER"/>
    <x v="12"/>
    <x v="1"/>
    <x v="57"/>
    <n v="0"/>
  </r>
  <r>
    <s v="FINAL0722_BANK_HE1"/>
    <s v="BELUGA RIVER"/>
    <x v="12"/>
    <x v="1"/>
    <x v="58"/>
    <n v="0"/>
  </r>
  <r>
    <s v="FINAL0722_BANK_HE1"/>
    <s v="BELUGA RIVER"/>
    <x v="12"/>
    <x v="1"/>
    <x v="59"/>
    <n v="0"/>
  </r>
  <r>
    <s v="FINAL0722_BANK_HE1"/>
    <s v="BELUGA RIVER"/>
    <x v="12"/>
    <x v="1"/>
    <x v="60"/>
    <n v="0"/>
  </r>
  <r>
    <s v="FINAL0722_BANK_HE1"/>
    <s v="BELUGA RIVER"/>
    <x v="12"/>
    <x v="1"/>
    <x v="61"/>
    <n v="0"/>
  </r>
  <r>
    <s v="FINAL0722_BANK_HE1"/>
    <s v="BELUGA RIVER"/>
    <x v="12"/>
    <x v="1"/>
    <x v="62"/>
    <n v="0"/>
  </r>
  <r>
    <s v="FINAL0722_BANK_HE1"/>
    <s v="BELUGA RIVER"/>
    <x v="12"/>
    <x v="1"/>
    <x v="63"/>
    <n v="0"/>
  </r>
  <r>
    <s v="FINAL0722_BANK_HE1"/>
    <s v="BELUGA RIVER"/>
    <x v="12"/>
    <x v="1"/>
    <x v="64"/>
    <n v="0"/>
  </r>
  <r>
    <s v="FINAL0722_BANK_HE1"/>
    <s v="BELUGA RIVER"/>
    <x v="12"/>
    <x v="1"/>
    <x v="65"/>
    <n v="0"/>
  </r>
  <r>
    <s v="FINAL0722_BANK_HE1"/>
    <s v="BELUGA RIVER"/>
    <x v="12"/>
    <x v="1"/>
    <x v="66"/>
    <n v="0"/>
  </r>
  <r>
    <s v="FINAL0722_BANK_HE1"/>
    <s v="BELUGA RIVER"/>
    <x v="12"/>
    <x v="1"/>
    <x v="67"/>
    <n v="0"/>
  </r>
  <r>
    <s v="FINAL0722_BANK_HE1"/>
    <s v="BELUGA RIVER"/>
    <x v="12"/>
    <x v="1"/>
    <x v="68"/>
    <n v="0"/>
  </r>
  <r>
    <s v="FINAL0722_BANK_HE1"/>
    <s v="BELUGA RIVER"/>
    <x v="12"/>
    <x v="1"/>
    <x v="69"/>
    <n v="0"/>
  </r>
  <r>
    <s v="FINAL0722_BANK_HE1"/>
    <s v="BELUGA RIVER"/>
    <x v="12"/>
    <x v="1"/>
    <x v="70"/>
    <n v="59845.57421875"/>
  </r>
  <r>
    <s v="FINAL0722_BANK_HE1"/>
    <s v="BELUGA RIVER"/>
    <x v="12"/>
    <x v="1"/>
    <x v="71"/>
    <n v="59537.7890625"/>
  </r>
  <r>
    <s v="FINAL0722_BANK_HE1"/>
    <s v="BELUGA RIVER"/>
    <x v="12"/>
    <x v="1"/>
    <x v="72"/>
    <n v="59231.5859375"/>
  </r>
  <r>
    <s v="FINAL0722_BANK_HE1"/>
    <s v="BELUGA RIVER"/>
    <x v="12"/>
    <x v="1"/>
    <x v="73"/>
    <n v="58926.95703125"/>
  </r>
  <r>
    <s v="FINAL0722_BANK_HE1"/>
    <s v="BELUGA RIVER"/>
    <x v="12"/>
    <x v="1"/>
    <x v="74"/>
    <n v="58623.89453125"/>
  </r>
  <r>
    <s v="FINAL0722_BANK_HE1"/>
    <s v="BELUGA RIVER"/>
    <x v="12"/>
    <x v="1"/>
    <x v="75"/>
    <n v="58322.390625"/>
  </r>
  <r>
    <s v="FINAL0722_BANK_HE1"/>
    <s v="BELUGA RIVER"/>
    <x v="12"/>
    <x v="1"/>
    <x v="76"/>
    <n v="58022.4375"/>
  </r>
  <r>
    <s v="FINAL0722_BANK_HE1"/>
    <s v="BELUGA RIVER"/>
    <x v="12"/>
    <x v="1"/>
    <x v="77"/>
    <n v="57724.02734375"/>
  </r>
  <r>
    <s v="FINAL0722_BANK_HE1"/>
    <s v="BELUGA RIVER"/>
    <x v="12"/>
    <x v="1"/>
    <x v="78"/>
    <n v="57427.15234375"/>
  </r>
  <r>
    <s v="FINAL0722_BANK_HE1"/>
    <s v="BELUGA RIVER"/>
    <x v="12"/>
    <x v="1"/>
    <x v="79"/>
    <n v="57131.8046875"/>
  </r>
  <r>
    <s v="FINAL0722_BANK_HE1"/>
    <s v="BELUGA RIVER"/>
    <x v="12"/>
    <x v="1"/>
    <x v="80"/>
    <n v="56837.9765625"/>
  </r>
  <r>
    <s v="FINAL0722_BANK_HE1"/>
    <s v="BELUGA RIVER"/>
    <x v="12"/>
    <x v="1"/>
    <x v="81"/>
    <n v="56545.65625"/>
  </r>
  <r>
    <s v="FINAL0722_BANK_HE1"/>
    <s v="BELUGA RIVER"/>
    <x v="12"/>
    <x v="1"/>
    <x v="82"/>
    <n v="56254.83984375"/>
  </r>
  <r>
    <s v="FINAL0722_BANK_HE1"/>
    <s v="BELUGA RIVER"/>
    <x v="12"/>
    <x v="1"/>
    <x v="83"/>
    <n v="55965.51953125"/>
  </r>
  <r>
    <s v="FINAL0722_BANK_HE1"/>
    <s v="BELUGA RIVER"/>
    <x v="12"/>
    <x v="1"/>
    <x v="84"/>
    <n v="55677.6875"/>
  </r>
  <r>
    <s v="FINAL0722_BANK_HE1"/>
    <s v="BELUGA RIVER"/>
    <x v="12"/>
    <x v="1"/>
    <x v="85"/>
    <n v="55391.3359375"/>
  </r>
  <r>
    <s v="FINAL0722_BANK_HE1"/>
    <s v="BELUGA RIVER"/>
    <x v="12"/>
    <x v="1"/>
    <x v="86"/>
    <n v="55106.45703125"/>
  </r>
  <r>
    <s v="FINAL0722_BANK_HE1"/>
    <s v="BELUGA RIVER"/>
    <x v="12"/>
    <x v="1"/>
    <x v="87"/>
    <n v="54823.04296875"/>
  </r>
  <r>
    <s v="FINAL0722_BANK_HE1"/>
    <s v="BELUGA RIVER"/>
    <x v="12"/>
    <x v="1"/>
    <x v="88"/>
    <n v="54541.0859375"/>
  </r>
  <r>
    <s v="FINAL0722_BANK_HE1"/>
    <s v="BELUGA RIVER"/>
    <x v="12"/>
    <x v="1"/>
    <x v="89"/>
    <n v="54260.58203125"/>
  </r>
  <r>
    <s v="FINAL0722_BANK_HE1"/>
    <s v="BELUGA RIVER"/>
    <x v="12"/>
    <x v="1"/>
    <x v="90"/>
    <n v="53981.51953125"/>
  </r>
  <r>
    <s v="FINAL0722_BANK_HE1"/>
    <s v="BELUGA RIVER"/>
    <x v="12"/>
    <x v="1"/>
    <x v="91"/>
    <n v="53703.890625"/>
  </r>
  <r>
    <s v="FINAL0722_BANK_HE1"/>
    <s v="BELUGA RIVER"/>
    <x v="12"/>
    <x v="1"/>
    <x v="92"/>
    <n v="53427.69140625"/>
  </r>
  <r>
    <s v="FINAL0722_BANK_HE1"/>
    <s v="BELUGA RIVER"/>
    <x v="12"/>
    <x v="1"/>
    <x v="93"/>
    <n v="53152.91015625"/>
  </r>
  <r>
    <s v="FINAL0722_BANK_HE1"/>
    <s v="BELUGA RIVER"/>
    <x v="12"/>
    <x v="1"/>
    <x v="94"/>
    <n v="52879.54296875"/>
  </r>
  <r>
    <s v="FINAL0722_BANK_HE1"/>
    <s v="BELUGA RIVER"/>
    <x v="12"/>
    <x v="1"/>
    <x v="95"/>
    <n v="52607.58203125"/>
  </r>
  <r>
    <s v="FINAL0722_BANK_HE1"/>
    <s v="BELUGA RIVER"/>
    <x v="12"/>
    <x v="1"/>
    <x v="96"/>
    <n v="52337.01953125"/>
  </r>
  <r>
    <s v="FINAL0722_BANK_HE1"/>
    <s v="BELUGA RIVER"/>
    <x v="12"/>
    <x v="1"/>
    <x v="97"/>
    <n v="52067.84765625"/>
  </r>
  <r>
    <s v="FINAL0722_BANK_HE1"/>
    <s v="BELUGA RIVER"/>
    <x v="12"/>
    <x v="1"/>
    <x v="98"/>
    <n v="51800.0625"/>
  </r>
  <r>
    <s v="FINAL0722_BANK_HE1"/>
    <s v="BELUGA RIVER"/>
    <x v="12"/>
    <x v="1"/>
    <x v="99"/>
    <n v="51533.65234375"/>
  </r>
  <r>
    <s v="FINAL0722_BANK_HE1"/>
    <s v="BELUGA RIVER"/>
    <x v="12"/>
    <x v="1"/>
    <x v="100"/>
    <n v="51268.61328125"/>
  </r>
  <r>
    <s v="FINAL0722_BANK_HE1"/>
    <s v="BELUGA RIVER"/>
    <x v="12"/>
    <x v="1"/>
    <x v="101"/>
    <n v="51004.9375"/>
  </r>
  <r>
    <s v="FINAL0722_BANK_HE1"/>
    <s v="BELUGA RIVER"/>
    <x v="12"/>
    <x v="1"/>
    <x v="102"/>
    <n v="50742.6171875"/>
  </r>
  <r>
    <s v="FINAL0722_BANK_HE1"/>
    <s v="BELUGA RIVER"/>
    <x v="12"/>
    <x v="1"/>
    <x v="103"/>
    <n v="50481.6484375"/>
  </r>
  <r>
    <s v="FINAL0722_BANK_HE1"/>
    <s v="BELUGA RIVER"/>
    <x v="12"/>
    <x v="1"/>
    <x v="104"/>
    <n v="50222.01953125"/>
  </r>
  <r>
    <s v="FINAL0722_BANK_HE1"/>
    <s v="BELUGA RIVER"/>
    <x v="12"/>
    <x v="1"/>
    <x v="105"/>
    <n v="49963.7265625"/>
  </r>
  <r>
    <s v="FINAL0722_BANK_HE1"/>
    <s v="BELUGA RIVER"/>
    <x v="12"/>
    <x v="1"/>
    <x v="106"/>
    <n v="49706.76171875"/>
  </r>
  <r>
    <s v="FINAL0722_BANK_HE1"/>
    <s v="BELUGA RIVER"/>
    <x v="12"/>
    <x v="1"/>
    <x v="107"/>
    <n v="49451.12109375"/>
  </r>
  <r>
    <s v="FINAL0722_BANK_HE1"/>
    <s v="BELUGA RIVER"/>
    <x v="12"/>
    <x v="1"/>
    <x v="108"/>
    <n v="49196.79296875"/>
  </r>
  <r>
    <s v="FINAL0722_BANK_HE1"/>
    <s v="BELUGA RIVER"/>
    <x v="12"/>
    <x v="1"/>
    <x v="109"/>
    <n v="48943.7734375"/>
  </r>
  <r>
    <s v="FINAL0722_BANK_HE1"/>
    <s v="BELUGA RIVER"/>
    <x v="12"/>
    <x v="1"/>
    <x v="110"/>
    <n v="48692.0546875"/>
  </r>
  <r>
    <s v="FINAL0722_BANK_HE1"/>
    <s v="BELUGA RIVER"/>
    <x v="12"/>
    <x v="1"/>
    <x v="111"/>
    <n v="48441.62890625"/>
  </r>
  <r>
    <s v="FINAL0722_BANK_HE1"/>
    <s v="BELUGA RIVER"/>
    <x v="12"/>
    <x v="1"/>
    <x v="112"/>
    <n v="48192.4921875"/>
  </r>
  <r>
    <s v="FINAL0722_BANK_HE1"/>
    <s v="BELUGA RIVER"/>
    <x v="12"/>
    <x v="1"/>
    <x v="113"/>
    <n v="47944.63671875"/>
  </r>
  <r>
    <s v="FINAL0722_BANK_HE1"/>
    <s v="BELUGA RIVER"/>
    <x v="12"/>
    <x v="1"/>
    <x v="114"/>
    <n v="47698.05859375"/>
  </r>
  <r>
    <s v="FINAL0722_BANK_HE1"/>
    <s v="BELUGA RIVER"/>
    <x v="12"/>
    <x v="1"/>
    <x v="115"/>
    <n v="47452.74609375"/>
  </r>
  <r>
    <s v="FINAL0722_BANK_HE1"/>
    <s v="BELUGA RIVER"/>
    <x v="12"/>
    <x v="1"/>
    <x v="116"/>
    <n v="47208.6953125"/>
  </r>
  <r>
    <s v="FINAL0722_BANK_HE1"/>
    <s v="BELUGA RIVER"/>
    <x v="12"/>
    <x v="1"/>
    <x v="117"/>
    <n v="46965.8984375"/>
  </r>
  <r>
    <s v="FINAL0722_BANK_HE1"/>
    <s v="BELUGA RIVER"/>
    <x v="12"/>
    <x v="1"/>
    <x v="118"/>
    <n v="46724.3515625"/>
  </r>
  <r>
    <s v="FINAL0722_BANK_HE1"/>
    <s v="BELUGA RIVER"/>
    <x v="12"/>
    <x v="1"/>
    <x v="119"/>
    <n v="46484.046875"/>
  </r>
  <r>
    <s v="FINAL0722_BANK_HE1"/>
    <s v="BELUGA RIVER"/>
    <x v="12"/>
    <x v="1"/>
    <x v="120"/>
    <n v="46244.98046875"/>
  </r>
  <r>
    <s v="FINAL0722_BANK_HE1"/>
    <s v="BELUGA RIVER"/>
    <x v="12"/>
    <x v="1"/>
    <x v="121"/>
    <n v="46007.140625"/>
  </r>
  <r>
    <s v="FINAL0722_BANK_HE1"/>
    <s v="BELUGA RIVER"/>
    <x v="12"/>
    <x v="1"/>
    <x v="122"/>
    <n v="45770.5234375"/>
  </r>
  <r>
    <s v="FINAL0722_BANK_HE1"/>
    <s v="BELUGA RIVER"/>
    <x v="12"/>
    <x v="1"/>
    <x v="123"/>
    <n v="45535.125"/>
  </r>
  <r>
    <s v="FINAL0722_BANK_HE1"/>
    <s v="BELUGA RIVER"/>
    <x v="12"/>
    <x v="1"/>
    <x v="124"/>
    <n v="45300.9375"/>
  </r>
  <r>
    <s v="FINAL0722_BANK_HE1"/>
    <s v="BELUGA RIVER"/>
    <x v="12"/>
    <x v="1"/>
    <x v="125"/>
    <n v="45067.953125"/>
  </r>
  <r>
    <s v="FINAL0722_BANK_HE1"/>
    <s v="BELUGA RIVER"/>
    <x v="12"/>
    <x v="1"/>
    <x v="126"/>
    <n v="44836.16796875"/>
  </r>
  <r>
    <s v="FINAL0722_BANK_HE1"/>
    <s v="BELUGA RIVER"/>
    <x v="12"/>
    <x v="1"/>
    <x v="127"/>
    <n v="44605.57421875"/>
  </r>
  <r>
    <s v="FINAL0722_BANK_HE1"/>
    <s v="BELUGA RIVER"/>
    <x v="12"/>
    <x v="1"/>
    <x v="128"/>
    <n v="44376.16796875"/>
  </r>
  <r>
    <s v="FINAL0722_BANK_HE1"/>
    <s v="BELUGA RIVER"/>
    <x v="12"/>
    <x v="1"/>
    <x v="129"/>
    <n v="44147.94140625"/>
  </r>
  <r>
    <s v="FINAL0722_BANK_HE1"/>
    <s v="BELUGA RIVER"/>
    <x v="12"/>
    <x v="1"/>
    <x v="130"/>
    <n v="43920.88671875"/>
  </r>
  <r>
    <s v="FINAL0722_BANK_HE1"/>
    <s v="BELUGA RIVER"/>
    <x v="12"/>
    <x v="1"/>
    <x v="131"/>
    <n v="43695"/>
  </r>
  <r>
    <s v="FINAL0722_BANK_HE1"/>
    <s v="BELUGA RIVER"/>
    <x v="12"/>
    <x v="1"/>
    <x v="132"/>
    <n v="43470.27734375"/>
  </r>
  <r>
    <s v="FINAL0722_BANK_HE1"/>
    <s v="BELUGA RIVER"/>
    <x v="12"/>
    <x v="1"/>
    <x v="133"/>
    <n v="43246.7109375"/>
  </r>
  <r>
    <s v="FINAL0722_BANK_HE1"/>
    <s v="BELUGA RIVER"/>
    <x v="12"/>
    <x v="1"/>
    <x v="134"/>
    <n v="43024.29296875"/>
  </r>
  <r>
    <s v="FINAL0722_BANK_HE1"/>
    <s v="BELUGA RIVER"/>
    <x v="12"/>
    <x v="1"/>
    <x v="135"/>
    <n v="42803.01953125"/>
  </r>
  <r>
    <s v="FINAL0722_BANK_HE1"/>
    <s v="BELUGA RIVER"/>
    <x v="12"/>
    <x v="1"/>
    <x v="136"/>
    <n v="42582.8828125"/>
  </r>
  <r>
    <s v="FINAL0722_BANK_HE1"/>
    <s v="BELUGA RIVER"/>
    <x v="12"/>
    <x v="1"/>
    <x v="137"/>
    <n v="42363.87890625"/>
  </r>
  <r>
    <s v="FINAL0722_BANK_HE1"/>
    <s v="BELUGA RIVER"/>
    <x v="12"/>
    <x v="1"/>
    <x v="138"/>
    <n v="42146"/>
  </r>
  <r>
    <s v="FINAL0722_BANK_HE1"/>
    <s v="BELUGA RIVER"/>
    <x v="12"/>
    <x v="1"/>
    <x v="139"/>
    <n v="41929.2421875"/>
  </r>
  <r>
    <s v="FINAL0722_BANK_HE1"/>
    <s v="BELUGA RIVER"/>
    <x v="12"/>
    <x v="1"/>
    <x v="140"/>
    <n v="41713.59765625"/>
  </r>
  <r>
    <s v="FINAL0722_BANK_HE1"/>
    <s v="BELUGA RIVER"/>
    <x v="12"/>
    <x v="1"/>
    <x v="141"/>
    <n v="41499.0625"/>
  </r>
  <r>
    <s v="FINAL0722_BANK_HE1"/>
    <s v="BELUGA RIVER"/>
    <x v="12"/>
    <x v="1"/>
    <x v="142"/>
    <n v="41285.6328125"/>
  </r>
  <r>
    <s v="FINAL0722_BANK_HE1"/>
    <s v="BELUGA RIVER"/>
    <x v="12"/>
    <x v="1"/>
    <x v="143"/>
    <n v="41073.30078125"/>
  </r>
  <r>
    <s v="FINAL0722_BANK_HE1"/>
    <s v="BELUGA RIVER"/>
    <x v="12"/>
    <x v="1"/>
    <x v="144"/>
    <n v="40862.05859375"/>
  </r>
  <r>
    <s v="FINAL0722_BANK_HE1"/>
    <s v="BELUGA RIVER"/>
    <x v="12"/>
    <x v="1"/>
    <x v="145"/>
    <n v="40651.90625"/>
  </r>
  <r>
    <s v="FINAL0722_BANK_HE1"/>
    <s v="BELUGA RIVER"/>
    <x v="12"/>
    <x v="1"/>
    <x v="146"/>
    <n v="40442.83203125"/>
  </r>
  <r>
    <s v="FINAL0722_BANK_HE1"/>
    <s v="BELUGA RIVER"/>
    <x v="12"/>
    <x v="1"/>
    <x v="147"/>
    <n v="40234.8359375"/>
  </r>
  <r>
    <s v="FINAL0722_BANK_HE1"/>
    <s v="BELUGA RIVER"/>
    <x v="12"/>
    <x v="1"/>
    <x v="148"/>
    <n v="40027.90625"/>
  </r>
  <r>
    <s v="FINAL0722_BANK_HE1"/>
    <s v="BELUGA RIVER"/>
    <x v="12"/>
    <x v="1"/>
    <x v="149"/>
    <n v="39822.04296875"/>
  </r>
  <r>
    <s v="FINAL0722_BANK_HE1"/>
    <s v="BELUGA RIVER"/>
    <x v="12"/>
    <x v="1"/>
    <x v="150"/>
    <n v="39617.23828125"/>
  </r>
  <r>
    <s v="FINAL0722_BANK_HE1"/>
    <s v="BELUGA RIVER"/>
    <x v="12"/>
    <x v="1"/>
    <x v="151"/>
    <n v="39413.484375"/>
  </r>
  <r>
    <s v="FINAL0722_BANK_HE1"/>
    <s v="BELUGA RIVER"/>
    <x v="12"/>
    <x v="1"/>
    <x v="152"/>
    <n v="39210.78125"/>
  </r>
  <r>
    <s v="FINAL0722_BANK_HE1"/>
    <s v="BELUGA RIVER"/>
    <x v="12"/>
    <x v="1"/>
    <x v="153"/>
    <n v="39009.12109375"/>
  </r>
  <r>
    <s v="FINAL0722_BANK_HE1"/>
    <s v="BELUGA RIVER"/>
    <x v="12"/>
    <x v="1"/>
    <x v="154"/>
    <n v="38808.49609375"/>
  </r>
  <r>
    <s v="FINAL0722_BANK_HE1"/>
    <s v="BELUGA RIVER"/>
    <x v="12"/>
    <x v="1"/>
    <x v="155"/>
    <n v="38608.90234375"/>
  </r>
  <r>
    <s v="FINAL0722_BANK_HE1"/>
    <s v="BELUGA RIVER"/>
    <x v="12"/>
    <x v="1"/>
    <x v="156"/>
    <n v="38410.3359375"/>
  </r>
  <r>
    <s v="FINAL0722_BANK_HE1"/>
    <s v="BELUGA RIVER"/>
    <x v="12"/>
    <x v="1"/>
    <x v="157"/>
    <n v="38212.79296875"/>
  </r>
  <r>
    <s v="FINAL0722_BANK_HE1"/>
    <s v="BELUGA RIVER"/>
    <x v="12"/>
    <x v="1"/>
    <x v="158"/>
    <n v="38016.265625"/>
  </r>
  <r>
    <s v="FINAL0722_BANK_HE1"/>
    <s v="BELUGA RIVER"/>
    <x v="12"/>
    <x v="1"/>
    <x v="159"/>
    <n v="37820.74609375"/>
  </r>
  <r>
    <s v="FINAL0722_BANK_HE1"/>
    <s v="BELUGA RIVER"/>
    <x v="12"/>
    <x v="1"/>
    <x v="160"/>
    <n v="37626.234375"/>
  </r>
  <r>
    <s v="FINAL0722_BANK_HE1"/>
    <s v="BELUGA RIVER"/>
    <x v="12"/>
    <x v="1"/>
    <x v="161"/>
    <n v="37432.72265625"/>
  </r>
  <r>
    <s v="FINAL0722_BANK_HE1"/>
    <s v="BELUGA RIVER"/>
    <x v="13"/>
    <x v="1"/>
    <x v="0"/>
    <n v="0"/>
  </r>
  <r>
    <s v="FINAL0722_BANK_HE1"/>
    <s v="BELUGA RIVER"/>
    <x v="13"/>
    <x v="1"/>
    <x v="1"/>
    <n v="0"/>
  </r>
  <r>
    <s v="FINAL0722_BANK_HE1"/>
    <s v="BELUGA RIVER"/>
    <x v="13"/>
    <x v="1"/>
    <x v="2"/>
    <n v="0"/>
  </r>
  <r>
    <s v="FINAL0722_BANK_HE1"/>
    <s v="BELUGA RIVER"/>
    <x v="13"/>
    <x v="1"/>
    <x v="3"/>
    <n v="0"/>
  </r>
  <r>
    <s v="FINAL0722_BANK_HE1"/>
    <s v="BELUGA RIVER"/>
    <x v="13"/>
    <x v="1"/>
    <x v="4"/>
    <n v="0"/>
  </r>
  <r>
    <s v="FINAL0722_BANK_HE1"/>
    <s v="BELUGA RIVER"/>
    <x v="13"/>
    <x v="1"/>
    <x v="5"/>
    <n v="0"/>
  </r>
  <r>
    <s v="FINAL0722_BANK_HE1"/>
    <s v="BELUGA RIVER"/>
    <x v="13"/>
    <x v="1"/>
    <x v="6"/>
    <n v="0"/>
  </r>
  <r>
    <s v="FINAL0722_BANK_HE1"/>
    <s v="BELUGA RIVER"/>
    <x v="13"/>
    <x v="1"/>
    <x v="7"/>
    <n v="0"/>
  </r>
  <r>
    <s v="FINAL0722_BANK_HE1"/>
    <s v="BELUGA RIVER"/>
    <x v="13"/>
    <x v="1"/>
    <x v="8"/>
    <n v="0"/>
  </r>
  <r>
    <s v="FINAL0722_BANK_HE1"/>
    <s v="BELUGA RIVER"/>
    <x v="13"/>
    <x v="1"/>
    <x v="9"/>
    <n v="0"/>
  </r>
  <r>
    <s v="FINAL0722_BANK_HE1"/>
    <s v="BELUGA RIVER"/>
    <x v="13"/>
    <x v="1"/>
    <x v="10"/>
    <n v="0"/>
  </r>
  <r>
    <s v="FINAL0722_BANK_HE1"/>
    <s v="BELUGA RIVER"/>
    <x v="13"/>
    <x v="1"/>
    <x v="11"/>
    <n v="0"/>
  </r>
  <r>
    <s v="FINAL0722_BANK_HE1"/>
    <s v="BELUGA RIVER"/>
    <x v="13"/>
    <x v="1"/>
    <x v="12"/>
    <n v="0"/>
  </r>
  <r>
    <s v="FINAL0722_BANK_HE1"/>
    <s v="BELUGA RIVER"/>
    <x v="13"/>
    <x v="1"/>
    <x v="13"/>
    <n v="0"/>
  </r>
  <r>
    <s v="FINAL0722_BANK_HE1"/>
    <s v="BELUGA RIVER"/>
    <x v="13"/>
    <x v="1"/>
    <x v="14"/>
    <n v="0"/>
  </r>
  <r>
    <s v="FINAL0722_BANK_HE1"/>
    <s v="BELUGA RIVER"/>
    <x v="13"/>
    <x v="1"/>
    <x v="15"/>
    <n v="0"/>
  </r>
  <r>
    <s v="FINAL0722_BANK_HE1"/>
    <s v="BELUGA RIVER"/>
    <x v="13"/>
    <x v="1"/>
    <x v="16"/>
    <n v="0"/>
  </r>
  <r>
    <s v="FINAL0722_BANK_HE1"/>
    <s v="BELUGA RIVER"/>
    <x v="13"/>
    <x v="1"/>
    <x v="17"/>
    <n v="0"/>
  </r>
  <r>
    <s v="FINAL0722_BANK_HE1"/>
    <s v="BELUGA RIVER"/>
    <x v="13"/>
    <x v="1"/>
    <x v="18"/>
    <n v="0"/>
  </r>
  <r>
    <s v="FINAL0722_BANK_HE1"/>
    <s v="BELUGA RIVER"/>
    <x v="13"/>
    <x v="1"/>
    <x v="19"/>
    <n v="0"/>
  </r>
  <r>
    <s v="FINAL0722_BANK_HE1"/>
    <s v="BELUGA RIVER"/>
    <x v="13"/>
    <x v="1"/>
    <x v="20"/>
    <n v="0"/>
  </r>
  <r>
    <s v="FINAL0722_BANK_HE1"/>
    <s v="BELUGA RIVER"/>
    <x v="13"/>
    <x v="1"/>
    <x v="21"/>
    <n v="0"/>
  </r>
  <r>
    <s v="FINAL0722_BANK_HE1"/>
    <s v="BELUGA RIVER"/>
    <x v="13"/>
    <x v="1"/>
    <x v="22"/>
    <n v="0"/>
  </r>
  <r>
    <s v="FINAL0722_BANK_HE1"/>
    <s v="BELUGA RIVER"/>
    <x v="13"/>
    <x v="1"/>
    <x v="23"/>
    <n v="0"/>
  </r>
  <r>
    <s v="FINAL0722_BANK_HE1"/>
    <s v="BELUGA RIVER"/>
    <x v="13"/>
    <x v="1"/>
    <x v="24"/>
    <n v="0"/>
  </r>
  <r>
    <s v="FINAL0722_BANK_HE1"/>
    <s v="BELUGA RIVER"/>
    <x v="13"/>
    <x v="1"/>
    <x v="25"/>
    <n v="0"/>
  </r>
  <r>
    <s v="FINAL0722_BANK_HE1"/>
    <s v="BELUGA RIVER"/>
    <x v="13"/>
    <x v="1"/>
    <x v="26"/>
    <n v="0"/>
  </r>
  <r>
    <s v="FINAL0722_BANK_HE1"/>
    <s v="BELUGA RIVER"/>
    <x v="13"/>
    <x v="1"/>
    <x v="27"/>
    <n v="0"/>
  </r>
  <r>
    <s v="FINAL0722_BANK_HE1"/>
    <s v="BELUGA RIVER"/>
    <x v="13"/>
    <x v="1"/>
    <x v="28"/>
    <n v="0"/>
  </r>
  <r>
    <s v="FINAL0722_BANK_HE1"/>
    <s v="BELUGA RIVER"/>
    <x v="13"/>
    <x v="1"/>
    <x v="29"/>
    <n v="0"/>
  </r>
  <r>
    <s v="FINAL0722_BANK_HE1"/>
    <s v="BELUGA RIVER"/>
    <x v="13"/>
    <x v="1"/>
    <x v="30"/>
    <n v="0"/>
  </r>
  <r>
    <s v="FINAL0722_BANK_HE1"/>
    <s v="BELUGA RIVER"/>
    <x v="13"/>
    <x v="1"/>
    <x v="31"/>
    <n v="0"/>
  </r>
  <r>
    <s v="FINAL0722_BANK_HE1"/>
    <s v="BELUGA RIVER"/>
    <x v="13"/>
    <x v="1"/>
    <x v="32"/>
    <n v="0"/>
  </r>
  <r>
    <s v="FINAL0722_BANK_HE1"/>
    <s v="BELUGA RIVER"/>
    <x v="13"/>
    <x v="1"/>
    <x v="33"/>
    <n v="0"/>
  </r>
  <r>
    <s v="FINAL0722_BANK_HE1"/>
    <s v="BELUGA RIVER"/>
    <x v="13"/>
    <x v="1"/>
    <x v="34"/>
    <n v="0"/>
  </r>
  <r>
    <s v="FINAL0722_BANK_HE1"/>
    <s v="BELUGA RIVER"/>
    <x v="13"/>
    <x v="1"/>
    <x v="35"/>
    <n v="0"/>
  </r>
  <r>
    <s v="FINAL0722_BANK_HE1"/>
    <s v="BELUGA RIVER"/>
    <x v="13"/>
    <x v="1"/>
    <x v="36"/>
    <n v="0"/>
  </r>
  <r>
    <s v="FINAL0722_BANK_HE1"/>
    <s v="BELUGA RIVER"/>
    <x v="13"/>
    <x v="1"/>
    <x v="37"/>
    <n v="0"/>
  </r>
  <r>
    <s v="FINAL0722_BANK_HE1"/>
    <s v="BELUGA RIVER"/>
    <x v="13"/>
    <x v="1"/>
    <x v="38"/>
    <n v="0"/>
  </r>
  <r>
    <s v="FINAL0722_BANK_HE1"/>
    <s v="BELUGA RIVER"/>
    <x v="13"/>
    <x v="1"/>
    <x v="39"/>
    <n v="0"/>
  </r>
  <r>
    <s v="FINAL0722_BANK_HE1"/>
    <s v="BELUGA RIVER"/>
    <x v="13"/>
    <x v="1"/>
    <x v="40"/>
    <n v="29896.013671875"/>
  </r>
  <r>
    <s v="FINAL0722_BANK_HE1"/>
    <s v="BELUGA RIVER"/>
    <x v="13"/>
    <x v="1"/>
    <x v="41"/>
    <n v="29689.001953125"/>
  </r>
  <r>
    <s v="FINAL0722_BANK_HE1"/>
    <s v="BELUGA RIVER"/>
    <x v="13"/>
    <x v="1"/>
    <x v="42"/>
    <n v="29483.423828125"/>
  </r>
  <r>
    <s v="FINAL0722_BANK_HE1"/>
    <s v="BELUGA RIVER"/>
    <x v="13"/>
    <x v="1"/>
    <x v="43"/>
    <n v="29279.26953125"/>
  </r>
  <r>
    <s v="FINAL0722_BANK_HE1"/>
    <s v="BELUGA RIVER"/>
    <x v="13"/>
    <x v="1"/>
    <x v="44"/>
    <n v="29076.529296875"/>
  </r>
  <r>
    <s v="FINAL0722_BANK_HE1"/>
    <s v="BELUGA RIVER"/>
    <x v="13"/>
    <x v="1"/>
    <x v="45"/>
    <n v="28875.19140625"/>
  </r>
  <r>
    <s v="FINAL0722_BANK_HE1"/>
    <s v="BELUGA RIVER"/>
    <x v="13"/>
    <x v="1"/>
    <x v="46"/>
    <n v="28675.248046875"/>
  </r>
  <r>
    <s v="FINAL0722_BANK_HE1"/>
    <s v="BELUGA RIVER"/>
    <x v="13"/>
    <x v="1"/>
    <x v="47"/>
    <n v="28476.689453125"/>
  </r>
  <r>
    <s v="FINAL0722_BANK_HE1"/>
    <s v="BELUGA RIVER"/>
    <x v="13"/>
    <x v="1"/>
    <x v="48"/>
    <n v="28279.505859375"/>
  </r>
  <r>
    <s v="FINAL0722_BANK_HE1"/>
    <s v="BELUGA RIVER"/>
    <x v="13"/>
    <x v="1"/>
    <x v="49"/>
    <n v="28083.6875"/>
  </r>
  <r>
    <s v="FINAL0722_BANK_HE1"/>
    <s v="BELUGA RIVER"/>
    <x v="13"/>
    <x v="1"/>
    <x v="50"/>
    <n v="27889.224609375"/>
  </r>
  <r>
    <s v="FINAL0722_BANK_HE1"/>
    <s v="BELUGA RIVER"/>
    <x v="13"/>
    <x v="1"/>
    <x v="51"/>
    <n v="27696.109375"/>
  </r>
  <r>
    <s v="FINAL0722_BANK_HE1"/>
    <s v="BELUGA RIVER"/>
    <x v="13"/>
    <x v="1"/>
    <x v="52"/>
    <n v="27504.330078125"/>
  </r>
  <r>
    <s v="FINAL0722_BANK_HE1"/>
    <s v="BELUGA RIVER"/>
    <x v="13"/>
    <x v="1"/>
    <x v="53"/>
    <n v="27313.87890625"/>
  </r>
  <r>
    <s v="FINAL0722_BANK_HE1"/>
    <s v="BELUGA RIVER"/>
    <x v="13"/>
    <x v="1"/>
    <x v="54"/>
    <n v="27124.748046875"/>
  </r>
  <r>
    <s v="FINAL0722_BANK_HE1"/>
    <s v="BELUGA RIVER"/>
    <x v="13"/>
    <x v="1"/>
    <x v="55"/>
    <n v="26936.92578125"/>
  </r>
  <r>
    <s v="FINAL0722_BANK_HE1"/>
    <s v="BELUGA RIVER"/>
    <x v="13"/>
    <x v="1"/>
    <x v="56"/>
    <n v="26750.404296875"/>
  </r>
  <r>
    <s v="FINAL0722_BANK_HE1"/>
    <s v="BELUGA RIVER"/>
    <x v="13"/>
    <x v="1"/>
    <x v="57"/>
    <n v="26565.173828125"/>
  </r>
  <r>
    <s v="FINAL0722_BANK_HE1"/>
    <s v="BELUGA RIVER"/>
    <x v="13"/>
    <x v="1"/>
    <x v="58"/>
    <n v="26381.2265625"/>
  </r>
  <r>
    <s v="FINAL0722_BANK_HE1"/>
    <s v="BELUGA RIVER"/>
    <x v="13"/>
    <x v="1"/>
    <x v="59"/>
    <n v="26198.552734375"/>
  </r>
  <r>
    <s v="FINAL0722_BANK_HE1"/>
    <s v="BELUGA RIVER"/>
    <x v="13"/>
    <x v="1"/>
    <x v="60"/>
    <n v="26017.14453125"/>
  </r>
  <r>
    <s v="FINAL0722_BANK_HE1"/>
    <s v="BELUGA RIVER"/>
    <x v="13"/>
    <x v="1"/>
    <x v="61"/>
    <n v="25836.9921875"/>
  </r>
  <r>
    <s v="FINAL0722_BANK_HE1"/>
    <s v="BELUGA RIVER"/>
    <x v="13"/>
    <x v="1"/>
    <x v="62"/>
    <n v="25658.087890625"/>
  </r>
  <r>
    <s v="FINAL0722_BANK_HE1"/>
    <s v="BELUGA RIVER"/>
    <x v="13"/>
    <x v="1"/>
    <x v="63"/>
    <n v="25480.421875"/>
  </r>
  <r>
    <s v="FINAL0722_BANK_HE1"/>
    <s v="BELUGA RIVER"/>
    <x v="13"/>
    <x v="1"/>
    <x v="64"/>
    <n v="25303.986328125"/>
  </r>
  <r>
    <s v="FINAL0722_BANK_HE1"/>
    <s v="BELUGA RIVER"/>
    <x v="13"/>
    <x v="1"/>
    <x v="65"/>
    <n v="25128.771484375"/>
  </r>
  <r>
    <s v="FINAL0722_BANK_HE1"/>
    <s v="BELUGA RIVER"/>
    <x v="13"/>
    <x v="1"/>
    <x v="66"/>
    <n v="24954.76953125"/>
  </r>
  <r>
    <s v="FINAL0722_BANK_HE1"/>
    <s v="BELUGA RIVER"/>
    <x v="13"/>
    <x v="1"/>
    <x v="67"/>
    <n v="24781.97265625"/>
  </r>
  <r>
    <s v="FINAL0722_BANK_HE1"/>
    <s v="BELUGA RIVER"/>
    <x v="13"/>
    <x v="1"/>
    <x v="68"/>
    <n v="24610.373046875"/>
  </r>
  <r>
    <s v="FINAL0722_BANK_HE1"/>
    <s v="BELUGA RIVER"/>
    <x v="13"/>
    <x v="1"/>
    <x v="69"/>
    <n v="24439.9609375"/>
  </r>
  <r>
    <s v="FINAL0722_BANK_HE1"/>
    <s v="BELUGA RIVER"/>
    <x v="13"/>
    <x v="1"/>
    <x v="70"/>
    <n v="24270.728515625"/>
  </r>
  <r>
    <s v="FINAL0722_BANK_HE1"/>
    <s v="BELUGA RIVER"/>
    <x v="13"/>
    <x v="1"/>
    <x v="71"/>
    <n v="24102.66796875"/>
  </r>
  <r>
    <s v="FINAL0722_BANK_HE1"/>
    <s v="BELUGA RIVER"/>
    <x v="13"/>
    <x v="1"/>
    <x v="72"/>
    <n v="23935.771484375"/>
  </r>
  <r>
    <s v="FINAL0722_BANK_HE1"/>
    <s v="BELUGA RIVER"/>
    <x v="13"/>
    <x v="1"/>
    <x v="73"/>
    <n v="23770.03125"/>
  </r>
  <r>
    <s v="FINAL0722_BANK_HE1"/>
    <s v="BELUGA RIVER"/>
    <x v="13"/>
    <x v="1"/>
    <x v="74"/>
    <n v="23605.4375"/>
  </r>
  <r>
    <s v="FINAL0722_BANK_HE1"/>
    <s v="BELUGA RIVER"/>
    <x v="13"/>
    <x v="1"/>
    <x v="75"/>
    <n v="23441.984375"/>
  </r>
  <r>
    <s v="FINAL0722_BANK_HE1"/>
    <s v="BELUGA RIVER"/>
    <x v="13"/>
    <x v="1"/>
    <x v="76"/>
    <n v="23279.6640625"/>
  </r>
  <r>
    <s v="FINAL0722_BANK_HE1"/>
    <s v="BELUGA RIVER"/>
    <x v="13"/>
    <x v="1"/>
    <x v="77"/>
    <n v="23118.466796875"/>
  </r>
  <r>
    <s v="FINAL0722_BANK_HE1"/>
    <s v="BELUGA RIVER"/>
    <x v="13"/>
    <x v="1"/>
    <x v="78"/>
    <n v="22958.384765625"/>
  </r>
  <r>
    <s v="FINAL0722_BANK_HE1"/>
    <s v="BELUGA RIVER"/>
    <x v="13"/>
    <x v="1"/>
    <x v="79"/>
    <n v="22799.412109375"/>
  </r>
  <r>
    <s v="FINAL0722_BANK_HE1"/>
    <s v="BELUGA RIVER"/>
    <x v="13"/>
    <x v="1"/>
    <x v="80"/>
    <n v="22641.541015625"/>
  </r>
  <r>
    <s v="FINAL0722_BANK_HE1"/>
    <s v="BELUGA RIVER"/>
    <x v="13"/>
    <x v="1"/>
    <x v="81"/>
    <n v="22484.76171875"/>
  </r>
  <r>
    <s v="FINAL0722_BANK_HE1"/>
    <s v="BELUGA RIVER"/>
    <x v="13"/>
    <x v="1"/>
    <x v="82"/>
    <n v="22329.068359375"/>
  </r>
  <r>
    <s v="FINAL0722_BANK_HE1"/>
    <s v="BELUGA RIVER"/>
    <x v="13"/>
    <x v="1"/>
    <x v="83"/>
    <n v="22174.453125"/>
  </r>
  <r>
    <s v="FINAL0722_BANK_HE1"/>
    <s v="BELUGA RIVER"/>
    <x v="13"/>
    <x v="1"/>
    <x v="84"/>
    <n v="22020.908203125"/>
  </r>
  <r>
    <s v="FINAL0722_BANK_HE1"/>
    <s v="BELUGA RIVER"/>
    <x v="13"/>
    <x v="1"/>
    <x v="85"/>
    <n v="21868.427734375"/>
  </r>
  <r>
    <s v="FINAL0722_BANK_HE1"/>
    <s v="BELUGA RIVER"/>
    <x v="13"/>
    <x v="1"/>
    <x v="86"/>
    <n v="21717.001953125"/>
  </r>
  <r>
    <s v="FINAL0722_BANK_HE1"/>
    <s v="BELUGA RIVER"/>
    <x v="13"/>
    <x v="1"/>
    <x v="87"/>
    <n v="21566.625"/>
  </r>
  <r>
    <s v="FINAL0722_BANK_HE1"/>
    <s v="BELUGA RIVER"/>
    <x v="13"/>
    <x v="1"/>
    <x v="88"/>
    <n v="21417.2890625"/>
  </r>
  <r>
    <s v="FINAL0722_BANK_HE1"/>
    <s v="BELUGA RIVER"/>
    <x v="13"/>
    <x v="1"/>
    <x v="89"/>
    <n v="21268.98828125"/>
  </r>
  <r>
    <s v="FINAL0722_BANK_HE1"/>
    <s v="BELUGA RIVER"/>
    <x v="13"/>
    <x v="1"/>
    <x v="90"/>
    <n v="21121.712890625"/>
  </r>
  <r>
    <s v="FINAL0722_BANK_HE1"/>
    <s v="BELUGA RIVER"/>
    <x v="13"/>
    <x v="1"/>
    <x v="91"/>
    <n v="20975.458984375"/>
  </r>
  <r>
    <s v="FINAL0722_BANK_HE1"/>
    <s v="BELUGA RIVER"/>
    <x v="13"/>
    <x v="1"/>
    <x v="92"/>
    <n v="20830.216796875"/>
  </r>
  <r>
    <s v="FINAL0722_BANK_HE1"/>
    <s v="BELUGA RIVER"/>
    <x v="13"/>
    <x v="1"/>
    <x v="93"/>
    <n v="20685.98046875"/>
  </r>
  <r>
    <s v="FINAL0722_BANK_HE1"/>
    <s v="BELUGA RIVER"/>
    <x v="13"/>
    <x v="1"/>
    <x v="94"/>
    <n v="20542.7421875"/>
  </r>
  <r>
    <s v="FINAL0722_BANK_HE1"/>
    <s v="BELUGA RIVER"/>
    <x v="13"/>
    <x v="1"/>
    <x v="95"/>
    <n v="20400.49609375"/>
  </r>
  <r>
    <s v="FINAL0722_BANK_HE1"/>
    <s v="BELUGA RIVER"/>
    <x v="13"/>
    <x v="1"/>
    <x v="96"/>
    <n v="20259.234375"/>
  </r>
  <r>
    <s v="FINAL0722_BANK_HE1"/>
    <s v="BELUGA RIVER"/>
    <x v="13"/>
    <x v="1"/>
    <x v="97"/>
    <n v="20118.951171875"/>
  </r>
  <r>
    <s v="FINAL0722_BANK_HE1"/>
    <s v="BELUGA RIVER"/>
    <x v="13"/>
    <x v="1"/>
    <x v="98"/>
    <n v="19979.640625"/>
  </r>
  <r>
    <s v="FINAL0722_BANK_HE1"/>
    <s v="BELUGA RIVER"/>
    <x v="13"/>
    <x v="1"/>
    <x v="99"/>
    <n v="19841.294921875"/>
  </r>
  <r>
    <s v="FINAL0722_BANK_HE1"/>
    <s v="BELUGA RIVER"/>
    <x v="13"/>
    <x v="1"/>
    <x v="100"/>
    <n v="19703.90625"/>
  </r>
  <r>
    <s v="FINAL0722_BANK_HE1"/>
    <s v="BELUGA RIVER"/>
    <x v="13"/>
    <x v="1"/>
    <x v="101"/>
    <n v="19567.46875"/>
  </r>
  <r>
    <s v="FINAL0722_BANK_HE1"/>
    <s v="BELUGA RIVER"/>
    <x v="13"/>
    <x v="1"/>
    <x v="102"/>
    <n v="19431.9765625"/>
  </r>
  <r>
    <s v="FINAL0722_BANK_HE1"/>
    <s v="BELUGA RIVER"/>
    <x v="13"/>
    <x v="1"/>
    <x v="103"/>
    <n v="19297.421875"/>
  </r>
  <r>
    <s v="FINAL0722_BANK_HE1"/>
    <s v="BELUGA RIVER"/>
    <x v="13"/>
    <x v="1"/>
    <x v="104"/>
    <n v="19163.798828125"/>
  </r>
  <r>
    <s v="FINAL0722_BANK_HE1"/>
    <s v="BELUGA RIVER"/>
    <x v="13"/>
    <x v="1"/>
    <x v="105"/>
    <n v="19031.1015625"/>
  </r>
  <r>
    <s v="FINAL0722_BANK_HE1"/>
    <s v="BELUGA RIVER"/>
    <x v="13"/>
    <x v="1"/>
    <x v="106"/>
    <n v="18899.322265625"/>
  </r>
  <r>
    <s v="FINAL0722_BANK_HE1"/>
    <s v="BELUGA RIVER"/>
    <x v="13"/>
    <x v="1"/>
    <x v="107"/>
    <n v="18768.45703125"/>
  </r>
  <r>
    <s v="FINAL0722_BANK_HE1"/>
    <s v="BELUGA RIVER"/>
    <x v="13"/>
    <x v="1"/>
    <x v="108"/>
    <n v="18638.49609375"/>
  </r>
  <r>
    <s v="FINAL0722_BANK_HE1"/>
    <s v="BELUGA RIVER"/>
    <x v="13"/>
    <x v="1"/>
    <x v="109"/>
    <n v="18509.435546875"/>
  </r>
  <r>
    <s v="FINAL0722_BANK_HE1"/>
    <s v="BELUGA RIVER"/>
    <x v="13"/>
    <x v="1"/>
    <x v="110"/>
    <n v="18381.26953125"/>
  </r>
  <r>
    <s v="FINAL0722_BANK_HE1"/>
    <s v="BELUGA RIVER"/>
    <x v="13"/>
    <x v="1"/>
    <x v="111"/>
    <n v="18253.990234375"/>
  </r>
  <r>
    <s v="FINAL0722_BANK_HE1"/>
    <s v="BELUGA RIVER"/>
    <x v="13"/>
    <x v="1"/>
    <x v="112"/>
    <n v="18127.591796875"/>
  </r>
  <r>
    <s v="FINAL0722_BANK_HE1"/>
    <s v="BELUGA RIVER"/>
    <x v="13"/>
    <x v="1"/>
    <x v="113"/>
    <n v="18002.0703125"/>
  </r>
  <r>
    <s v="FINAL0722_BANK_HE1"/>
    <s v="BELUGA RIVER"/>
    <x v="13"/>
    <x v="1"/>
    <x v="114"/>
    <n v="17877.41796875"/>
  </r>
  <r>
    <s v="FINAL0722_BANK_HE1"/>
    <s v="BELUGA RIVER"/>
    <x v="13"/>
    <x v="1"/>
    <x v="115"/>
    <n v="17753.626953125"/>
  </r>
  <r>
    <s v="FINAL0722_BANK_HE1"/>
    <s v="BELUGA RIVER"/>
    <x v="13"/>
    <x v="1"/>
    <x v="116"/>
    <n v="17630.693359375"/>
  </r>
  <r>
    <s v="FINAL0722_BANK_HE1"/>
    <s v="BELUGA RIVER"/>
    <x v="13"/>
    <x v="1"/>
    <x v="117"/>
    <n v="17508.611328125"/>
  </r>
  <r>
    <s v="FINAL0722_BANK_HE1"/>
    <s v="BELUGA RIVER"/>
    <x v="13"/>
    <x v="1"/>
    <x v="118"/>
    <n v="17387.375"/>
  </r>
  <r>
    <s v="FINAL0722_BANK_HE1"/>
    <s v="BELUGA RIVER"/>
    <x v="13"/>
    <x v="1"/>
    <x v="119"/>
    <n v="17266.978515625"/>
  </r>
  <r>
    <s v="FINAL0722_BANK_HE1"/>
    <s v="BELUGA RIVER"/>
    <x v="13"/>
    <x v="1"/>
    <x v="120"/>
    <n v="17147.416015625"/>
  </r>
  <r>
    <s v="FINAL0722_BANK_HE1"/>
    <s v="BELUGA RIVER"/>
    <x v="13"/>
    <x v="1"/>
    <x v="121"/>
    <n v="17028.681640625"/>
  </r>
  <r>
    <s v="FINAL0722_BANK_HE1"/>
    <s v="BELUGA RIVER"/>
    <x v="13"/>
    <x v="1"/>
    <x v="122"/>
    <n v="16910.767578125"/>
  </r>
  <r>
    <s v="FINAL0722_BANK_HE1"/>
    <s v="BELUGA RIVER"/>
    <x v="13"/>
    <x v="1"/>
    <x v="123"/>
    <n v="16793.671875"/>
  </r>
  <r>
    <s v="FINAL0722_BANK_HE1"/>
    <s v="BELUGA RIVER"/>
    <x v="13"/>
    <x v="1"/>
    <x v="124"/>
    <n v="16677.38671875"/>
  </r>
  <r>
    <s v="FINAL0722_BANK_HE1"/>
    <s v="BELUGA RIVER"/>
    <x v="13"/>
    <x v="1"/>
    <x v="125"/>
    <n v="16561.90625"/>
  </r>
  <r>
    <s v="FINAL0722_BANK_HE1"/>
    <s v="BELUGA RIVER"/>
    <x v="13"/>
    <x v="1"/>
    <x v="126"/>
    <n v="16447.224609375"/>
  </r>
  <r>
    <s v="FINAL0722_BANK_HE1"/>
    <s v="BELUGA RIVER"/>
    <x v="13"/>
    <x v="1"/>
    <x v="127"/>
    <n v="16333.337890625"/>
  </r>
  <r>
    <s v="FINAL0722_BANK_HE1"/>
    <s v="BELUGA RIVER"/>
    <x v="13"/>
    <x v="1"/>
    <x v="128"/>
    <n v="16220.2392578125"/>
  </r>
  <r>
    <s v="FINAL0722_BANK_HE1"/>
    <s v="BELUGA RIVER"/>
    <x v="13"/>
    <x v="1"/>
    <x v="129"/>
    <n v="16107.923828125"/>
  </r>
  <r>
    <s v="FINAL0722_BANK_HE1"/>
    <s v="BELUGA RIVER"/>
    <x v="13"/>
    <x v="1"/>
    <x v="130"/>
    <n v="15996.38671875"/>
  </r>
  <r>
    <s v="FINAL0722_BANK_HE1"/>
    <s v="BELUGA RIVER"/>
    <x v="13"/>
    <x v="1"/>
    <x v="131"/>
    <n v="15885.6220703125"/>
  </r>
  <r>
    <s v="FINAL0722_BANK_HE1"/>
    <s v="BELUGA RIVER"/>
    <x v="13"/>
    <x v="1"/>
    <x v="132"/>
    <n v="15775.6240234375"/>
  </r>
  <r>
    <s v="FINAL0722_BANK_HE1"/>
    <s v="BELUGA RIVER"/>
    <x v="13"/>
    <x v="1"/>
    <x v="133"/>
    <n v="15666.3876953125"/>
  </r>
  <r>
    <s v="FINAL0722_BANK_HE1"/>
    <s v="BELUGA RIVER"/>
    <x v="13"/>
    <x v="1"/>
    <x v="134"/>
    <n v="15557.9072265625"/>
  </r>
  <r>
    <s v="FINAL0722_BANK_HE1"/>
    <s v="BELUGA RIVER"/>
    <x v="13"/>
    <x v="1"/>
    <x v="135"/>
    <n v="15450.1787109375"/>
  </r>
  <r>
    <s v="FINAL0722_BANK_HE1"/>
    <s v="BELUGA RIVER"/>
    <x v="13"/>
    <x v="1"/>
    <x v="136"/>
    <n v="15343.1953125"/>
  </r>
  <r>
    <s v="FINAL0722_BANK_HE1"/>
    <s v="BELUGA RIVER"/>
    <x v="13"/>
    <x v="1"/>
    <x v="137"/>
    <n v="15236.953125"/>
  </r>
  <r>
    <s v="FINAL0722_BANK_HE1"/>
    <s v="BELUGA RIVER"/>
    <x v="13"/>
    <x v="1"/>
    <x v="138"/>
    <n v="15131.4462890625"/>
  </r>
  <r>
    <s v="FINAL0722_BANK_HE1"/>
    <s v="BELUGA RIVER"/>
    <x v="13"/>
    <x v="1"/>
    <x v="139"/>
    <n v="15026.669921875"/>
  </r>
  <r>
    <s v="FINAL0722_BANK_HE1"/>
    <s v="BELUGA RIVER"/>
    <x v="13"/>
    <x v="1"/>
    <x v="140"/>
    <n v="14922.619140625"/>
  </r>
  <r>
    <s v="FINAL0722_BANK_HE1"/>
    <s v="BELUGA RIVER"/>
    <x v="13"/>
    <x v="1"/>
    <x v="141"/>
    <n v="14819.2890625"/>
  </r>
  <r>
    <s v="FINAL0722_BANK_HE1"/>
    <s v="BELUGA RIVER"/>
    <x v="13"/>
    <x v="1"/>
    <x v="142"/>
    <n v="14716.6748046875"/>
  </r>
  <r>
    <s v="FINAL0722_BANK_HE1"/>
    <s v="BELUGA RIVER"/>
    <x v="13"/>
    <x v="1"/>
    <x v="143"/>
    <n v="14614.7705078125"/>
  </r>
  <r>
    <s v="FINAL0722_BANK_HE1"/>
    <s v="BELUGA RIVER"/>
    <x v="13"/>
    <x v="1"/>
    <x v="144"/>
    <n v="14513.572265625"/>
  </r>
  <r>
    <s v="FINAL0722_BANK_HE1"/>
    <s v="BELUGA RIVER"/>
    <x v="13"/>
    <x v="1"/>
    <x v="145"/>
    <n v="14413.0751953125"/>
  </r>
  <r>
    <s v="FINAL0722_BANK_HE1"/>
    <s v="BELUGA RIVER"/>
    <x v="13"/>
    <x v="1"/>
    <x v="146"/>
    <n v="14313.2734375"/>
  </r>
  <r>
    <s v="FINAL0722_BANK_HE1"/>
    <s v="BELUGA RIVER"/>
    <x v="13"/>
    <x v="1"/>
    <x v="147"/>
    <n v="14214.1630859375"/>
  </r>
  <r>
    <s v="FINAL0722_BANK_HE1"/>
    <s v="BELUGA RIVER"/>
    <x v="13"/>
    <x v="1"/>
    <x v="148"/>
    <n v="14115.7392578125"/>
  </r>
  <r>
    <s v="FINAL0722_BANK_HE1"/>
    <s v="BELUGA RIVER"/>
    <x v="13"/>
    <x v="1"/>
    <x v="149"/>
    <n v="14017.99609375"/>
  </r>
  <r>
    <s v="FINAL0722_BANK_HE1"/>
    <s v="BELUGA RIVER"/>
    <x v="13"/>
    <x v="1"/>
    <x v="150"/>
    <n v="13920.9296875"/>
  </r>
  <r>
    <s v="FINAL0722_BANK_HE1"/>
    <s v="BELUGA RIVER"/>
    <x v="13"/>
    <x v="1"/>
    <x v="151"/>
    <n v="13824.5361328125"/>
  </r>
  <r>
    <s v="FINAL0722_BANK_HE1"/>
    <s v="BELUGA RIVER"/>
    <x v="13"/>
    <x v="1"/>
    <x v="152"/>
    <n v="13728.8095703125"/>
  </r>
  <r>
    <s v="FINAL0722_BANK_HE1"/>
    <s v="BELUGA RIVER"/>
    <x v="13"/>
    <x v="1"/>
    <x v="153"/>
    <n v="13633.74609375"/>
  </r>
  <r>
    <s v="FINAL0722_BANK_HE1"/>
    <s v="BELUGA RIVER"/>
    <x v="13"/>
    <x v="1"/>
    <x v="154"/>
    <n v="13539.3408203125"/>
  </r>
  <r>
    <s v="FINAL0722_BANK_HE1"/>
    <s v="BELUGA RIVER"/>
    <x v="13"/>
    <x v="1"/>
    <x v="155"/>
    <n v="13445.5888671875"/>
  </r>
  <r>
    <s v="FINAL0722_BANK_HE1"/>
    <s v="BELUGA RIVER"/>
    <x v="13"/>
    <x v="1"/>
    <x v="156"/>
    <n v="13352.486328125"/>
  </r>
  <r>
    <s v="FINAL0722_BANK_HE1"/>
    <s v="BELUGA RIVER"/>
    <x v="13"/>
    <x v="1"/>
    <x v="157"/>
    <n v="13260.0283203125"/>
  </r>
  <r>
    <s v="FINAL0722_BANK_HE1"/>
    <s v="BELUGA RIVER"/>
    <x v="13"/>
    <x v="1"/>
    <x v="158"/>
    <n v="13168.2109375"/>
  </r>
  <r>
    <s v="FINAL0722_BANK_HE1"/>
    <s v="BELUGA RIVER"/>
    <x v="13"/>
    <x v="1"/>
    <x v="159"/>
    <n v="13077.029296875"/>
  </r>
  <r>
    <s v="FINAL0722_BANK_HE1"/>
    <s v="BELUGA RIVER"/>
    <x v="13"/>
    <x v="1"/>
    <x v="160"/>
    <n v="12986.478515625"/>
  </r>
  <r>
    <s v="FINAL0722_BANK_HE1"/>
    <s v="BELUGA RIVER"/>
    <x v="13"/>
    <x v="1"/>
    <x v="161"/>
    <n v="12896.5546875"/>
  </r>
  <r>
    <s v="FINAL0722_BANK_HE1"/>
    <s v="BELUGA RIVER"/>
    <x v="14"/>
    <x v="1"/>
    <x v="0"/>
    <n v="0"/>
  </r>
  <r>
    <s v="FINAL0722_BANK_HE1"/>
    <s v="BELUGA RIVER"/>
    <x v="14"/>
    <x v="1"/>
    <x v="1"/>
    <n v="79260.78125"/>
  </r>
  <r>
    <s v="FINAL0722_BANK_HE1"/>
    <s v="BELUGA RIVER"/>
    <x v="14"/>
    <x v="1"/>
    <x v="2"/>
    <n v="77800.5234375"/>
  </r>
  <r>
    <s v="FINAL0722_BANK_HE1"/>
    <s v="BELUGA RIVER"/>
    <x v="14"/>
    <x v="1"/>
    <x v="3"/>
    <n v="76367.1640625"/>
  </r>
  <r>
    <s v="FINAL0722_BANK_HE1"/>
    <s v="BELUGA RIVER"/>
    <x v="14"/>
    <x v="1"/>
    <x v="4"/>
    <n v="74960.21875"/>
  </r>
  <r>
    <s v="FINAL0722_BANK_HE1"/>
    <s v="BELUGA RIVER"/>
    <x v="14"/>
    <x v="1"/>
    <x v="5"/>
    <n v="73579.1875"/>
  </r>
  <r>
    <s v="FINAL0722_BANK_HE1"/>
    <s v="BELUGA RIVER"/>
    <x v="14"/>
    <x v="1"/>
    <x v="6"/>
    <n v="72223.6015625"/>
  </r>
  <r>
    <s v="FINAL0722_BANK_HE1"/>
    <s v="BELUGA RIVER"/>
    <x v="14"/>
    <x v="1"/>
    <x v="7"/>
    <n v="70892.9921875"/>
  </r>
  <r>
    <s v="FINAL0722_BANK_HE1"/>
    <s v="BELUGA RIVER"/>
    <x v="14"/>
    <x v="1"/>
    <x v="8"/>
    <n v="69586.8984375"/>
  </r>
  <r>
    <s v="FINAL0722_BANK_HE1"/>
    <s v="BELUGA RIVER"/>
    <x v="14"/>
    <x v="1"/>
    <x v="9"/>
    <n v="68304.8671875"/>
  </r>
  <r>
    <s v="FINAL0722_BANK_HE1"/>
    <s v="BELUGA RIVER"/>
    <x v="14"/>
    <x v="1"/>
    <x v="10"/>
    <n v="67046.453125"/>
  </r>
  <r>
    <s v="FINAL0722_BANK_HE1"/>
    <s v="BELUGA RIVER"/>
    <x v="14"/>
    <x v="1"/>
    <x v="11"/>
    <n v="65811.2265625"/>
  </r>
  <r>
    <s v="FINAL0722_BANK_HE1"/>
    <s v="BELUGA RIVER"/>
    <x v="14"/>
    <x v="1"/>
    <x v="12"/>
    <n v="64598.75390625"/>
  </r>
  <r>
    <s v="FINAL0722_BANK_HE1"/>
    <s v="BELUGA RIVER"/>
    <x v="14"/>
    <x v="1"/>
    <x v="13"/>
    <n v="63408.62109375"/>
  </r>
  <r>
    <s v="FINAL0722_BANK_HE1"/>
    <s v="BELUGA RIVER"/>
    <x v="14"/>
    <x v="1"/>
    <x v="14"/>
    <n v="62240.4140625"/>
  </r>
  <r>
    <s v="FINAL0722_BANK_HE1"/>
    <s v="BELUGA RIVER"/>
    <x v="14"/>
    <x v="1"/>
    <x v="15"/>
    <n v="61093.73046875"/>
  </r>
  <r>
    <s v="FINAL0722_BANK_HE1"/>
    <s v="BELUGA RIVER"/>
    <x v="14"/>
    <x v="1"/>
    <x v="16"/>
    <n v="59968.171875"/>
  </r>
  <r>
    <s v="FINAL0722_BANK_HE1"/>
    <s v="BELUGA RIVER"/>
    <x v="14"/>
    <x v="1"/>
    <x v="17"/>
    <n v="58863.3515625"/>
  </r>
  <r>
    <s v="FINAL0722_BANK_HE1"/>
    <s v="BELUGA RIVER"/>
    <x v="14"/>
    <x v="1"/>
    <x v="18"/>
    <n v="57778.8828125"/>
  </r>
  <r>
    <s v="FINAL0722_BANK_HE1"/>
    <s v="BELUGA RIVER"/>
    <x v="14"/>
    <x v="1"/>
    <x v="19"/>
    <n v="56714.39453125"/>
  </r>
  <r>
    <s v="FINAL0722_BANK_HE1"/>
    <s v="BELUGA RIVER"/>
    <x v="14"/>
    <x v="1"/>
    <x v="20"/>
    <n v="55669.51953125"/>
  </r>
  <r>
    <s v="FINAL0722_BANK_HE1"/>
    <s v="BELUGA RIVER"/>
    <x v="14"/>
    <x v="1"/>
    <x v="21"/>
    <n v="54643.89453125"/>
  </r>
  <r>
    <s v="FINAL0722_BANK_HE1"/>
    <s v="BELUGA RIVER"/>
    <x v="14"/>
    <x v="1"/>
    <x v="22"/>
    <n v="53637.1640625"/>
  </r>
  <r>
    <s v="FINAL0722_BANK_HE1"/>
    <s v="BELUGA RIVER"/>
    <x v="14"/>
    <x v="1"/>
    <x v="23"/>
    <n v="52648.98046875"/>
  </r>
  <r>
    <s v="FINAL0722_BANK_HE1"/>
    <s v="BELUGA RIVER"/>
    <x v="14"/>
    <x v="1"/>
    <x v="24"/>
    <n v="51679.00390625"/>
  </r>
  <r>
    <s v="FINAL0722_BANK_HE1"/>
    <s v="BELUGA RIVER"/>
    <x v="14"/>
    <x v="1"/>
    <x v="25"/>
    <n v="50726.8984375"/>
  </r>
  <r>
    <s v="FINAL0722_BANK_HE1"/>
    <s v="BELUGA RIVER"/>
    <x v="14"/>
    <x v="1"/>
    <x v="26"/>
    <n v="49792.33203125"/>
  </r>
  <r>
    <s v="FINAL0722_BANK_HE1"/>
    <s v="BELUGA RIVER"/>
    <x v="14"/>
    <x v="1"/>
    <x v="27"/>
    <n v="48874.984375"/>
  </r>
  <r>
    <s v="FINAL0722_BANK_HE1"/>
    <s v="BELUGA RIVER"/>
    <x v="14"/>
    <x v="1"/>
    <x v="28"/>
    <n v="47974.5390625"/>
  </r>
  <r>
    <s v="FINAL0722_BANK_HE1"/>
    <s v="BELUGA RIVER"/>
    <x v="14"/>
    <x v="1"/>
    <x v="29"/>
    <n v="47090.6796875"/>
  </r>
  <r>
    <s v="FINAL0722_BANK_HE1"/>
    <s v="BELUGA RIVER"/>
    <x v="14"/>
    <x v="1"/>
    <x v="30"/>
    <n v="46223.10546875"/>
  </r>
  <r>
    <s v="FINAL0722_BANK_HE1"/>
    <s v="BELUGA RIVER"/>
    <x v="14"/>
    <x v="1"/>
    <x v="31"/>
    <n v="45371.515625"/>
  </r>
  <r>
    <s v="FINAL0722_BANK_HE1"/>
    <s v="BELUGA RIVER"/>
    <x v="14"/>
    <x v="1"/>
    <x v="32"/>
    <n v="44535.61328125"/>
  </r>
  <r>
    <s v="FINAL0722_BANK_HE1"/>
    <s v="BELUGA RIVER"/>
    <x v="14"/>
    <x v="1"/>
    <x v="33"/>
    <n v="43715.11328125"/>
  </r>
  <r>
    <s v="FINAL0722_BANK_HE1"/>
    <s v="BELUGA RIVER"/>
    <x v="14"/>
    <x v="1"/>
    <x v="34"/>
    <n v="42909.73046875"/>
  </r>
  <r>
    <s v="FINAL0722_BANK_HE1"/>
    <s v="BELUGA RIVER"/>
    <x v="14"/>
    <x v="1"/>
    <x v="35"/>
    <n v="42119.18359375"/>
  </r>
  <r>
    <s v="FINAL0722_BANK_HE1"/>
    <s v="BELUGA RIVER"/>
    <x v="14"/>
    <x v="1"/>
    <x v="36"/>
    <n v="41343.203125"/>
  </r>
  <r>
    <s v="FINAL0722_BANK_HE1"/>
    <s v="BELUGA RIVER"/>
    <x v="14"/>
    <x v="1"/>
    <x v="37"/>
    <n v="40581.51953125"/>
  </r>
  <r>
    <s v="FINAL0722_BANK_HE1"/>
    <s v="BELUGA RIVER"/>
    <x v="14"/>
    <x v="1"/>
    <x v="38"/>
    <n v="39833.8671875"/>
  </r>
  <r>
    <s v="FINAL0722_BANK_HE1"/>
    <s v="BELUGA RIVER"/>
    <x v="14"/>
    <x v="1"/>
    <x v="39"/>
    <n v="39099.98828125"/>
  </r>
  <r>
    <s v="FINAL0722_BANK_HE1"/>
    <s v="BELUGA RIVER"/>
    <x v="14"/>
    <x v="1"/>
    <x v="40"/>
    <n v="38379.62890625"/>
  </r>
  <r>
    <s v="FINAL0722_BANK_HE1"/>
    <s v="BELUGA RIVER"/>
    <x v="14"/>
    <x v="1"/>
    <x v="41"/>
    <n v="37672.54296875"/>
  </r>
  <r>
    <s v="FINAL0722_BANK_HE1"/>
    <s v="BELUGA RIVER"/>
    <x v="14"/>
    <x v="1"/>
    <x v="42"/>
    <n v="36978.484375"/>
  </r>
  <r>
    <s v="FINAL0722_BANK_HE1"/>
    <s v="BELUGA RIVER"/>
    <x v="14"/>
    <x v="1"/>
    <x v="43"/>
    <n v="36297.2109375"/>
  </r>
  <r>
    <s v="FINAL0722_BANK_HE1"/>
    <s v="BELUGA RIVER"/>
    <x v="14"/>
    <x v="1"/>
    <x v="44"/>
    <n v="35628.4921875"/>
  </r>
  <r>
    <s v="FINAL0722_BANK_HE1"/>
    <s v="BELUGA RIVER"/>
    <x v="14"/>
    <x v="1"/>
    <x v="45"/>
    <n v="34972.08984375"/>
  </r>
  <r>
    <s v="FINAL0722_BANK_HE1"/>
    <s v="BELUGA RIVER"/>
    <x v="14"/>
    <x v="1"/>
    <x v="46"/>
    <n v="34327.78125"/>
  </r>
  <r>
    <s v="FINAL0722_BANK_HE1"/>
    <s v="BELUGA RIVER"/>
    <x v="14"/>
    <x v="1"/>
    <x v="47"/>
    <n v="33695.34375"/>
  </r>
  <r>
    <s v="FINAL0722_BANK_HE1"/>
    <s v="BELUGA RIVER"/>
    <x v="14"/>
    <x v="1"/>
    <x v="48"/>
    <n v="33074.55859375"/>
  </r>
  <r>
    <s v="FINAL0722_BANK_HE1"/>
    <s v="BELUGA RIVER"/>
    <x v="14"/>
    <x v="1"/>
    <x v="49"/>
    <n v="32465.2109375"/>
  </r>
  <r>
    <s v="FINAL0722_BANK_HE1"/>
    <s v="BELUGA RIVER"/>
    <x v="14"/>
    <x v="1"/>
    <x v="50"/>
    <n v="31867.08984375"/>
  </r>
  <r>
    <s v="FINAL0722_BANK_HE1"/>
    <s v="BELUGA RIVER"/>
    <x v="14"/>
    <x v="1"/>
    <x v="51"/>
    <n v="31279.98828125"/>
  </r>
  <r>
    <s v="FINAL0722_BANK_HE1"/>
    <s v="BELUGA RIVER"/>
    <x v="14"/>
    <x v="1"/>
    <x v="52"/>
    <n v="30703.703125"/>
  </r>
  <r>
    <s v="FINAL0722_BANK_HE1"/>
    <s v="BELUGA RIVER"/>
    <x v="14"/>
    <x v="1"/>
    <x v="53"/>
    <n v="30138.03515625"/>
  </r>
  <r>
    <s v="FINAL0722_BANK_HE1"/>
    <s v="BELUGA RIVER"/>
    <x v="14"/>
    <x v="1"/>
    <x v="54"/>
    <n v="29582.787109375"/>
  </r>
  <r>
    <s v="FINAL0722_BANK_HE1"/>
    <s v="BELUGA RIVER"/>
    <x v="14"/>
    <x v="1"/>
    <x v="55"/>
    <n v="29037.76953125"/>
  </r>
  <r>
    <s v="FINAL0722_BANK_HE1"/>
    <s v="BELUGA RIVER"/>
    <x v="14"/>
    <x v="1"/>
    <x v="56"/>
    <n v="28502.79296875"/>
  </r>
  <r>
    <s v="FINAL0722_BANK_HE1"/>
    <s v="BELUGA RIVER"/>
    <x v="14"/>
    <x v="1"/>
    <x v="57"/>
    <n v="27977.671875"/>
  </r>
  <r>
    <s v="FINAL0722_BANK_HE1"/>
    <s v="BELUGA RIVER"/>
    <x v="14"/>
    <x v="1"/>
    <x v="58"/>
    <n v="27462.2265625"/>
  </r>
  <r>
    <s v="FINAL0722_BANK_HE1"/>
    <s v="BELUGA RIVER"/>
    <x v="14"/>
    <x v="1"/>
    <x v="59"/>
    <n v="26956.27734375"/>
  </r>
  <r>
    <s v="FINAL0722_BANK_HE1"/>
    <s v="BELUGA RIVER"/>
    <x v="14"/>
    <x v="1"/>
    <x v="60"/>
    <n v="26459.6484375"/>
  </r>
  <r>
    <s v="FINAL0722_BANK_HE1"/>
    <s v="BELUGA RIVER"/>
    <x v="14"/>
    <x v="1"/>
    <x v="61"/>
    <n v="25972.169921875"/>
  </r>
  <r>
    <s v="FINAL0722_BANK_HE1"/>
    <s v="BELUGA RIVER"/>
    <x v="14"/>
    <x v="1"/>
    <x v="62"/>
    <n v="25493.671875"/>
  </r>
  <r>
    <s v="FINAL0722_BANK_HE1"/>
    <s v="BELUGA RIVER"/>
    <x v="14"/>
    <x v="1"/>
    <x v="63"/>
    <n v="25023.990234375"/>
  </r>
  <r>
    <s v="FINAL0722_BANK_HE1"/>
    <s v="BELUGA RIVER"/>
    <x v="14"/>
    <x v="1"/>
    <x v="64"/>
    <n v="24562.9609375"/>
  </r>
  <r>
    <s v="FINAL0722_BANK_HE1"/>
    <s v="BELUGA RIVER"/>
    <x v="14"/>
    <x v="1"/>
    <x v="65"/>
    <n v="24110.42578125"/>
  </r>
  <r>
    <s v="FINAL0722_BANK_HE1"/>
    <s v="BELUGA RIVER"/>
    <x v="14"/>
    <x v="1"/>
    <x v="66"/>
    <n v="23666.228515625"/>
  </r>
  <r>
    <s v="FINAL0722_BANK_HE1"/>
    <s v="BELUGA RIVER"/>
    <x v="14"/>
    <x v="1"/>
    <x v="67"/>
    <n v="23230.21484375"/>
  </r>
  <r>
    <s v="FINAL0722_BANK_HE1"/>
    <s v="BELUGA RIVER"/>
    <x v="14"/>
    <x v="1"/>
    <x v="68"/>
    <n v="22802.234375"/>
  </r>
  <r>
    <s v="FINAL0722_BANK_HE1"/>
    <s v="BELUGA RIVER"/>
    <x v="14"/>
    <x v="1"/>
    <x v="69"/>
    <n v="22382.138671875"/>
  </r>
  <r>
    <s v="FINAL0722_BANK_HE1"/>
    <s v="BELUGA RIVER"/>
    <x v="14"/>
    <x v="1"/>
    <x v="70"/>
    <n v="21969.78125"/>
  </r>
  <r>
    <s v="FINAL0722_BANK_HE1"/>
    <s v="BELUGA RIVER"/>
    <x v="14"/>
    <x v="1"/>
    <x v="71"/>
    <n v="21565.021484375"/>
  </r>
  <r>
    <s v="FINAL0722_BANK_HE1"/>
    <s v="BELUGA RIVER"/>
    <x v="14"/>
    <x v="1"/>
    <x v="72"/>
    <n v="21167.71875"/>
  </r>
  <r>
    <s v="FINAL0722_BANK_HE1"/>
    <s v="BELUGA RIVER"/>
    <x v="14"/>
    <x v="1"/>
    <x v="73"/>
    <n v="20777.736328125"/>
  </r>
  <r>
    <s v="FINAL0722_BANK_HE1"/>
    <s v="BELUGA RIVER"/>
    <x v="14"/>
    <x v="1"/>
    <x v="74"/>
    <n v="20394.9375"/>
  </r>
  <r>
    <s v="FINAL0722_BANK_HE1"/>
    <s v="BELUGA RIVER"/>
    <x v="14"/>
    <x v="1"/>
    <x v="75"/>
    <n v="20019.19140625"/>
  </r>
  <r>
    <s v="FINAL0722_BANK_HE1"/>
    <s v="BELUGA RIVER"/>
    <x v="14"/>
    <x v="1"/>
    <x v="76"/>
    <n v="19650.369140625"/>
  </r>
  <r>
    <s v="FINAL0722_BANK_HE1"/>
    <s v="BELUGA RIVER"/>
    <x v="14"/>
    <x v="1"/>
    <x v="77"/>
    <n v="19288.341796875"/>
  </r>
  <r>
    <s v="FINAL0722_BANK_HE1"/>
    <s v="BELUGA RIVER"/>
    <x v="14"/>
    <x v="1"/>
    <x v="78"/>
    <n v="18932.984375"/>
  </r>
  <r>
    <s v="FINAL0722_BANK_HE1"/>
    <s v="BELUGA RIVER"/>
    <x v="14"/>
    <x v="1"/>
    <x v="79"/>
    <n v="18584.173828125"/>
  </r>
  <r>
    <s v="FINAL0722_BANK_HE1"/>
    <s v="BELUGA RIVER"/>
    <x v="14"/>
    <x v="1"/>
    <x v="80"/>
    <n v="18241.7890625"/>
  </r>
  <r>
    <s v="FINAL0722_BANK_HE1"/>
    <s v="BELUGA RIVER"/>
    <x v="14"/>
    <x v="1"/>
    <x v="81"/>
    <n v="17905.712890625"/>
  </r>
  <r>
    <s v="FINAL0722_BANK_HE1"/>
    <s v="BELUGA RIVER"/>
    <x v="14"/>
    <x v="1"/>
    <x v="82"/>
    <n v="17575.828125"/>
  </r>
  <r>
    <s v="FINAL0722_BANK_HE1"/>
    <s v="BELUGA RIVER"/>
    <x v="14"/>
    <x v="1"/>
    <x v="83"/>
    <n v="17252.01953125"/>
  </r>
  <r>
    <s v="FINAL0722_BANK_HE1"/>
    <s v="BELUGA RIVER"/>
    <x v="14"/>
    <x v="1"/>
    <x v="84"/>
    <n v="16934.177734375"/>
  </r>
  <r>
    <s v="FINAL0722_BANK_HE1"/>
    <s v="BELUGA RIVER"/>
    <x v="14"/>
    <x v="1"/>
    <x v="85"/>
    <n v="16622.19140625"/>
  </r>
  <r>
    <s v="FINAL0722_BANK_HE1"/>
    <s v="BELUGA RIVER"/>
    <x v="14"/>
    <x v="1"/>
    <x v="86"/>
    <n v="16315.953125"/>
  </r>
  <r>
    <s v="FINAL0722_BANK_HE1"/>
    <s v="BELUGA RIVER"/>
    <x v="14"/>
    <x v="1"/>
    <x v="87"/>
    <n v="16015.3564453125"/>
  </r>
  <r>
    <s v="FINAL0722_BANK_HE1"/>
    <s v="BELUGA RIVER"/>
    <x v="14"/>
    <x v="1"/>
    <x v="88"/>
    <n v="15720.2978515625"/>
  </r>
  <r>
    <s v="FINAL0722_BANK_HE1"/>
    <s v="BELUGA RIVER"/>
    <x v="14"/>
    <x v="1"/>
    <x v="89"/>
    <n v="15430.67578125"/>
  </r>
  <r>
    <s v="FINAL0722_BANK_HE1"/>
    <s v="BELUGA RIVER"/>
    <x v="14"/>
    <x v="1"/>
    <x v="90"/>
    <n v="15146.3896484375"/>
  </r>
  <r>
    <s v="FINAL0722_BANK_HE1"/>
    <s v="BELUGA RIVER"/>
    <x v="14"/>
    <x v="1"/>
    <x v="91"/>
    <n v="14867.3408203125"/>
  </r>
  <r>
    <s v="FINAL0722_BANK_HE1"/>
    <s v="BELUGA RIVER"/>
    <x v="14"/>
    <x v="1"/>
    <x v="92"/>
    <n v="14593.4326171875"/>
  </r>
  <r>
    <s v="FINAL0722_BANK_HE1"/>
    <s v="BELUGA RIVER"/>
    <x v="14"/>
    <x v="1"/>
    <x v="93"/>
    <n v="14324.5712890625"/>
  </r>
  <r>
    <s v="FINAL0722_BANK_HE1"/>
    <s v="BELUGA RIVER"/>
    <x v="14"/>
    <x v="1"/>
    <x v="94"/>
    <n v="14060.6630859375"/>
  </r>
  <r>
    <s v="FINAL0722_BANK_HE1"/>
    <s v="BELUGA RIVER"/>
    <x v="14"/>
    <x v="1"/>
    <x v="95"/>
    <n v="13801.6171875"/>
  </r>
  <r>
    <s v="FINAL0722_BANK_HE1"/>
    <s v="BELUGA RIVER"/>
    <x v="14"/>
    <x v="1"/>
    <x v="96"/>
    <n v="13547.34375"/>
  </r>
  <r>
    <s v="FINAL0722_BANK_HE1"/>
    <s v="BELUGA RIVER"/>
    <x v="14"/>
    <x v="1"/>
    <x v="97"/>
    <n v="13297.7548828125"/>
  </r>
  <r>
    <s v="FINAL0722_BANK_HE1"/>
    <s v="BELUGA RIVER"/>
    <x v="14"/>
    <x v="1"/>
    <x v="98"/>
    <n v="13052.763671875"/>
  </r>
  <r>
    <s v="FINAL0722_BANK_HE1"/>
    <s v="BELUGA RIVER"/>
    <x v="14"/>
    <x v="1"/>
    <x v="99"/>
    <n v="12812.2861328125"/>
  </r>
  <r>
    <s v="FINAL0722_BANK_HE1"/>
    <s v="BELUGA RIVER"/>
    <x v="14"/>
    <x v="1"/>
    <x v="100"/>
    <n v="12576.2392578125"/>
  </r>
  <r>
    <s v="FINAL0722_BANK_HE1"/>
    <s v="BELUGA RIVER"/>
    <x v="14"/>
    <x v="1"/>
    <x v="101"/>
    <n v="12344.541015625"/>
  </r>
  <r>
    <s v="FINAL0722_BANK_HE1"/>
    <s v="BELUGA RIVER"/>
    <x v="14"/>
    <x v="1"/>
    <x v="102"/>
    <n v="12117.111328125"/>
  </r>
  <r>
    <s v="FINAL0722_BANK_HE1"/>
    <s v="BELUGA RIVER"/>
    <x v="14"/>
    <x v="1"/>
    <x v="103"/>
    <n v="11893.8720703125"/>
  </r>
  <r>
    <s v="FINAL0722_BANK_HE1"/>
    <s v="BELUGA RIVER"/>
    <x v="14"/>
    <x v="1"/>
    <x v="104"/>
    <n v="11674.74609375"/>
  </r>
  <r>
    <s v="FINAL0722_BANK_HE1"/>
    <s v="BELUGA RIVER"/>
    <x v="14"/>
    <x v="1"/>
    <x v="105"/>
    <n v="11459.6572265625"/>
  </r>
  <r>
    <s v="FINAL0722_BANK_HE1"/>
    <s v="BELUGA RIVER"/>
    <x v="14"/>
    <x v="1"/>
    <x v="106"/>
    <n v="11248.5302734375"/>
  </r>
  <r>
    <s v="FINAL0722_BANK_HE1"/>
    <s v="BELUGA RIVER"/>
    <x v="14"/>
    <x v="1"/>
    <x v="107"/>
    <n v="11041.29296875"/>
  </r>
  <r>
    <s v="FINAL0722_BANK_HE1"/>
    <s v="BELUGA RIVER"/>
    <x v="14"/>
    <x v="1"/>
    <x v="108"/>
    <n v="10837.8740234375"/>
  </r>
  <r>
    <s v="FINAL0722_BANK_HE1"/>
    <s v="BELUGA RIVER"/>
    <x v="14"/>
    <x v="1"/>
    <x v="109"/>
    <n v="10638.203125"/>
  </r>
  <r>
    <s v="FINAL0722_BANK_HE1"/>
    <s v="BELUGA RIVER"/>
    <x v="14"/>
    <x v="1"/>
    <x v="110"/>
    <n v="10442.2109375"/>
  </r>
  <r>
    <s v="FINAL0722_BANK_HE1"/>
    <s v="BELUGA RIVER"/>
    <x v="14"/>
    <x v="1"/>
    <x v="111"/>
    <n v="10249.8291015625"/>
  </r>
  <r>
    <s v="FINAL0722_BANK_HE1"/>
    <s v="BELUGA RIVER"/>
    <x v="14"/>
    <x v="1"/>
    <x v="112"/>
    <n v="10060.9912109375"/>
  </r>
  <r>
    <s v="FINAL0722_BANK_HE1"/>
    <s v="BELUGA RIVER"/>
    <x v="14"/>
    <x v="1"/>
    <x v="113"/>
    <n v="9875.6328125"/>
  </r>
  <r>
    <s v="FINAL0722_BANK_HE1"/>
    <s v="BELUGA RIVER"/>
    <x v="14"/>
    <x v="1"/>
    <x v="114"/>
    <n v="9693.689453125"/>
  </r>
  <r>
    <s v="FINAL0722_BANK_HE1"/>
    <s v="BELUGA RIVER"/>
    <x v="14"/>
    <x v="1"/>
    <x v="115"/>
    <n v="9515.09765625"/>
  </r>
  <r>
    <s v="FINAL0722_BANK_HE1"/>
    <s v="BELUGA RIVER"/>
    <x v="14"/>
    <x v="1"/>
    <x v="116"/>
    <n v="9339.796875"/>
  </r>
  <r>
    <s v="FINAL0722_BANK_HE1"/>
    <s v="BELUGA RIVER"/>
    <x v="14"/>
    <x v="1"/>
    <x v="117"/>
    <n v="9167.7255859375"/>
  </r>
  <r>
    <s v="FINAL0722_BANK_HE1"/>
    <s v="BELUGA RIVER"/>
    <x v="14"/>
    <x v="1"/>
    <x v="118"/>
    <n v="8998.82421875"/>
  </r>
  <r>
    <s v="FINAL0722_BANK_HE1"/>
    <s v="BELUGA RIVER"/>
    <x v="14"/>
    <x v="1"/>
    <x v="119"/>
    <n v="8833.0341796875"/>
  </r>
  <r>
    <s v="FINAL0722_BANK_HE1"/>
    <s v="BELUGA RIVER"/>
    <x v="14"/>
    <x v="1"/>
    <x v="120"/>
    <n v="8670.298828125"/>
  </r>
  <r>
    <s v="FINAL0722_BANK_HE1"/>
    <s v="BELUGA RIVER"/>
    <x v="14"/>
    <x v="1"/>
    <x v="121"/>
    <n v="8510.5615234375"/>
  </r>
  <r>
    <s v="FINAL0722_BANK_HE1"/>
    <s v="BELUGA RIVER"/>
    <x v="14"/>
    <x v="1"/>
    <x v="122"/>
    <n v="8353.767578125"/>
  </r>
  <r>
    <s v="FINAL0722_BANK_HE1"/>
    <s v="BELUGA RIVER"/>
    <x v="14"/>
    <x v="1"/>
    <x v="123"/>
    <n v="8199.8623046875"/>
  </r>
  <r>
    <s v="FINAL0722_BANK_HE1"/>
    <s v="BELUGA RIVER"/>
    <x v="14"/>
    <x v="1"/>
    <x v="124"/>
    <n v="8048.79248046875"/>
  </r>
  <r>
    <s v="FINAL0722_BANK_HE1"/>
    <s v="BELUGA RIVER"/>
    <x v="14"/>
    <x v="1"/>
    <x v="125"/>
    <n v="7900.505859375"/>
  </r>
  <r>
    <s v="FINAL0722_BANK_HE1"/>
    <s v="BELUGA RIVER"/>
    <x v="14"/>
    <x v="1"/>
    <x v="126"/>
    <n v="7754.951171875"/>
  </r>
  <r>
    <s v="FINAL0722_BANK_HE1"/>
    <s v="BELUGA RIVER"/>
    <x v="14"/>
    <x v="1"/>
    <x v="127"/>
    <n v="7612.078125"/>
  </r>
  <r>
    <s v="FINAL0722_BANK_HE1"/>
    <s v="BELUGA RIVER"/>
    <x v="14"/>
    <x v="1"/>
    <x v="128"/>
    <n v="7471.83740234375"/>
  </r>
  <r>
    <s v="FINAL0722_BANK_HE1"/>
    <s v="BELUGA RIVER"/>
    <x v="14"/>
    <x v="1"/>
    <x v="129"/>
    <n v="7334.18017578125"/>
  </r>
  <r>
    <s v="FINAL0722_BANK_HE1"/>
    <s v="BELUGA RIVER"/>
    <x v="14"/>
    <x v="1"/>
    <x v="130"/>
    <n v="7199.05908203125"/>
  </r>
  <r>
    <s v="FINAL0722_BANK_HE1"/>
    <s v="BELUGA RIVER"/>
    <x v="14"/>
    <x v="1"/>
    <x v="131"/>
    <n v="7066.42724609375"/>
  </r>
  <r>
    <s v="FINAL0722_BANK_HE1"/>
    <s v="BELUGA RIVER"/>
    <x v="14"/>
    <x v="1"/>
    <x v="132"/>
    <n v="6936.2392578125"/>
  </r>
  <r>
    <s v="FINAL0722_BANK_HE1"/>
    <s v="BELUGA RIVER"/>
    <x v="14"/>
    <x v="1"/>
    <x v="133"/>
    <n v="6808.44970703125"/>
  </r>
  <r>
    <s v="FINAL0722_BANK_HE1"/>
    <s v="BELUGA RIVER"/>
    <x v="14"/>
    <x v="1"/>
    <x v="134"/>
    <n v="6683.0146484375"/>
  </r>
  <r>
    <s v="FINAL0722_BANK_HE1"/>
    <s v="BELUGA RIVER"/>
    <x v="14"/>
    <x v="1"/>
    <x v="135"/>
    <n v="6559.89013671875"/>
  </r>
  <r>
    <s v="FINAL0722_BANK_HE1"/>
    <s v="BELUGA RIVER"/>
    <x v="14"/>
    <x v="1"/>
    <x v="136"/>
    <n v="6439.0341796875"/>
  </r>
  <r>
    <s v="FINAL0722_BANK_HE1"/>
    <s v="BELUGA RIVER"/>
    <x v="14"/>
    <x v="1"/>
    <x v="137"/>
    <n v="6320.40478515625"/>
  </r>
  <r>
    <s v="FINAL0722_BANK_HE1"/>
    <s v="BELUGA RIVER"/>
    <x v="14"/>
    <x v="1"/>
    <x v="138"/>
    <n v="6203.9609375"/>
  </r>
  <r>
    <s v="FINAL0722_BANK_HE1"/>
    <s v="BELUGA RIVER"/>
    <x v="14"/>
    <x v="1"/>
    <x v="139"/>
    <n v="6089.66259765625"/>
  </r>
  <r>
    <s v="FINAL0722_BANK_HE1"/>
    <s v="BELUGA RIVER"/>
    <x v="14"/>
    <x v="1"/>
    <x v="140"/>
    <n v="5977.4697265625"/>
  </r>
  <r>
    <s v="FINAL0722_BANK_HE1"/>
    <s v="BELUGA RIVER"/>
    <x v="14"/>
    <x v="1"/>
    <x v="141"/>
    <n v="5867.34375"/>
  </r>
  <r>
    <s v="FINAL0722_BANK_HE1"/>
    <s v="BELUGA RIVER"/>
    <x v="14"/>
    <x v="1"/>
    <x v="142"/>
    <n v="5759.2470703125"/>
  </r>
  <r>
    <s v="FINAL0722_BANK_HE1"/>
    <s v="BELUGA RIVER"/>
    <x v="14"/>
    <x v="1"/>
    <x v="143"/>
    <n v="5653.1416015625"/>
  </r>
  <r>
    <s v="FINAL0722_BANK_HE1"/>
    <s v="BELUGA RIVER"/>
    <x v="14"/>
    <x v="1"/>
    <x v="144"/>
    <n v="5548.9912109375"/>
  </r>
  <r>
    <s v="FINAL0722_BANK_HE1"/>
    <s v="BELUGA RIVER"/>
    <x v="14"/>
    <x v="1"/>
    <x v="145"/>
    <n v="5446.759765625"/>
  </r>
  <r>
    <s v="FINAL0722_BANK_HE1"/>
    <s v="BELUGA RIVER"/>
    <x v="14"/>
    <x v="1"/>
    <x v="146"/>
    <n v="5346.41162109375"/>
  </r>
  <r>
    <s v="FINAL0722_BANK_HE1"/>
    <s v="BELUGA RIVER"/>
    <x v="14"/>
    <x v="1"/>
    <x v="147"/>
    <n v="5247.912109375"/>
  </r>
  <r>
    <s v="FINAL0722_BANK_HE1"/>
    <s v="BELUGA RIVER"/>
    <x v="14"/>
    <x v="1"/>
    <x v="148"/>
    <n v="5151.2275390625"/>
  </r>
  <r>
    <s v="FINAL0722_BANK_HE1"/>
    <s v="BELUGA RIVER"/>
    <x v="14"/>
    <x v="1"/>
    <x v="149"/>
    <n v="5056.32421875"/>
  </r>
  <r>
    <s v="FINAL0722_BANK_HE1"/>
    <s v="BELUGA RIVER"/>
    <x v="14"/>
    <x v="1"/>
    <x v="150"/>
    <n v="4963.1689453125"/>
  </r>
  <r>
    <s v="FINAL0722_BANK_HE1"/>
    <s v="BELUGA RIVER"/>
    <x v="14"/>
    <x v="1"/>
    <x v="151"/>
    <n v="4871.72998046875"/>
  </r>
  <r>
    <s v="FINAL0722_BANK_HE1"/>
    <s v="BELUGA RIVER"/>
    <x v="14"/>
    <x v="1"/>
    <x v="152"/>
    <n v="4781.9755859375"/>
  </r>
  <r>
    <s v="FINAL0722_BANK_HE1"/>
    <s v="BELUGA RIVER"/>
    <x v="14"/>
    <x v="1"/>
    <x v="153"/>
    <n v="4693.875"/>
  </r>
  <r>
    <s v="FINAL0722_BANK_HE1"/>
    <s v="BELUGA RIVER"/>
    <x v="14"/>
    <x v="1"/>
    <x v="154"/>
    <n v="4607.3974609375"/>
  </r>
  <r>
    <s v="FINAL0722_BANK_HE1"/>
    <s v="BELUGA RIVER"/>
    <x v="14"/>
    <x v="1"/>
    <x v="155"/>
    <n v="4522.51318359375"/>
  </r>
  <r>
    <s v="FINAL0722_BANK_HE1"/>
    <s v="BELUGA RIVER"/>
    <x v="15"/>
    <x v="1"/>
    <x v="0"/>
    <n v="0"/>
  </r>
  <r>
    <s v="FINAL0722_BANK_HE1"/>
    <s v="BELUGA RIVER"/>
    <x v="15"/>
    <x v="1"/>
    <x v="1"/>
    <n v="0"/>
  </r>
  <r>
    <s v="FINAL0722_BANK_HE1"/>
    <s v="BELUGA RIVER"/>
    <x v="15"/>
    <x v="1"/>
    <x v="2"/>
    <n v="0"/>
  </r>
  <r>
    <s v="FINAL0722_BANK_HE1"/>
    <s v="BELUGA RIVER"/>
    <x v="15"/>
    <x v="1"/>
    <x v="3"/>
    <n v="0"/>
  </r>
  <r>
    <s v="FINAL0722_BANK_HE1"/>
    <s v="BELUGA RIVER"/>
    <x v="15"/>
    <x v="1"/>
    <x v="4"/>
    <n v="0"/>
  </r>
  <r>
    <s v="FINAL0722_BANK_HE1"/>
    <s v="BELUGA RIVER"/>
    <x v="15"/>
    <x v="1"/>
    <x v="5"/>
    <n v="89304.8671875"/>
  </r>
  <r>
    <s v="FINAL0722_BANK_HE1"/>
    <s v="BELUGA RIVER"/>
    <x v="15"/>
    <x v="1"/>
    <x v="6"/>
    <n v="87928.8984375"/>
  </r>
  <r>
    <s v="FINAL0722_BANK_HE1"/>
    <s v="BELUGA RIVER"/>
    <x v="15"/>
    <x v="1"/>
    <x v="7"/>
    <n v="86574.1328125"/>
  </r>
  <r>
    <s v="FINAL0722_BANK_HE1"/>
    <s v="BELUGA RIVER"/>
    <x v="15"/>
    <x v="1"/>
    <x v="8"/>
    <n v="85240.2421875"/>
  </r>
  <r>
    <s v="FINAL0722_BANK_HE1"/>
    <s v="BELUGA RIVER"/>
    <x v="15"/>
    <x v="1"/>
    <x v="9"/>
    <n v="83926.8984375"/>
  </r>
  <r>
    <s v="FINAL0722_BANK_HE1"/>
    <s v="BELUGA RIVER"/>
    <x v="15"/>
    <x v="1"/>
    <x v="10"/>
    <n v="82633.7890625"/>
  </r>
  <r>
    <s v="FINAL0722_BANK_HE1"/>
    <s v="BELUGA RIVER"/>
    <x v="15"/>
    <x v="1"/>
    <x v="11"/>
    <n v="81360.609375"/>
  </r>
  <r>
    <s v="FINAL0722_BANK_HE1"/>
    <s v="BELUGA RIVER"/>
    <x v="15"/>
    <x v="1"/>
    <x v="12"/>
    <n v="80107.0390625"/>
  </r>
  <r>
    <s v="FINAL0722_BANK_HE1"/>
    <s v="BELUGA RIVER"/>
    <x v="15"/>
    <x v="1"/>
    <x v="13"/>
    <n v="78872.7890625"/>
  </r>
  <r>
    <s v="FINAL0722_BANK_HE1"/>
    <s v="BELUGA RIVER"/>
    <x v="15"/>
    <x v="1"/>
    <x v="14"/>
    <n v="77657.5546875"/>
  </r>
  <r>
    <s v="FINAL0722_BANK_HE1"/>
    <s v="BELUGA RIVER"/>
    <x v="15"/>
    <x v="1"/>
    <x v="15"/>
    <n v="76461.046875"/>
  </r>
  <r>
    <s v="FINAL0722_BANK_HE1"/>
    <s v="BELUGA RIVER"/>
    <x v="15"/>
    <x v="1"/>
    <x v="16"/>
    <n v="75282.96875"/>
  </r>
  <r>
    <s v="FINAL0722_BANK_HE1"/>
    <s v="BELUGA RIVER"/>
    <x v="15"/>
    <x v="1"/>
    <x v="17"/>
    <n v="74123.046875"/>
  </r>
  <r>
    <s v="FINAL0722_BANK_HE1"/>
    <s v="BELUGA RIVER"/>
    <x v="15"/>
    <x v="1"/>
    <x v="18"/>
    <n v="72980.9921875"/>
  </r>
  <r>
    <s v="FINAL0722_BANK_HE1"/>
    <s v="BELUGA RIVER"/>
    <x v="15"/>
    <x v="1"/>
    <x v="19"/>
    <n v="71856.53125"/>
  </r>
  <r>
    <s v="FINAL0722_BANK_HE1"/>
    <s v="BELUGA RIVER"/>
    <x v="15"/>
    <x v="1"/>
    <x v="20"/>
    <n v="70749.3984375"/>
  </r>
  <r>
    <s v="FINAL0722_BANK_HE1"/>
    <s v="BELUGA RIVER"/>
    <x v="15"/>
    <x v="1"/>
    <x v="21"/>
    <n v="69659.328125"/>
  </r>
  <r>
    <s v="FINAL0722_BANK_HE1"/>
    <s v="BELUGA RIVER"/>
    <x v="15"/>
    <x v="1"/>
    <x v="22"/>
    <n v="68586.046875"/>
  </r>
  <r>
    <s v="FINAL0722_BANK_HE1"/>
    <s v="BELUGA RIVER"/>
    <x v="15"/>
    <x v="1"/>
    <x v="23"/>
    <n v="67529.3046875"/>
  </r>
  <r>
    <s v="FINAL0722_BANK_HE1"/>
    <s v="BELUGA RIVER"/>
    <x v="15"/>
    <x v="1"/>
    <x v="24"/>
    <n v="66488.84375"/>
  </r>
  <r>
    <s v="FINAL0722_BANK_HE1"/>
    <s v="BELUGA RIVER"/>
    <x v="15"/>
    <x v="1"/>
    <x v="25"/>
    <n v="65464.4140625"/>
  </r>
  <r>
    <s v="FINAL0722_BANK_HE1"/>
    <s v="BELUGA RIVER"/>
    <x v="15"/>
    <x v="1"/>
    <x v="26"/>
    <n v="64455.76953125"/>
  </r>
  <r>
    <s v="FINAL0722_BANK_HE1"/>
    <s v="BELUGA RIVER"/>
    <x v="15"/>
    <x v="1"/>
    <x v="27"/>
    <n v="63462.6640625"/>
  </r>
  <r>
    <s v="FINAL0722_BANK_HE1"/>
    <s v="BELUGA RIVER"/>
    <x v="15"/>
    <x v="1"/>
    <x v="28"/>
    <n v="62484.859375"/>
  </r>
  <r>
    <s v="FINAL0722_BANK_HE1"/>
    <s v="BELUGA RIVER"/>
    <x v="15"/>
    <x v="1"/>
    <x v="29"/>
    <n v="61522.12109375"/>
  </r>
  <r>
    <s v="FINAL0722_BANK_HE1"/>
    <s v="BELUGA RIVER"/>
    <x v="15"/>
    <x v="1"/>
    <x v="30"/>
    <n v="60574.21875"/>
  </r>
  <r>
    <s v="FINAL0722_BANK_HE1"/>
    <s v="BELUGA RIVER"/>
    <x v="15"/>
    <x v="1"/>
    <x v="31"/>
    <n v="59640.91796875"/>
  </r>
  <r>
    <s v="FINAL0722_BANK_HE1"/>
    <s v="BELUGA RIVER"/>
    <x v="15"/>
    <x v="1"/>
    <x v="32"/>
    <n v="58722"/>
  </r>
  <r>
    <s v="FINAL0722_BANK_HE1"/>
    <s v="BELUGA RIVER"/>
    <x v="15"/>
    <x v="1"/>
    <x v="33"/>
    <n v="57817.23828125"/>
  </r>
  <r>
    <s v="FINAL0722_BANK_HE1"/>
    <s v="BELUGA RIVER"/>
    <x v="15"/>
    <x v="1"/>
    <x v="34"/>
    <n v="56926.41796875"/>
  </r>
  <r>
    <s v="FINAL0722_BANK_HE1"/>
    <s v="BELUGA RIVER"/>
    <x v="15"/>
    <x v="1"/>
    <x v="35"/>
    <n v="56049.3203125"/>
  </r>
  <r>
    <s v="FINAL0722_BANK_HE1"/>
    <s v="BELUGA RIVER"/>
    <x v="15"/>
    <x v="1"/>
    <x v="36"/>
    <n v="55185.73828125"/>
  </r>
  <r>
    <s v="FINAL0722_BANK_HE1"/>
    <s v="BELUGA RIVER"/>
    <x v="15"/>
    <x v="1"/>
    <x v="37"/>
    <n v="54335.4609375"/>
  </r>
  <r>
    <s v="FINAL0722_BANK_HE1"/>
    <s v="BELUGA RIVER"/>
    <x v="15"/>
    <x v="1"/>
    <x v="38"/>
    <n v="53498.28515625"/>
  </r>
  <r>
    <s v="FINAL0722_BANK_HE1"/>
    <s v="BELUGA RIVER"/>
    <x v="15"/>
    <x v="1"/>
    <x v="39"/>
    <n v="52674.0078125"/>
  </r>
  <r>
    <s v="FINAL0722_BANK_HE1"/>
    <s v="BELUGA RIVER"/>
    <x v="15"/>
    <x v="1"/>
    <x v="40"/>
    <n v="51862.4296875"/>
  </r>
  <r>
    <s v="FINAL0722_BANK_HE1"/>
    <s v="BELUGA RIVER"/>
    <x v="15"/>
    <x v="1"/>
    <x v="41"/>
    <n v="51063.359375"/>
  </r>
  <r>
    <s v="FINAL0722_BANK_HE1"/>
    <s v="BELUGA RIVER"/>
    <x v="15"/>
    <x v="1"/>
    <x v="42"/>
    <n v="50276.59765625"/>
  </r>
  <r>
    <s v="FINAL0722_BANK_HE1"/>
    <s v="BELUGA RIVER"/>
    <x v="15"/>
    <x v="1"/>
    <x v="43"/>
    <n v="49501.9609375"/>
  </r>
  <r>
    <s v="FINAL0722_BANK_HE1"/>
    <s v="BELUGA RIVER"/>
    <x v="15"/>
    <x v="1"/>
    <x v="44"/>
    <n v="48739.2578125"/>
  </r>
  <r>
    <s v="FINAL0722_BANK_HE1"/>
    <s v="BELUGA RIVER"/>
    <x v="15"/>
    <x v="1"/>
    <x v="45"/>
    <n v="47988.3046875"/>
  </r>
  <r>
    <s v="FINAL0722_BANK_HE1"/>
    <s v="BELUGA RIVER"/>
    <x v="15"/>
    <x v="1"/>
    <x v="46"/>
    <n v="47248.921875"/>
  </r>
  <r>
    <s v="FINAL0722_BANK_HE1"/>
    <s v="BELUGA RIVER"/>
    <x v="15"/>
    <x v="1"/>
    <x v="47"/>
    <n v="46520.93359375"/>
  </r>
  <r>
    <s v="FINAL0722_BANK_HE1"/>
    <s v="BELUGA RIVER"/>
    <x v="15"/>
    <x v="1"/>
    <x v="48"/>
    <n v="45804.16015625"/>
  </r>
  <r>
    <s v="FINAL0722_BANK_HE1"/>
    <s v="BELUGA RIVER"/>
    <x v="15"/>
    <x v="1"/>
    <x v="49"/>
    <n v="45098.4296875"/>
  </r>
  <r>
    <s v="FINAL0722_BANK_HE1"/>
    <s v="BELUGA RIVER"/>
    <x v="15"/>
    <x v="1"/>
    <x v="50"/>
    <n v="44403.57421875"/>
  </r>
  <r>
    <s v="FINAL0722_BANK_HE1"/>
    <s v="BELUGA RIVER"/>
    <x v="15"/>
    <x v="1"/>
    <x v="51"/>
    <n v="43719.42578125"/>
  </r>
  <r>
    <s v="FINAL0722_BANK_HE1"/>
    <s v="BELUGA RIVER"/>
    <x v="15"/>
    <x v="1"/>
    <x v="52"/>
    <n v="43045.81640625"/>
  </r>
  <r>
    <s v="FINAL0722_BANK_HE1"/>
    <s v="BELUGA RIVER"/>
    <x v="15"/>
    <x v="1"/>
    <x v="53"/>
    <n v="42382.5859375"/>
  </r>
  <r>
    <s v="FINAL0722_BANK_HE1"/>
    <s v="BELUGA RIVER"/>
    <x v="15"/>
    <x v="1"/>
    <x v="54"/>
    <n v="41729.57421875"/>
  </r>
  <r>
    <s v="FINAL0722_BANK_HE1"/>
    <s v="BELUGA RIVER"/>
    <x v="15"/>
    <x v="1"/>
    <x v="55"/>
    <n v="41086.625"/>
  </r>
  <r>
    <s v="FINAL0722_BANK_HE1"/>
    <s v="BELUGA RIVER"/>
    <x v="15"/>
    <x v="1"/>
    <x v="56"/>
    <n v="40453.58203125"/>
  </r>
  <r>
    <s v="FINAL0722_BANK_HE1"/>
    <s v="BELUGA RIVER"/>
    <x v="15"/>
    <x v="1"/>
    <x v="57"/>
    <n v="39830.29296875"/>
  </r>
  <r>
    <s v="FINAL0722_BANK_HE1"/>
    <s v="BELUGA RIVER"/>
    <x v="15"/>
    <x v="1"/>
    <x v="58"/>
    <n v="39216.60546875"/>
  </r>
  <r>
    <s v="FINAL0722_BANK_HE1"/>
    <s v="BELUGA RIVER"/>
    <x v="15"/>
    <x v="1"/>
    <x v="59"/>
    <n v="38612.375"/>
  </r>
  <r>
    <s v="FINAL0722_BANK_HE1"/>
    <s v="BELUGA RIVER"/>
    <x v="15"/>
    <x v="1"/>
    <x v="60"/>
    <n v="38017.453125"/>
  </r>
  <r>
    <s v="FINAL0722_BANK_HE1"/>
    <s v="BELUGA RIVER"/>
    <x v="15"/>
    <x v="1"/>
    <x v="61"/>
    <n v="37431.69921875"/>
  </r>
  <r>
    <s v="FINAL0722_BANK_HE1"/>
    <s v="BELUGA RIVER"/>
    <x v="15"/>
    <x v="1"/>
    <x v="62"/>
    <n v="36854.96875"/>
  </r>
  <r>
    <s v="FINAL0722_BANK_HE1"/>
    <s v="BELUGA RIVER"/>
    <x v="15"/>
    <x v="1"/>
    <x v="63"/>
    <n v="36287.125"/>
  </r>
  <r>
    <s v="FINAL0722_BANK_HE1"/>
    <s v="BELUGA RIVER"/>
    <x v="15"/>
    <x v="1"/>
    <x v="64"/>
    <n v="35728.03125"/>
  </r>
  <r>
    <s v="FINAL0722_BANK_HE1"/>
    <s v="BELUGA RIVER"/>
    <x v="15"/>
    <x v="1"/>
    <x v="65"/>
    <n v="35177.55078125"/>
  </r>
  <r>
    <s v="FINAL0722_BANK_HE1"/>
    <s v="BELUGA RIVER"/>
    <x v="15"/>
    <x v="1"/>
    <x v="66"/>
    <n v="34635.55078125"/>
  </r>
  <r>
    <s v="FINAL0722_BANK_HE1"/>
    <s v="BELUGA RIVER"/>
    <x v="15"/>
    <x v="1"/>
    <x v="67"/>
    <n v="34101.90234375"/>
  </r>
  <r>
    <s v="FINAL0722_BANK_HE1"/>
    <s v="BELUGA RIVER"/>
    <x v="15"/>
    <x v="1"/>
    <x v="68"/>
    <n v="33576.4765625"/>
  </r>
  <r>
    <s v="FINAL0722_BANK_HE1"/>
    <s v="BELUGA RIVER"/>
    <x v="15"/>
    <x v="1"/>
    <x v="69"/>
    <n v="33059.14453125"/>
  </r>
  <r>
    <s v="FINAL0722_BANK_HE1"/>
    <s v="BELUGA RIVER"/>
    <x v="15"/>
    <x v="1"/>
    <x v="70"/>
    <n v="32549.78515625"/>
  </r>
  <r>
    <s v="FINAL0722_BANK_HE1"/>
    <s v="BELUGA RIVER"/>
    <x v="15"/>
    <x v="1"/>
    <x v="71"/>
    <n v="32048.2734375"/>
  </r>
  <r>
    <s v="FINAL0722_BANK_HE1"/>
    <s v="BELUGA RIVER"/>
    <x v="15"/>
    <x v="1"/>
    <x v="72"/>
    <n v="31554.48828125"/>
  </r>
  <r>
    <s v="FINAL0722_BANK_HE1"/>
    <s v="BELUGA RIVER"/>
    <x v="15"/>
    <x v="1"/>
    <x v="73"/>
    <n v="31068.310546875"/>
  </r>
  <r>
    <s v="FINAL0722_BANK_HE1"/>
    <s v="BELUGA RIVER"/>
    <x v="15"/>
    <x v="1"/>
    <x v="74"/>
    <n v="30589.625"/>
  </r>
  <r>
    <s v="FINAL0722_BANK_HE1"/>
    <s v="BELUGA RIVER"/>
    <x v="15"/>
    <x v="1"/>
    <x v="75"/>
    <n v="30118.314453125"/>
  </r>
  <r>
    <s v="FINAL0722_BANK_HE1"/>
    <s v="BELUGA RIVER"/>
    <x v="15"/>
    <x v="1"/>
    <x v="76"/>
    <n v="29654.265625"/>
  </r>
  <r>
    <s v="FINAL0722_BANK_HE1"/>
    <s v="BELUGA RIVER"/>
    <x v="15"/>
    <x v="1"/>
    <x v="77"/>
    <n v="29197.3671875"/>
  </r>
  <r>
    <s v="FINAL0722_BANK_HE1"/>
    <s v="BELUGA RIVER"/>
    <x v="15"/>
    <x v="1"/>
    <x v="78"/>
    <n v="28747.5078125"/>
  </r>
  <r>
    <s v="FINAL0722_BANK_HE1"/>
    <s v="BELUGA RIVER"/>
    <x v="15"/>
    <x v="1"/>
    <x v="79"/>
    <n v="28304.580078125"/>
  </r>
  <r>
    <s v="FINAL0722_BANK_HE1"/>
    <s v="BELUGA RIVER"/>
    <x v="15"/>
    <x v="1"/>
    <x v="80"/>
    <n v="27868.4765625"/>
  </r>
  <r>
    <s v="FINAL0722_BANK_HE1"/>
    <s v="BELUGA RIVER"/>
    <x v="15"/>
    <x v="1"/>
    <x v="81"/>
    <n v="27439.091796875"/>
  </r>
  <r>
    <s v="FINAL0722_BANK_HE1"/>
    <s v="BELUGA RIVER"/>
    <x v="15"/>
    <x v="1"/>
    <x v="82"/>
    <n v="27016.322265625"/>
  </r>
  <r>
    <s v="FINAL0722_BANK_HE1"/>
    <s v="BELUGA RIVER"/>
    <x v="15"/>
    <x v="1"/>
    <x v="83"/>
    <n v="26600.06640625"/>
  </r>
  <r>
    <s v="FINAL0722_BANK_HE1"/>
    <s v="BELUGA RIVER"/>
    <x v="15"/>
    <x v="1"/>
    <x v="84"/>
    <n v="26190.224609375"/>
  </r>
  <r>
    <s v="FINAL0722_BANK_HE1"/>
    <s v="BELUGA RIVER"/>
    <x v="15"/>
    <x v="1"/>
    <x v="85"/>
    <n v="25786.697265625"/>
  </r>
  <r>
    <s v="FINAL0722_BANK_HE1"/>
    <s v="BELUGA RIVER"/>
    <x v="15"/>
    <x v="1"/>
    <x v="86"/>
    <n v="25389.388671875"/>
  </r>
  <r>
    <s v="FINAL0722_BANK_HE1"/>
    <s v="BELUGA RIVER"/>
    <x v="15"/>
    <x v="1"/>
    <x v="87"/>
    <n v="24998.201171875"/>
  </r>
  <r>
    <s v="FINAL0722_BANK_HE1"/>
    <s v="BELUGA RIVER"/>
    <x v="15"/>
    <x v="1"/>
    <x v="88"/>
    <n v="24613.041015625"/>
  </r>
  <r>
    <s v="FINAL0722_BANK_HE1"/>
    <s v="BELUGA RIVER"/>
    <x v="15"/>
    <x v="1"/>
    <x v="89"/>
    <n v="24233.814453125"/>
  </r>
  <r>
    <s v="FINAL0722_BANK_HE1"/>
    <s v="BELUGA RIVER"/>
    <x v="15"/>
    <x v="1"/>
    <x v="90"/>
    <n v="23860.431640625"/>
  </r>
  <r>
    <s v="FINAL0722_BANK_HE1"/>
    <s v="BELUGA RIVER"/>
    <x v="15"/>
    <x v="1"/>
    <x v="91"/>
    <n v="23492.80078125"/>
  </r>
  <r>
    <s v="FINAL0722_BANK_HE1"/>
    <s v="BELUGA RIVER"/>
    <x v="15"/>
    <x v="1"/>
    <x v="92"/>
    <n v="23130.833984375"/>
  </r>
  <r>
    <s v="FINAL0722_BANK_HE1"/>
    <s v="BELUGA RIVER"/>
    <x v="15"/>
    <x v="1"/>
    <x v="93"/>
    <n v="22774.4453125"/>
  </r>
  <r>
    <s v="FINAL0722_BANK_HE1"/>
    <s v="BELUGA RIVER"/>
    <x v="15"/>
    <x v="1"/>
    <x v="94"/>
    <n v="22423.546875"/>
  </r>
  <r>
    <s v="FINAL0722_BANK_HE1"/>
    <s v="BELUGA RIVER"/>
    <x v="15"/>
    <x v="1"/>
    <x v="95"/>
    <n v="22078.0546875"/>
  </r>
  <r>
    <s v="FINAL0722_BANK_HE1"/>
    <s v="BELUGA RIVER"/>
    <x v="15"/>
    <x v="1"/>
    <x v="96"/>
    <n v="21737.88671875"/>
  </r>
  <r>
    <s v="FINAL0722_BANK_HE1"/>
    <s v="BELUGA RIVER"/>
    <x v="15"/>
    <x v="1"/>
    <x v="97"/>
    <n v="21402.958984375"/>
  </r>
  <r>
    <s v="FINAL0722_BANK_HE1"/>
    <s v="BELUGA RIVER"/>
    <x v="15"/>
    <x v="1"/>
    <x v="98"/>
    <n v="21073.19140625"/>
  </r>
  <r>
    <s v="FINAL0722_BANK_HE1"/>
    <s v="BELUGA RIVER"/>
    <x v="15"/>
    <x v="1"/>
    <x v="99"/>
    <n v="20748.505859375"/>
  </r>
  <r>
    <s v="FINAL0722_BANK_HE1"/>
    <s v="BELUGA RIVER"/>
    <x v="15"/>
    <x v="1"/>
    <x v="100"/>
    <n v="20428.822265625"/>
  </r>
  <r>
    <s v="FINAL0722_BANK_HE1"/>
    <s v="BELUGA RIVER"/>
    <x v="15"/>
    <x v="1"/>
    <x v="101"/>
    <n v="20114.064453125"/>
  </r>
  <r>
    <s v="FINAL0722_BANK_HE1"/>
    <s v="BELUGA RIVER"/>
    <x v="15"/>
    <x v="1"/>
    <x v="102"/>
    <n v="19804.15625"/>
  </r>
  <r>
    <s v="FINAL0722_BANK_HE1"/>
    <s v="BELUGA RIVER"/>
    <x v="15"/>
    <x v="1"/>
    <x v="103"/>
    <n v="19499.0234375"/>
  </r>
  <r>
    <s v="FINAL0722_BANK_HE1"/>
    <s v="BELUGA RIVER"/>
    <x v="15"/>
    <x v="1"/>
    <x v="104"/>
    <n v="19198.591796875"/>
  </r>
  <r>
    <s v="FINAL0722_BANK_HE1"/>
    <s v="BELUGA RIVER"/>
    <x v="15"/>
    <x v="1"/>
    <x v="105"/>
    <n v="18902.7890625"/>
  </r>
  <r>
    <s v="FINAL0722_BANK_HE1"/>
    <s v="BELUGA RIVER"/>
    <x v="15"/>
    <x v="1"/>
    <x v="106"/>
    <n v="18611.54296875"/>
  </r>
  <r>
    <s v="FINAL0722_BANK_HE1"/>
    <s v="BELUGA RIVER"/>
    <x v="15"/>
    <x v="1"/>
    <x v="107"/>
    <n v="18324.78515625"/>
  </r>
  <r>
    <s v="FINAL0722_BANK_HE1"/>
    <s v="BELUGA RIVER"/>
    <x v="15"/>
    <x v="1"/>
    <x v="108"/>
    <n v="18042.4453125"/>
  </r>
  <r>
    <s v="FINAL0722_BANK_HE1"/>
    <s v="BELUGA RIVER"/>
    <x v="15"/>
    <x v="1"/>
    <x v="109"/>
    <n v="17764.455078125"/>
  </r>
  <r>
    <s v="FINAL0722_BANK_HE1"/>
    <s v="BELUGA RIVER"/>
    <x v="15"/>
    <x v="1"/>
    <x v="110"/>
    <n v="17490.748046875"/>
  </r>
  <r>
    <s v="FINAL0722_BANK_HE1"/>
    <s v="BELUGA RIVER"/>
    <x v="15"/>
    <x v="1"/>
    <x v="111"/>
    <n v="17221.2578125"/>
  </r>
  <r>
    <s v="FINAL0722_BANK_HE1"/>
    <s v="BELUGA RIVER"/>
    <x v="15"/>
    <x v="1"/>
    <x v="112"/>
    <n v="16955.919921875"/>
  </r>
  <r>
    <s v="FINAL0722_BANK_HE1"/>
    <s v="BELUGA RIVER"/>
    <x v="15"/>
    <x v="1"/>
    <x v="113"/>
    <n v="16694.671875"/>
  </r>
  <r>
    <s v="FINAL0722_BANK_HE1"/>
    <s v="BELUGA RIVER"/>
    <x v="15"/>
    <x v="1"/>
    <x v="114"/>
    <n v="16437.447265625"/>
  </r>
  <r>
    <s v="FINAL0722_BANK_HE1"/>
    <s v="BELUGA RIVER"/>
    <x v="15"/>
    <x v="1"/>
    <x v="115"/>
    <n v="16184.1865234375"/>
  </r>
  <r>
    <s v="FINAL0722_BANK_HE1"/>
    <s v="BELUGA RIVER"/>
    <x v="15"/>
    <x v="1"/>
    <x v="116"/>
    <n v="15934.828125"/>
  </r>
  <r>
    <s v="FINAL0722_BANK_HE1"/>
    <s v="BELUGA RIVER"/>
    <x v="15"/>
    <x v="1"/>
    <x v="117"/>
    <n v="15689.3115234375"/>
  </r>
  <r>
    <s v="FINAL0722_BANK_HE1"/>
    <s v="BELUGA RIVER"/>
    <x v="15"/>
    <x v="1"/>
    <x v="118"/>
    <n v="15447.578125"/>
  </r>
  <r>
    <s v="FINAL0722_BANK_HE1"/>
    <s v="BELUGA RIVER"/>
    <x v="15"/>
    <x v="1"/>
    <x v="119"/>
    <n v="15209.5693359375"/>
  </r>
  <r>
    <s v="FINAL0722_BANK_HE1"/>
    <s v="BELUGA RIVER"/>
    <x v="15"/>
    <x v="1"/>
    <x v="120"/>
    <n v="14975.2275390625"/>
  </r>
  <r>
    <s v="FINAL0722_BANK_HE1"/>
    <s v="BELUGA RIVER"/>
    <x v="15"/>
    <x v="1"/>
    <x v="121"/>
    <n v="14744.49609375"/>
  </r>
  <r>
    <s v="FINAL0722_BANK_HE1"/>
    <s v="BELUGA RIVER"/>
    <x v="15"/>
    <x v="1"/>
    <x v="122"/>
    <n v="14517.3193359375"/>
  </r>
  <r>
    <s v="FINAL0722_BANK_HE1"/>
    <s v="BELUGA RIVER"/>
    <x v="15"/>
    <x v="1"/>
    <x v="123"/>
    <n v="14293.6435546875"/>
  </r>
  <r>
    <s v="FINAL0722_BANK_HE1"/>
    <s v="BELUGA RIVER"/>
    <x v="15"/>
    <x v="1"/>
    <x v="124"/>
    <n v="14073.4140625"/>
  </r>
  <r>
    <s v="FINAL0722_BANK_HE1"/>
    <s v="BELUGA RIVER"/>
    <x v="15"/>
    <x v="1"/>
    <x v="125"/>
    <n v="13856.5771484375"/>
  </r>
  <r>
    <s v="FINAL0722_BANK_HE1"/>
    <s v="BELUGA RIVER"/>
    <x v="15"/>
    <x v="1"/>
    <x v="126"/>
    <n v="13643.0810546875"/>
  </r>
  <r>
    <s v="FINAL0722_BANK_HE1"/>
    <s v="BELUGA RIVER"/>
    <x v="15"/>
    <x v="1"/>
    <x v="127"/>
    <n v="13432.875"/>
  </r>
  <r>
    <s v="FINAL0722_BANK_HE1"/>
    <s v="BELUGA RIVER"/>
    <x v="15"/>
    <x v="1"/>
    <x v="128"/>
    <n v="13225.9072265625"/>
  </r>
  <r>
    <s v="FINAL0722_BANK_HE1"/>
    <s v="BELUGA RIVER"/>
    <x v="15"/>
    <x v="1"/>
    <x v="129"/>
    <n v="13022.12890625"/>
  </r>
  <r>
    <s v="FINAL0722_BANK_HE1"/>
    <s v="BELUGA RIVER"/>
    <x v="15"/>
    <x v="1"/>
    <x v="130"/>
    <n v="12821.490234375"/>
  </r>
  <r>
    <s v="FINAL0722_BANK_HE1"/>
    <s v="BELUGA RIVER"/>
    <x v="15"/>
    <x v="1"/>
    <x v="131"/>
    <n v="12623.9423828125"/>
  </r>
  <r>
    <s v="FINAL0722_BANK_HE1"/>
    <s v="BELUGA RIVER"/>
    <x v="15"/>
    <x v="1"/>
    <x v="132"/>
    <n v="12429.4384765625"/>
  </r>
  <r>
    <s v="FINAL0722_BANK_HE1"/>
    <s v="BELUGA RIVER"/>
    <x v="15"/>
    <x v="1"/>
    <x v="133"/>
    <n v="12237.931640625"/>
  </r>
  <r>
    <s v="FINAL0722_BANK_HE1"/>
    <s v="BELUGA RIVER"/>
    <x v="15"/>
    <x v="1"/>
    <x v="134"/>
    <n v="12049.375"/>
  </r>
  <r>
    <s v="FINAL0722_BANK_HE1"/>
    <s v="BELUGA RIVER"/>
    <x v="15"/>
    <x v="1"/>
    <x v="135"/>
    <n v="11863.7236328125"/>
  </r>
  <r>
    <s v="FINAL0722_BANK_HE1"/>
    <s v="BELUGA RIVER"/>
    <x v="15"/>
    <x v="1"/>
    <x v="136"/>
    <n v="11680.9326171875"/>
  </r>
  <r>
    <s v="FINAL0722_BANK_HE1"/>
    <s v="BELUGA RIVER"/>
    <x v="15"/>
    <x v="1"/>
    <x v="137"/>
    <n v="11500.9580078125"/>
  </r>
  <r>
    <s v="FINAL0722_BANK_HE1"/>
    <s v="BELUGA RIVER"/>
    <x v="15"/>
    <x v="1"/>
    <x v="138"/>
    <n v="11323.7568359375"/>
  </r>
  <r>
    <s v="FINAL0722_BANK_HE1"/>
    <s v="BELUGA RIVER"/>
    <x v="15"/>
    <x v="1"/>
    <x v="139"/>
    <n v="11149.2861328125"/>
  </r>
  <r>
    <s v="FINAL0722_BANK_HE1"/>
    <s v="BELUGA RIVER"/>
    <x v="15"/>
    <x v="1"/>
    <x v="140"/>
    <n v="10977.5029296875"/>
  </r>
  <r>
    <s v="FINAL0722_BANK_HE1"/>
    <s v="BELUGA RIVER"/>
    <x v="15"/>
    <x v="1"/>
    <x v="141"/>
    <n v="10808.3662109375"/>
  </r>
  <r>
    <s v="FINAL0722_BANK_HE1"/>
    <s v="BELUGA RIVER"/>
    <x v="15"/>
    <x v="1"/>
    <x v="142"/>
    <n v="10641.8359375"/>
  </r>
  <r>
    <s v="FINAL0722_BANK_HE1"/>
    <s v="BELUGA RIVER"/>
    <x v="15"/>
    <x v="1"/>
    <x v="143"/>
    <n v="10477.87109375"/>
  </r>
  <r>
    <s v="FINAL0722_BANK_HE1"/>
    <s v="BELUGA RIVER"/>
    <x v="15"/>
    <x v="1"/>
    <x v="144"/>
    <n v="10316.4326171875"/>
  </r>
  <r>
    <s v="FINAL0722_BANK_HE1"/>
    <s v="BELUGA RIVER"/>
    <x v="15"/>
    <x v="1"/>
    <x v="145"/>
    <n v="10157.4814453125"/>
  </r>
  <r>
    <s v="FINAL0722_BANK_HE1"/>
    <s v="BELUGA RIVER"/>
    <x v="15"/>
    <x v="1"/>
    <x v="146"/>
    <n v="10000.9794921875"/>
  </r>
  <r>
    <s v="FINAL0722_BANK_HE1"/>
    <s v="BELUGA RIVER"/>
    <x v="15"/>
    <x v="1"/>
    <x v="147"/>
    <n v="9846.888671875"/>
  </r>
  <r>
    <s v="FINAL0722_BANK_HE1"/>
    <s v="BELUGA RIVER"/>
    <x v="15"/>
    <x v="1"/>
    <x v="148"/>
    <n v="9695.1728515625"/>
  </r>
  <r>
    <s v="FINAL0722_BANK_HE1"/>
    <s v="BELUGA RIVER"/>
    <x v="15"/>
    <x v="1"/>
    <x v="149"/>
    <n v="9545.7939453125"/>
  </r>
  <r>
    <s v="FINAL0722_BANK_HE1"/>
    <s v="BELUGA RIVER"/>
    <x v="15"/>
    <x v="1"/>
    <x v="150"/>
    <n v="9398.716796875"/>
  </r>
  <r>
    <s v="FINAL0722_BANK_HE1"/>
    <s v="BELUGA RIVER"/>
    <x v="15"/>
    <x v="1"/>
    <x v="151"/>
    <n v="9253.9052734375"/>
  </r>
  <r>
    <s v="FINAL0722_BANK_HE1"/>
    <s v="BELUGA RIVER"/>
    <x v="15"/>
    <x v="1"/>
    <x v="152"/>
    <n v="9111.3251953125"/>
  </r>
  <r>
    <s v="FINAL0722_BANK_HE1"/>
    <s v="BELUGA RIVER"/>
    <x v="15"/>
    <x v="1"/>
    <x v="153"/>
    <n v="8970.9423828125"/>
  </r>
  <r>
    <s v="FINAL0722_BANK_HE1"/>
    <s v="BELUGA RIVER"/>
    <x v="15"/>
    <x v="1"/>
    <x v="154"/>
    <n v="8832.72265625"/>
  </r>
  <r>
    <s v="FINAL0722_BANK_HE1"/>
    <s v="BELUGA RIVER"/>
    <x v="15"/>
    <x v="1"/>
    <x v="155"/>
    <n v="8696.6318359375"/>
  </r>
  <r>
    <s v="FINAL0722_BANK_HE1"/>
    <s v="BELUGA RIVER"/>
    <x v="15"/>
    <x v="1"/>
    <x v="156"/>
    <n v="8562.6376953125"/>
  </r>
  <r>
    <s v="FINAL0722_BANK_HE1"/>
    <s v="BELUGA RIVER"/>
    <x v="15"/>
    <x v="1"/>
    <x v="157"/>
    <n v="8430.708984375"/>
  </r>
  <r>
    <s v="FINAL0722_BANK_HE1"/>
    <s v="BELUGA RIVER"/>
    <x v="15"/>
    <x v="1"/>
    <x v="158"/>
    <n v="8300.8125"/>
  </r>
  <r>
    <s v="FINAL0722_BANK_HE1"/>
    <s v="BELUGA RIVER"/>
    <x v="15"/>
    <x v="1"/>
    <x v="159"/>
    <n v="8172.91748046875"/>
  </r>
  <r>
    <s v="FINAL0722_BANK_HE1"/>
    <s v="BELUGA RIVER"/>
    <x v="15"/>
    <x v="1"/>
    <x v="160"/>
    <n v="8046.9931640625"/>
  </r>
  <r>
    <s v="FINAL0722_BANK_HE1"/>
    <s v="BELUGA RIVER"/>
    <x v="15"/>
    <x v="1"/>
    <x v="161"/>
    <n v="7923.0087890625"/>
  </r>
  <r>
    <s v="FINAL0722_BANK_HE1"/>
    <s v="BELUGA RIVER"/>
    <x v="16"/>
    <x v="1"/>
    <x v="0"/>
    <n v="0"/>
  </r>
  <r>
    <s v="FINAL0722_BANK_HE1"/>
    <s v="BELUGA RIVER"/>
    <x v="16"/>
    <x v="1"/>
    <x v="1"/>
    <n v="0"/>
  </r>
  <r>
    <s v="FINAL0722_BANK_HE1"/>
    <s v="BELUGA RIVER"/>
    <x v="16"/>
    <x v="1"/>
    <x v="2"/>
    <n v="0"/>
  </r>
  <r>
    <s v="FINAL0722_BANK_HE1"/>
    <s v="BELUGA RIVER"/>
    <x v="16"/>
    <x v="1"/>
    <x v="3"/>
    <n v="0"/>
  </r>
  <r>
    <s v="FINAL0722_BANK_HE1"/>
    <s v="BELUGA RIVER"/>
    <x v="16"/>
    <x v="1"/>
    <x v="4"/>
    <n v="0"/>
  </r>
  <r>
    <s v="FINAL0722_BANK_HE1"/>
    <s v="BELUGA RIVER"/>
    <x v="16"/>
    <x v="1"/>
    <x v="5"/>
    <n v="0"/>
  </r>
  <r>
    <s v="FINAL0722_BANK_HE1"/>
    <s v="BELUGA RIVER"/>
    <x v="16"/>
    <x v="1"/>
    <x v="6"/>
    <n v="0"/>
  </r>
  <r>
    <s v="FINAL0722_BANK_HE1"/>
    <s v="BELUGA RIVER"/>
    <x v="16"/>
    <x v="1"/>
    <x v="7"/>
    <n v="0"/>
  </r>
  <r>
    <s v="FINAL0722_BANK_HE1"/>
    <s v="BELUGA RIVER"/>
    <x v="16"/>
    <x v="1"/>
    <x v="8"/>
    <n v="0"/>
  </r>
  <r>
    <s v="FINAL0722_BANK_HE1"/>
    <s v="BELUGA RIVER"/>
    <x v="16"/>
    <x v="1"/>
    <x v="9"/>
    <n v="0"/>
  </r>
  <r>
    <s v="FINAL0722_BANK_HE1"/>
    <s v="BELUGA RIVER"/>
    <x v="16"/>
    <x v="1"/>
    <x v="10"/>
    <n v="49781.140625"/>
  </r>
  <r>
    <s v="FINAL0722_BANK_HE1"/>
    <s v="BELUGA RIVER"/>
    <x v="16"/>
    <x v="1"/>
    <x v="11"/>
    <n v="49345.97265625"/>
  </r>
  <r>
    <s v="FINAL0722_BANK_HE1"/>
    <s v="BELUGA RIVER"/>
    <x v="16"/>
    <x v="1"/>
    <x v="12"/>
    <n v="48914.609375"/>
  </r>
  <r>
    <s v="FINAL0722_BANK_HE1"/>
    <s v="BELUGA RIVER"/>
    <x v="16"/>
    <x v="1"/>
    <x v="13"/>
    <n v="48487.015625"/>
  </r>
  <r>
    <s v="FINAL0722_BANK_HE1"/>
    <s v="BELUGA RIVER"/>
    <x v="16"/>
    <x v="1"/>
    <x v="14"/>
    <n v="48063.16015625"/>
  </r>
  <r>
    <s v="FINAL0722_BANK_HE1"/>
    <s v="BELUGA RIVER"/>
    <x v="16"/>
    <x v="1"/>
    <x v="15"/>
    <n v="47643.01171875"/>
  </r>
  <r>
    <s v="FINAL0722_BANK_HE1"/>
    <s v="BELUGA RIVER"/>
    <x v="16"/>
    <x v="1"/>
    <x v="16"/>
    <n v="47226.53515625"/>
  </r>
  <r>
    <s v="FINAL0722_BANK_HE1"/>
    <s v="BELUGA RIVER"/>
    <x v="16"/>
    <x v="1"/>
    <x v="17"/>
    <n v="46813.69921875"/>
  </r>
  <r>
    <s v="FINAL0722_BANK_HE1"/>
    <s v="BELUGA RIVER"/>
    <x v="16"/>
    <x v="1"/>
    <x v="18"/>
    <n v="46404.47265625"/>
  </r>
  <r>
    <s v="FINAL0722_BANK_HE1"/>
    <s v="BELUGA RIVER"/>
    <x v="16"/>
    <x v="1"/>
    <x v="19"/>
    <n v="45998.82421875"/>
  </r>
  <r>
    <s v="FINAL0722_BANK_HE1"/>
    <s v="BELUGA RIVER"/>
    <x v="16"/>
    <x v="1"/>
    <x v="20"/>
    <n v="45596.71875"/>
  </r>
  <r>
    <s v="FINAL0722_BANK_HE1"/>
    <s v="BELUGA RIVER"/>
    <x v="16"/>
    <x v="1"/>
    <x v="21"/>
    <n v="45198.12890625"/>
  </r>
  <r>
    <s v="FINAL0722_BANK_HE1"/>
    <s v="BELUGA RIVER"/>
    <x v="16"/>
    <x v="1"/>
    <x v="22"/>
    <n v="44803.0234375"/>
  </r>
  <r>
    <s v="FINAL0722_BANK_HE1"/>
    <s v="BELUGA RIVER"/>
    <x v="16"/>
    <x v="1"/>
    <x v="23"/>
    <n v="44411.37109375"/>
  </r>
  <r>
    <s v="FINAL0722_BANK_HE1"/>
    <s v="BELUGA RIVER"/>
    <x v="16"/>
    <x v="1"/>
    <x v="24"/>
    <n v="44023.14453125"/>
  </r>
  <r>
    <s v="FINAL0722_BANK_HE1"/>
    <s v="BELUGA RIVER"/>
    <x v="16"/>
    <x v="1"/>
    <x v="25"/>
    <n v="43638.3125"/>
  </r>
  <r>
    <s v="FINAL0722_BANK_HE1"/>
    <s v="BELUGA RIVER"/>
    <x v="16"/>
    <x v="1"/>
    <x v="26"/>
    <n v="43256.84375"/>
  </r>
  <r>
    <s v="FINAL0722_BANK_HE1"/>
    <s v="BELUGA RIVER"/>
    <x v="16"/>
    <x v="1"/>
    <x v="27"/>
    <n v="42878.7109375"/>
  </r>
  <r>
    <s v="FINAL0722_BANK_HE1"/>
    <s v="BELUGA RIVER"/>
    <x v="16"/>
    <x v="1"/>
    <x v="28"/>
    <n v="42503.8828125"/>
  </r>
  <r>
    <s v="FINAL0722_BANK_HE1"/>
    <s v="BELUGA RIVER"/>
    <x v="16"/>
    <x v="1"/>
    <x v="29"/>
    <n v="42132.33203125"/>
  </r>
  <r>
    <s v="FINAL0722_BANK_HE1"/>
    <s v="BELUGA RIVER"/>
    <x v="16"/>
    <x v="1"/>
    <x v="30"/>
    <n v="41764.02734375"/>
  </r>
  <r>
    <s v="FINAL0722_BANK_HE1"/>
    <s v="BELUGA RIVER"/>
    <x v="16"/>
    <x v="1"/>
    <x v="31"/>
    <n v="41398.94140625"/>
  </r>
  <r>
    <s v="FINAL0722_BANK_HE1"/>
    <s v="BELUGA RIVER"/>
    <x v="16"/>
    <x v="1"/>
    <x v="32"/>
    <n v="41037.046875"/>
  </r>
  <r>
    <s v="FINAL0722_BANK_HE1"/>
    <s v="BELUGA RIVER"/>
    <x v="16"/>
    <x v="1"/>
    <x v="33"/>
    <n v="40678.31640625"/>
  </r>
  <r>
    <s v="FINAL0722_BANK_HE1"/>
    <s v="BELUGA RIVER"/>
    <x v="16"/>
    <x v="1"/>
    <x v="34"/>
    <n v="40322.72265625"/>
  </r>
  <r>
    <s v="FINAL0722_BANK_HE1"/>
    <s v="BELUGA RIVER"/>
    <x v="16"/>
    <x v="1"/>
    <x v="35"/>
    <n v="39970.23828125"/>
  </r>
  <r>
    <s v="FINAL0722_BANK_HE1"/>
    <s v="BELUGA RIVER"/>
    <x v="16"/>
    <x v="1"/>
    <x v="36"/>
    <n v="39620.8359375"/>
  </r>
  <r>
    <s v="FINAL0722_BANK_HE1"/>
    <s v="BELUGA RIVER"/>
    <x v="16"/>
    <x v="1"/>
    <x v="37"/>
    <n v="39274.484375"/>
  </r>
  <r>
    <s v="FINAL0722_BANK_HE1"/>
    <s v="BELUGA RIVER"/>
    <x v="16"/>
    <x v="1"/>
    <x v="38"/>
    <n v="38931.1640625"/>
  </r>
  <r>
    <s v="FINAL0722_BANK_HE1"/>
    <s v="BELUGA RIVER"/>
    <x v="16"/>
    <x v="1"/>
    <x v="39"/>
    <n v="38590.84375"/>
  </r>
  <r>
    <s v="FINAL0722_BANK_HE1"/>
    <s v="BELUGA RIVER"/>
    <x v="16"/>
    <x v="1"/>
    <x v="40"/>
    <n v="38253.49609375"/>
  </r>
  <r>
    <s v="FINAL0722_BANK_HE1"/>
    <s v="BELUGA RIVER"/>
    <x v="16"/>
    <x v="1"/>
    <x v="41"/>
    <n v="37919.09765625"/>
  </r>
  <r>
    <s v="FINAL0722_BANK_HE1"/>
    <s v="BELUGA RIVER"/>
    <x v="16"/>
    <x v="1"/>
    <x v="42"/>
    <n v="37587.625"/>
  </r>
  <r>
    <s v="FINAL0722_BANK_HE1"/>
    <s v="BELUGA RIVER"/>
    <x v="16"/>
    <x v="1"/>
    <x v="43"/>
    <n v="37259.046875"/>
  </r>
  <r>
    <s v="FINAL0722_BANK_HE1"/>
    <s v="BELUGA RIVER"/>
    <x v="16"/>
    <x v="1"/>
    <x v="44"/>
    <n v="36933.34375"/>
  </r>
  <r>
    <s v="FINAL0722_BANK_HE1"/>
    <s v="BELUGA RIVER"/>
    <x v="16"/>
    <x v="1"/>
    <x v="45"/>
    <n v="36610.48828125"/>
  </r>
  <r>
    <s v="FINAL0722_BANK_HE1"/>
    <s v="BELUGA RIVER"/>
    <x v="16"/>
    <x v="1"/>
    <x v="46"/>
    <n v="36290.453125"/>
  </r>
  <r>
    <s v="FINAL0722_BANK_HE1"/>
    <s v="BELUGA RIVER"/>
    <x v="16"/>
    <x v="1"/>
    <x v="47"/>
    <n v="35973.21484375"/>
  </r>
  <r>
    <s v="FINAL0722_BANK_HE1"/>
    <s v="BELUGA RIVER"/>
    <x v="16"/>
    <x v="1"/>
    <x v="48"/>
    <n v="35658.75"/>
  </r>
  <r>
    <s v="FINAL0722_BANK_HE1"/>
    <s v="BELUGA RIVER"/>
    <x v="16"/>
    <x v="1"/>
    <x v="49"/>
    <n v="35347.03515625"/>
  </r>
  <r>
    <s v="FINAL0722_BANK_HE1"/>
    <s v="BELUGA RIVER"/>
    <x v="16"/>
    <x v="1"/>
    <x v="50"/>
    <n v="35038.046875"/>
  </r>
  <r>
    <s v="FINAL0722_BANK_HE1"/>
    <s v="BELUGA RIVER"/>
    <x v="16"/>
    <x v="1"/>
    <x v="51"/>
    <n v="34731.7578125"/>
  </r>
  <r>
    <s v="FINAL0722_BANK_HE1"/>
    <s v="BELUGA RIVER"/>
    <x v="16"/>
    <x v="1"/>
    <x v="52"/>
    <n v="34428.14453125"/>
  </r>
  <r>
    <s v="FINAL0722_BANK_HE1"/>
    <s v="BELUGA RIVER"/>
    <x v="16"/>
    <x v="1"/>
    <x v="53"/>
    <n v="34127.1875"/>
  </r>
  <r>
    <s v="FINAL0722_BANK_HE1"/>
    <s v="BELUGA RIVER"/>
    <x v="16"/>
    <x v="1"/>
    <x v="54"/>
    <n v="33828.859375"/>
  </r>
  <r>
    <s v="FINAL0722_BANK_HE1"/>
    <s v="BELUGA RIVER"/>
    <x v="16"/>
    <x v="1"/>
    <x v="55"/>
    <n v="33533.140625"/>
  </r>
  <r>
    <s v="FINAL0722_BANK_HE1"/>
    <s v="BELUGA RIVER"/>
    <x v="16"/>
    <x v="1"/>
    <x v="56"/>
    <n v="33240.0078125"/>
  </r>
  <r>
    <s v="FINAL0722_BANK_HE1"/>
    <s v="BELUGA RIVER"/>
    <x v="16"/>
    <x v="1"/>
    <x v="57"/>
    <n v="32949.4375"/>
  </r>
  <r>
    <s v="FINAL0722_BANK_HE1"/>
    <s v="BELUGA RIVER"/>
    <x v="16"/>
    <x v="1"/>
    <x v="58"/>
    <n v="32661.40625"/>
  </r>
  <r>
    <s v="FINAL0722_BANK_HE1"/>
    <s v="BELUGA RIVER"/>
    <x v="16"/>
    <x v="1"/>
    <x v="59"/>
    <n v="32375.892578125"/>
  </r>
  <r>
    <s v="FINAL0722_BANK_HE1"/>
    <s v="BELUGA RIVER"/>
    <x v="16"/>
    <x v="1"/>
    <x v="60"/>
    <n v="32092.875"/>
  </r>
  <r>
    <s v="FINAL0722_BANK_HE1"/>
    <s v="BELUGA RIVER"/>
    <x v="16"/>
    <x v="1"/>
    <x v="61"/>
    <n v="31812.33203125"/>
  </r>
  <r>
    <s v="FINAL0722_BANK_HE1"/>
    <s v="BELUGA RIVER"/>
    <x v="16"/>
    <x v="1"/>
    <x v="62"/>
    <n v="31534.240234375"/>
  </r>
  <r>
    <s v="FINAL0722_BANK_HE1"/>
    <s v="BELUGA RIVER"/>
    <x v="16"/>
    <x v="1"/>
    <x v="63"/>
    <n v="31258.580078125"/>
  </r>
  <r>
    <s v="FINAL0722_BANK_HE1"/>
    <s v="BELUGA RIVER"/>
    <x v="16"/>
    <x v="1"/>
    <x v="64"/>
    <n v="30985.330078125"/>
  </r>
  <r>
    <s v="FINAL0722_BANK_HE1"/>
    <s v="BELUGA RIVER"/>
    <x v="16"/>
    <x v="1"/>
    <x v="65"/>
    <n v="30714.46875"/>
  </r>
  <r>
    <s v="FINAL0722_BANK_HE1"/>
    <s v="BELUGA RIVER"/>
    <x v="16"/>
    <x v="1"/>
    <x v="66"/>
    <n v="30445.974609375"/>
  </r>
  <r>
    <s v="FINAL0722_BANK_HE1"/>
    <s v="BELUGA RIVER"/>
    <x v="16"/>
    <x v="1"/>
    <x v="67"/>
    <n v="30179.828125"/>
  </r>
  <r>
    <s v="FINAL0722_BANK_HE1"/>
    <s v="BELUGA RIVER"/>
    <x v="16"/>
    <x v="1"/>
    <x v="68"/>
    <n v="29916.0078125"/>
  </r>
  <r>
    <s v="FINAL0722_BANK_HE1"/>
    <s v="BELUGA RIVER"/>
    <x v="16"/>
    <x v="1"/>
    <x v="69"/>
    <n v="29654.494140625"/>
  </r>
  <r>
    <s v="FINAL0722_BANK_HE1"/>
    <s v="BELUGA RIVER"/>
    <x v="16"/>
    <x v="1"/>
    <x v="70"/>
    <n v="29395.265625"/>
  </r>
  <r>
    <s v="FINAL0722_BANK_HE1"/>
    <s v="BELUGA RIVER"/>
    <x v="16"/>
    <x v="1"/>
    <x v="71"/>
    <n v="29138.302734375"/>
  </r>
  <r>
    <s v="FINAL0722_BANK_HE1"/>
    <s v="BELUGA RIVER"/>
    <x v="16"/>
    <x v="1"/>
    <x v="72"/>
    <n v="28883.587890625"/>
  </r>
  <r>
    <s v="FINAL0722_BANK_HE1"/>
    <s v="BELUGA RIVER"/>
    <x v="16"/>
    <x v="1"/>
    <x v="73"/>
    <n v="28631.099609375"/>
  </r>
  <r>
    <s v="FINAL0722_BANK_HE1"/>
    <s v="BELUGA RIVER"/>
    <x v="16"/>
    <x v="1"/>
    <x v="74"/>
    <n v="28380.818359375"/>
  </r>
  <r>
    <s v="FINAL0722_BANK_HE1"/>
    <s v="BELUGA RIVER"/>
    <x v="16"/>
    <x v="1"/>
    <x v="75"/>
    <n v="28132.724609375"/>
  </r>
  <r>
    <s v="FINAL0722_BANK_HE1"/>
    <s v="BELUGA RIVER"/>
    <x v="16"/>
    <x v="1"/>
    <x v="76"/>
    <n v="27886.798828125"/>
  </r>
  <r>
    <s v="FINAL0722_BANK_HE1"/>
    <s v="BELUGA RIVER"/>
    <x v="16"/>
    <x v="1"/>
    <x v="77"/>
    <n v="27643.0234375"/>
  </r>
  <r>
    <s v="FINAL0722_BANK_HE1"/>
    <s v="BELUGA RIVER"/>
    <x v="16"/>
    <x v="1"/>
    <x v="78"/>
    <n v="27401.37890625"/>
  </r>
  <r>
    <s v="FINAL0722_BANK_HE1"/>
    <s v="BELUGA RIVER"/>
    <x v="16"/>
    <x v="1"/>
    <x v="79"/>
    <n v="27161.84765625"/>
  </r>
  <r>
    <s v="FINAL0722_BANK_HE1"/>
    <s v="BELUGA RIVER"/>
    <x v="16"/>
    <x v="1"/>
    <x v="80"/>
    <n v="26924.41015625"/>
  </r>
  <r>
    <s v="FINAL0722_BANK_HE1"/>
    <s v="BELUGA RIVER"/>
    <x v="16"/>
    <x v="1"/>
    <x v="81"/>
    <n v="26689.046875"/>
  </r>
  <r>
    <s v="FINAL0722_BANK_HE1"/>
    <s v="BELUGA RIVER"/>
    <x v="16"/>
    <x v="1"/>
    <x v="82"/>
    <n v="26455.7421875"/>
  </r>
  <r>
    <s v="FINAL0722_BANK_HE1"/>
    <s v="BELUGA RIVER"/>
    <x v="16"/>
    <x v="1"/>
    <x v="83"/>
    <n v="26224.4765625"/>
  </r>
  <r>
    <s v="FINAL0722_BANK_HE1"/>
    <s v="BELUGA RIVER"/>
    <x v="16"/>
    <x v="1"/>
    <x v="84"/>
    <n v="25995.232421875"/>
  </r>
  <r>
    <s v="FINAL0722_BANK_HE1"/>
    <s v="BELUGA RIVER"/>
    <x v="16"/>
    <x v="1"/>
    <x v="85"/>
    <n v="25767.9921875"/>
  </r>
  <r>
    <s v="FINAL0722_BANK_HE1"/>
    <s v="BELUGA RIVER"/>
    <x v="16"/>
    <x v="1"/>
    <x v="86"/>
    <n v="25542.73828125"/>
  </r>
  <r>
    <s v="FINAL0722_BANK_HE1"/>
    <s v="BELUGA RIVER"/>
    <x v="16"/>
    <x v="1"/>
    <x v="87"/>
    <n v="25319.453125"/>
  </r>
  <r>
    <s v="FINAL0722_BANK_HE1"/>
    <s v="BELUGA RIVER"/>
    <x v="16"/>
    <x v="1"/>
    <x v="88"/>
    <n v="25098.12109375"/>
  </r>
  <r>
    <s v="FINAL0722_BANK_HE1"/>
    <s v="BELUGA RIVER"/>
    <x v="16"/>
    <x v="1"/>
    <x v="89"/>
    <n v="24878.72265625"/>
  </r>
  <r>
    <s v="FINAL0722_BANK_HE1"/>
    <s v="BELUGA RIVER"/>
    <x v="16"/>
    <x v="1"/>
    <x v="90"/>
    <n v="24661.2421875"/>
  </r>
  <r>
    <s v="FINAL0722_BANK_HE1"/>
    <s v="BELUGA RIVER"/>
    <x v="16"/>
    <x v="1"/>
    <x v="91"/>
    <n v="24445.6640625"/>
  </r>
  <r>
    <s v="FINAL0722_BANK_HE1"/>
    <s v="BELUGA RIVER"/>
    <x v="16"/>
    <x v="1"/>
    <x v="92"/>
    <n v="24231.96875"/>
  </r>
  <r>
    <s v="FINAL0722_BANK_HE1"/>
    <s v="BELUGA RIVER"/>
    <x v="16"/>
    <x v="1"/>
    <x v="93"/>
    <n v="24020.142578125"/>
  </r>
  <r>
    <s v="FINAL0722_BANK_HE1"/>
    <s v="BELUGA RIVER"/>
    <x v="16"/>
    <x v="1"/>
    <x v="94"/>
    <n v="23810.16796875"/>
  </r>
  <r>
    <s v="FINAL0722_BANK_HE1"/>
    <s v="BELUGA RIVER"/>
    <x v="16"/>
    <x v="1"/>
    <x v="95"/>
    <n v="23602.029296875"/>
  </r>
  <r>
    <s v="FINAL0722_BANK_HE1"/>
    <s v="BELUGA RIVER"/>
    <x v="16"/>
    <x v="1"/>
    <x v="96"/>
    <n v="23395.708984375"/>
  </r>
  <r>
    <s v="FINAL0722_BANK_HE1"/>
    <s v="BELUGA RIVER"/>
    <x v="16"/>
    <x v="1"/>
    <x v="97"/>
    <n v="23191.193359375"/>
  </r>
  <r>
    <s v="FINAL0722_BANK_HE1"/>
    <s v="BELUGA RIVER"/>
    <x v="16"/>
    <x v="1"/>
    <x v="98"/>
    <n v="22988.46484375"/>
  </r>
  <r>
    <s v="FINAL0722_BANK_HE1"/>
    <s v="BELUGA RIVER"/>
    <x v="16"/>
    <x v="1"/>
    <x v="99"/>
    <n v="22787.5078125"/>
  </r>
  <r>
    <s v="FINAL0722_BANK_HE1"/>
    <s v="BELUGA RIVER"/>
    <x v="16"/>
    <x v="1"/>
    <x v="100"/>
    <n v="22588.30859375"/>
  </r>
  <r>
    <s v="FINAL0722_BANK_HE1"/>
    <s v="BELUGA RIVER"/>
    <x v="16"/>
    <x v="1"/>
    <x v="101"/>
    <n v="22390.849609375"/>
  </r>
  <r>
    <s v="FINAL0722_BANK_HE1"/>
    <s v="BELUGA RIVER"/>
    <x v="16"/>
    <x v="1"/>
    <x v="102"/>
    <n v="22195.1171875"/>
  </r>
  <r>
    <s v="FINAL0722_BANK_HE1"/>
    <s v="BELUGA RIVER"/>
    <x v="16"/>
    <x v="1"/>
    <x v="103"/>
    <n v="22001.095703125"/>
  </r>
  <r>
    <s v="FINAL0722_BANK_HE1"/>
    <s v="BELUGA RIVER"/>
    <x v="16"/>
    <x v="1"/>
    <x v="104"/>
    <n v="21808.771484375"/>
  </r>
  <r>
    <s v="FINAL0722_BANK_HE1"/>
    <s v="BELUGA RIVER"/>
    <x v="16"/>
    <x v="1"/>
    <x v="105"/>
    <n v="21618.126953125"/>
  </r>
  <r>
    <s v="FINAL0722_BANK_HE1"/>
    <s v="BELUGA RIVER"/>
    <x v="16"/>
    <x v="1"/>
    <x v="106"/>
    <n v="21429.150390625"/>
  </r>
  <r>
    <s v="FINAL0722_BANK_HE1"/>
    <s v="BELUGA RIVER"/>
    <x v="16"/>
    <x v="1"/>
    <x v="107"/>
    <n v="21241.82421875"/>
  </r>
  <r>
    <s v="FINAL0722_BANK_HE1"/>
    <s v="BELUGA RIVER"/>
    <x v="16"/>
    <x v="1"/>
    <x v="108"/>
    <n v="21056.13671875"/>
  </r>
  <r>
    <s v="FINAL0722_BANK_HE1"/>
    <s v="BELUGA RIVER"/>
    <x v="16"/>
    <x v="1"/>
    <x v="109"/>
    <n v="20872.072265625"/>
  </r>
  <r>
    <s v="FINAL0722_BANK_HE1"/>
    <s v="BELUGA RIVER"/>
    <x v="16"/>
    <x v="1"/>
    <x v="110"/>
    <n v="20689.6171875"/>
  </r>
  <r>
    <s v="FINAL0722_BANK_HE1"/>
    <s v="BELUGA RIVER"/>
    <x v="16"/>
    <x v="1"/>
    <x v="111"/>
    <n v="20508.755859375"/>
  </r>
  <r>
    <s v="FINAL0722_BANK_HE1"/>
    <s v="BELUGA RIVER"/>
    <x v="16"/>
    <x v="1"/>
    <x v="112"/>
    <n v="20329.4765625"/>
  </r>
  <r>
    <s v="FINAL0722_BANK_HE1"/>
    <s v="BELUGA RIVER"/>
    <x v="16"/>
    <x v="1"/>
    <x v="113"/>
    <n v="20151.763671875"/>
  </r>
  <r>
    <s v="FINAL0722_BANK_HE1"/>
    <s v="BELUGA RIVER"/>
    <x v="16"/>
    <x v="1"/>
    <x v="114"/>
    <n v="19975.60546875"/>
  </r>
  <r>
    <s v="FINAL0722_BANK_HE1"/>
    <s v="BELUGA RIVER"/>
    <x v="16"/>
    <x v="1"/>
    <x v="115"/>
    <n v="19800.986328125"/>
  </r>
  <r>
    <s v="FINAL0722_BANK_HE1"/>
    <s v="BELUGA RIVER"/>
    <x v="16"/>
    <x v="1"/>
    <x v="116"/>
    <n v="19627.89453125"/>
  </r>
  <r>
    <s v="FINAL0722_BANK_HE1"/>
    <s v="BELUGA RIVER"/>
    <x v="16"/>
    <x v="1"/>
    <x v="117"/>
    <n v="19456.314453125"/>
  </r>
  <r>
    <s v="FINAL0722_BANK_HE1"/>
    <s v="BELUGA RIVER"/>
    <x v="16"/>
    <x v="1"/>
    <x v="118"/>
    <n v="19286.234375"/>
  </r>
  <r>
    <s v="FINAL0722_BANK_HE1"/>
    <s v="BELUGA RIVER"/>
    <x v="16"/>
    <x v="1"/>
    <x v="119"/>
    <n v="19117.642578125"/>
  </r>
  <r>
    <s v="FINAL0722_BANK_HE1"/>
    <s v="BELUGA RIVER"/>
    <x v="16"/>
    <x v="1"/>
    <x v="120"/>
    <n v="18950.5234375"/>
  </r>
  <r>
    <s v="FINAL0722_BANK_HE1"/>
    <s v="BELUGA RIVER"/>
    <x v="16"/>
    <x v="1"/>
    <x v="121"/>
    <n v="18784.865234375"/>
  </r>
  <r>
    <s v="FINAL0722_BANK_HE1"/>
    <s v="BELUGA RIVER"/>
    <x v="16"/>
    <x v="1"/>
    <x v="122"/>
    <n v="18620.654296875"/>
  </r>
  <r>
    <s v="FINAL0722_BANK_HE1"/>
    <s v="BELUGA RIVER"/>
    <x v="16"/>
    <x v="1"/>
    <x v="123"/>
    <n v="18457.87890625"/>
  </r>
  <r>
    <s v="FINAL0722_BANK_HE1"/>
    <s v="BELUGA RIVER"/>
    <x v="16"/>
    <x v="1"/>
    <x v="124"/>
    <n v="18296.52734375"/>
  </r>
  <r>
    <s v="FINAL0722_BANK_HE1"/>
    <s v="BELUGA RIVER"/>
    <x v="16"/>
    <x v="1"/>
    <x v="125"/>
    <n v="18136.5859375"/>
  </r>
  <r>
    <s v="FINAL0722_BANK_HE1"/>
    <s v="BELUGA RIVER"/>
    <x v="16"/>
    <x v="1"/>
    <x v="126"/>
    <n v="17978.04296875"/>
  </r>
  <r>
    <s v="FINAL0722_BANK_HE1"/>
    <s v="BELUGA RIVER"/>
    <x v="16"/>
    <x v="1"/>
    <x v="127"/>
    <n v="17820.88671875"/>
  </r>
  <r>
    <s v="FINAL0722_BANK_HE1"/>
    <s v="BELUGA RIVER"/>
    <x v="16"/>
    <x v="1"/>
    <x v="128"/>
    <n v="17665.103515625"/>
  </r>
  <r>
    <s v="FINAL0722_BANK_HE1"/>
    <s v="BELUGA RIVER"/>
    <x v="16"/>
    <x v="1"/>
    <x v="129"/>
    <n v="17510.681640625"/>
  </r>
  <r>
    <s v="FINAL0722_BANK_HE1"/>
    <s v="BELUGA RIVER"/>
    <x v="16"/>
    <x v="1"/>
    <x v="130"/>
    <n v="17357.609375"/>
  </r>
  <r>
    <s v="FINAL0722_BANK_HE1"/>
    <s v="BELUGA RIVER"/>
    <x v="16"/>
    <x v="1"/>
    <x v="131"/>
    <n v="17205.875"/>
  </r>
  <r>
    <s v="FINAL0722_BANK_HE1"/>
    <s v="BELUGA RIVER"/>
    <x v="16"/>
    <x v="1"/>
    <x v="132"/>
    <n v="17055.46875"/>
  </r>
  <r>
    <s v="FINAL0722_BANK_HE1"/>
    <s v="BELUGA RIVER"/>
    <x v="16"/>
    <x v="1"/>
    <x v="133"/>
    <n v="16906.376953125"/>
  </r>
  <r>
    <s v="FINAL0722_BANK_HE1"/>
    <s v="BELUGA RIVER"/>
    <x v="16"/>
    <x v="1"/>
    <x v="134"/>
    <n v="16758.587890625"/>
  </r>
  <r>
    <s v="FINAL0722_BANK_HE1"/>
    <s v="BELUGA RIVER"/>
    <x v="16"/>
    <x v="1"/>
    <x v="135"/>
    <n v="16612.091796875"/>
  </r>
  <r>
    <s v="FINAL0722_BANK_HE1"/>
    <s v="BELUGA RIVER"/>
    <x v="16"/>
    <x v="1"/>
    <x v="136"/>
    <n v="16466.875"/>
  </r>
  <r>
    <s v="FINAL0722_BANK_HE1"/>
    <s v="BELUGA RIVER"/>
    <x v="16"/>
    <x v="1"/>
    <x v="137"/>
    <n v="16322.927734375"/>
  </r>
  <r>
    <s v="FINAL0722_BANK_HE1"/>
    <s v="BELUGA RIVER"/>
    <x v="16"/>
    <x v="1"/>
    <x v="138"/>
    <n v="16180.2392578125"/>
  </r>
  <r>
    <s v="FINAL0722_BANK_HE1"/>
    <s v="BELUGA RIVER"/>
    <x v="16"/>
    <x v="1"/>
    <x v="139"/>
    <n v="16038.7978515625"/>
  </r>
  <r>
    <s v="FINAL0722_BANK_HE1"/>
    <s v="BELUGA RIVER"/>
    <x v="16"/>
    <x v="1"/>
    <x v="140"/>
    <n v="15898.5927734375"/>
  </r>
  <r>
    <s v="FINAL0722_BANK_HE1"/>
    <s v="BELUGA RIVER"/>
    <x v="16"/>
    <x v="1"/>
    <x v="141"/>
    <n v="15759.61328125"/>
  </r>
  <r>
    <s v="FINAL0722_BANK_HE1"/>
    <s v="BELUGA RIVER"/>
    <x v="16"/>
    <x v="1"/>
    <x v="142"/>
    <n v="15621.8486328125"/>
  </r>
  <r>
    <s v="FINAL0722_BANK_HE1"/>
    <s v="BELUGA RIVER"/>
    <x v="16"/>
    <x v="1"/>
    <x v="143"/>
    <n v="15485.2880859375"/>
  </r>
  <r>
    <s v="FINAL0722_BANK_HE1"/>
    <s v="BELUGA RIVER"/>
    <x v="16"/>
    <x v="1"/>
    <x v="144"/>
    <n v="15349.921875"/>
  </r>
  <r>
    <s v="FINAL0722_BANK_HE1"/>
    <s v="BELUGA RIVER"/>
    <x v="16"/>
    <x v="1"/>
    <x v="145"/>
    <n v="15215.7392578125"/>
  </r>
  <r>
    <s v="FINAL0722_BANK_HE1"/>
    <s v="BELUGA RIVER"/>
    <x v="16"/>
    <x v="1"/>
    <x v="146"/>
    <n v="15082.7294921875"/>
  </r>
  <r>
    <s v="FINAL0722_BANK_HE1"/>
    <s v="BELUGA RIVER"/>
    <x v="16"/>
    <x v="1"/>
    <x v="147"/>
    <n v="14950.8818359375"/>
  </r>
  <r>
    <s v="FINAL0722_BANK_HE1"/>
    <s v="BELUGA RIVER"/>
    <x v="16"/>
    <x v="1"/>
    <x v="148"/>
    <n v="14820.1875"/>
  </r>
  <r>
    <s v="FINAL0722_BANK_HE1"/>
    <s v="BELUGA RIVER"/>
    <x v="16"/>
    <x v="1"/>
    <x v="149"/>
    <n v="14690.634765625"/>
  </r>
  <r>
    <s v="FINAL0722_BANK_HE1"/>
    <s v="BELUGA RIVER"/>
    <x v="16"/>
    <x v="1"/>
    <x v="150"/>
    <n v="14562.21484375"/>
  </r>
  <r>
    <s v="FINAL0722_BANK_HE1"/>
    <s v="BELUGA RIVER"/>
    <x v="16"/>
    <x v="1"/>
    <x v="151"/>
    <n v="14434.91796875"/>
  </r>
  <r>
    <s v="FINAL0722_BANK_HE1"/>
    <s v="BELUGA RIVER"/>
    <x v="16"/>
    <x v="1"/>
    <x v="152"/>
    <n v="14308.7333984375"/>
  </r>
  <r>
    <s v="FINAL0722_BANK_HE1"/>
    <s v="BELUGA RIVER"/>
    <x v="16"/>
    <x v="1"/>
    <x v="153"/>
    <n v="14183.65234375"/>
  </r>
  <r>
    <s v="FINAL0722_BANK_HE1"/>
    <s v="BELUGA RIVER"/>
    <x v="16"/>
    <x v="1"/>
    <x v="154"/>
    <n v="14059.6640625"/>
  </r>
  <r>
    <s v="FINAL0722_BANK_HE1"/>
    <s v="BELUGA RIVER"/>
    <x v="16"/>
    <x v="1"/>
    <x v="155"/>
    <n v="13936.759765625"/>
  </r>
  <r>
    <s v="FINAL0722_BANK_HE1"/>
    <s v="BELUGA RIVER"/>
    <x v="16"/>
    <x v="1"/>
    <x v="156"/>
    <n v="13814.9296875"/>
  </r>
  <r>
    <s v="FINAL0722_BANK_HE1"/>
    <s v="BELUGA RIVER"/>
    <x v="16"/>
    <x v="1"/>
    <x v="157"/>
    <n v="13694.1650390625"/>
  </r>
  <r>
    <s v="FINAL0722_BANK_HE1"/>
    <s v="BELUGA RIVER"/>
    <x v="16"/>
    <x v="1"/>
    <x v="158"/>
    <n v="13574.4560546875"/>
  </r>
  <r>
    <s v="FINAL0722_BANK_HE1"/>
    <s v="BELUGA RIVER"/>
    <x v="16"/>
    <x v="1"/>
    <x v="159"/>
    <n v="13455.79296875"/>
  </r>
  <r>
    <s v="FINAL0722_BANK_HE1"/>
    <s v="BELUGA RIVER"/>
    <x v="16"/>
    <x v="1"/>
    <x v="160"/>
    <n v="13338.16796875"/>
  </r>
  <r>
    <s v="FINAL0722_BANK_HE1"/>
    <s v="BELUGA RIVER"/>
    <x v="16"/>
    <x v="1"/>
    <x v="161"/>
    <n v="13221.5712890625"/>
  </r>
  <r>
    <s v="FINAL0722_BANK_HE1"/>
    <s v="BELUGA RIVER"/>
    <x v="17"/>
    <x v="0"/>
    <x v="0"/>
    <n v="64417.2109375"/>
  </r>
  <r>
    <s v="FINAL0722_BANK_HE1"/>
    <s v="BELUGA RIVER"/>
    <x v="17"/>
    <x v="0"/>
    <x v="1"/>
    <n v="63794.671875"/>
  </r>
  <r>
    <s v="FINAL0722_BANK_HE1"/>
    <s v="BELUGA RIVER"/>
    <x v="17"/>
    <x v="0"/>
    <x v="2"/>
    <n v="63178.15234375"/>
  </r>
  <r>
    <s v="FINAL0722_BANK_HE1"/>
    <s v="BELUGA RIVER"/>
    <x v="17"/>
    <x v="0"/>
    <x v="3"/>
    <n v="62567.58984375"/>
  </r>
  <r>
    <s v="FINAL0722_BANK_HE1"/>
    <s v="BELUGA RIVER"/>
    <x v="17"/>
    <x v="0"/>
    <x v="4"/>
    <n v="61962.92578125"/>
  </r>
  <r>
    <s v="FINAL0722_BANK_HE1"/>
    <s v="BELUGA RIVER"/>
    <x v="17"/>
    <x v="0"/>
    <x v="5"/>
    <n v="61364.10546875"/>
  </r>
  <r>
    <s v="FINAL0722_BANK_HE1"/>
    <s v="BELUGA RIVER"/>
    <x v="17"/>
    <x v="0"/>
    <x v="6"/>
    <n v="60771.07421875"/>
  </r>
  <r>
    <s v="FINAL0722_BANK_HE1"/>
    <s v="BELUGA RIVER"/>
    <x v="17"/>
    <x v="0"/>
    <x v="7"/>
    <n v="60183.7734375"/>
  </r>
  <r>
    <s v="FINAL0722_BANK_HE1"/>
    <s v="BELUGA RIVER"/>
    <x v="17"/>
    <x v="0"/>
    <x v="8"/>
    <n v="59602.1484375"/>
  </r>
  <r>
    <s v="FINAL0722_BANK_HE1"/>
    <s v="BELUGA RIVER"/>
    <x v="17"/>
    <x v="0"/>
    <x v="9"/>
    <n v="59026.14453125"/>
  </r>
  <r>
    <s v="FINAL0722_BANK_HE1"/>
    <s v="BELUGA RIVER"/>
    <x v="17"/>
    <x v="0"/>
    <x v="10"/>
    <n v="58455.70703125"/>
  </r>
  <r>
    <s v="FINAL0722_BANK_HE1"/>
    <s v="BELUGA RIVER"/>
    <x v="17"/>
    <x v="0"/>
    <x v="11"/>
    <n v="57890.78125"/>
  </r>
  <r>
    <s v="FINAL0722_BANK_HE1"/>
    <s v="BELUGA RIVER"/>
    <x v="17"/>
    <x v="0"/>
    <x v="12"/>
    <n v="57331.31640625"/>
  </r>
  <r>
    <s v="FINAL0722_BANK_HE1"/>
    <s v="BELUGA RIVER"/>
    <x v="17"/>
    <x v="0"/>
    <x v="13"/>
    <n v="56777.2578125"/>
  </r>
  <r>
    <s v="FINAL0722_BANK_HE1"/>
    <s v="BELUGA RIVER"/>
    <x v="17"/>
    <x v="0"/>
    <x v="14"/>
    <n v="56228.5546875"/>
  </r>
  <r>
    <s v="FINAL0722_BANK_HE1"/>
    <s v="BELUGA RIVER"/>
    <x v="17"/>
    <x v="0"/>
    <x v="15"/>
    <n v="55685.15234375"/>
  </r>
  <r>
    <s v="FINAL0722_BANK_HE1"/>
    <s v="BELUGA RIVER"/>
    <x v="17"/>
    <x v="0"/>
    <x v="16"/>
    <n v="55147.00390625"/>
  </r>
  <r>
    <s v="FINAL0722_BANK_HE1"/>
    <s v="BELUGA RIVER"/>
    <x v="17"/>
    <x v="0"/>
    <x v="17"/>
    <n v="54614.0546875"/>
  </r>
  <r>
    <s v="FINAL0722_BANK_HE1"/>
    <s v="BELUGA RIVER"/>
    <x v="17"/>
    <x v="0"/>
    <x v="18"/>
    <n v="54086.2578125"/>
  </r>
  <r>
    <s v="FINAL0722_BANK_HE1"/>
    <s v="BELUGA RIVER"/>
    <x v="17"/>
    <x v="0"/>
    <x v="19"/>
    <n v="53563.55859375"/>
  </r>
  <r>
    <s v="FINAL0722_BANK_HE1"/>
    <s v="BELUGA RIVER"/>
    <x v="17"/>
    <x v="0"/>
    <x v="20"/>
    <n v="53045.9140625"/>
  </r>
  <r>
    <s v="FINAL0722_BANK_HE1"/>
    <s v="BELUGA RIVER"/>
    <x v="17"/>
    <x v="0"/>
    <x v="21"/>
    <n v="52533.26953125"/>
  </r>
  <r>
    <s v="FINAL0722_BANK_HE1"/>
    <s v="BELUGA RIVER"/>
    <x v="17"/>
    <x v="0"/>
    <x v="22"/>
    <n v="52025.58203125"/>
  </r>
  <r>
    <s v="FINAL0722_BANK_HE1"/>
    <s v="BELUGA RIVER"/>
    <x v="17"/>
    <x v="0"/>
    <x v="23"/>
    <n v="51522.80078125"/>
  </r>
  <r>
    <s v="FINAL0722_BANK_HE1"/>
    <s v="BELUGA RIVER"/>
    <x v="17"/>
    <x v="0"/>
    <x v="24"/>
    <n v="51024.875"/>
  </r>
  <r>
    <s v="FINAL0722_BANK_HE1"/>
    <s v="BELUGA RIVER"/>
    <x v="17"/>
    <x v="0"/>
    <x v="25"/>
    <n v="50531.76171875"/>
  </r>
  <r>
    <s v="FINAL0722_BANK_HE1"/>
    <s v="BELUGA RIVER"/>
    <x v="17"/>
    <x v="0"/>
    <x v="26"/>
    <n v="50043.4140625"/>
  </r>
  <r>
    <s v="FINAL0722_BANK_HE1"/>
    <s v="BELUGA RIVER"/>
    <x v="17"/>
    <x v="0"/>
    <x v="27"/>
    <n v="49559.78515625"/>
  </r>
  <r>
    <s v="FINAL0722_BANK_HE1"/>
    <s v="BELUGA RIVER"/>
    <x v="17"/>
    <x v="0"/>
    <x v="28"/>
    <n v="49080.83203125"/>
  </r>
  <r>
    <s v="FINAL0722_BANK_HE1"/>
    <s v="BELUGA RIVER"/>
    <x v="17"/>
    <x v="0"/>
    <x v="29"/>
    <n v="48606.5078125"/>
  </r>
  <r>
    <s v="FINAL0722_BANK_HE1"/>
    <s v="BELUGA RIVER"/>
    <x v="17"/>
    <x v="0"/>
    <x v="30"/>
    <n v="48136.765625"/>
  </r>
  <r>
    <s v="FINAL0722_BANK_HE1"/>
    <s v="BELUGA RIVER"/>
    <x v="17"/>
    <x v="0"/>
    <x v="31"/>
    <n v="47671.56640625"/>
  </r>
  <r>
    <s v="FINAL0722_BANK_HE1"/>
    <s v="BELUGA RIVER"/>
    <x v="17"/>
    <x v="0"/>
    <x v="32"/>
    <n v="47210.859375"/>
  </r>
  <r>
    <s v="FINAL0722_BANK_HE1"/>
    <s v="BELUGA RIVER"/>
    <x v="17"/>
    <x v="0"/>
    <x v="33"/>
    <n v="46754.60546875"/>
  </r>
  <r>
    <s v="FINAL0722_BANK_HE1"/>
    <s v="BELUGA RIVER"/>
    <x v="17"/>
    <x v="0"/>
    <x v="34"/>
    <n v="46302.76171875"/>
  </r>
  <r>
    <s v="FINAL0722_BANK_HE1"/>
    <s v="BELUGA RIVER"/>
    <x v="17"/>
    <x v="0"/>
    <x v="35"/>
    <n v="45855.28515625"/>
  </r>
  <r>
    <s v="FINAL0722_BANK_HE1"/>
    <s v="BELUGA RIVER"/>
    <x v="17"/>
    <x v="0"/>
    <x v="36"/>
    <n v="45412.1328125"/>
  </r>
  <r>
    <s v="FINAL0722_BANK_HE1"/>
    <s v="BELUGA RIVER"/>
    <x v="17"/>
    <x v="0"/>
    <x v="37"/>
    <n v="44973.26171875"/>
  </r>
  <r>
    <s v="FINAL0722_BANK_HE1"/>
    <s v="BELUGA RIVER"/>
    <x v="17"/>
    <x v="0"/>
    <x v="38"/>
    <n v="44538.6328125"/>
  </r>
  <r>
    <s v="FINAL0722_BANK_HE1"/>
    <s v="BELUGA RIVER"/>
    <x v="17"/>
    <x v="0"/>
    <x v="39"/>
    <n v="44108.203125"/>
  </r>
  <r>
    <s v="FINAL0722_BANK_HE1"/>
    <s v="BELUGA RIVER"/>
    <x v="17"/>
    <x v="0"/>
    <x v="40"/>
    <n v="43681.93359375"/>
  </r>
  <r>
    <s v="FINAL0722_BANK_HE1"/>
    <s v="BELUGA RIVER"/>
    <x v="17"/>
    <x v="0"/>
    <x v="41"/>
    <n v="43259.78515625"/>
  </r>
  <r>
    <s v="FINAL0722_BANK_HE1"/>
    <s v="BELUGA RIVER"/>
    <x v="17"/>
    <x v="0"/>
    <x v="42"/>
    <n v="42841.71484375"/>
  </r>
  <r>
    <s v="FINAL0722_BANK_HE1"/>
    <s v="BELUGA RIVER"/>
    <x v="17"/>
    <x v="0"/>
    <x v="43"/>
    <n v="42427.6875"/>
  </r>
  <r>
    <s v="FINAL0722_BANK_HE1"/>
    <s v="BELUGA RIVER"/>
    <x v="17"/>
    <x v="0"/>
    <x v="44"/>
    <n v="42017.66015625"/>
  </r>
  <r>
    <s v="FINAL0722_BANK_HE1"/>
    <s v="BELUGA RIVER"/>
    <x v="17"/>
    <x v="0"/>
    <x v="45"/>
    <n v="41611.59375"/>
  </r>
  <r>
    <s v="FINAL0722_BANK_HE1"/>
    <s v="BELUGA RIVER"/>
    <x v="17"/>
    <x v="0"/>
    <x v="46"/>
    <n v="41209.453125"/>
  </r>
  <r>
    <s v="FINAL0722_BANK_HE1"/>
    <s v="BELUGA RIVER"/>
    <x v="17"/>
    <x v="0"/>
    <x v="47"/>
    <n v="40811.19921875"/>
  </r>
  <r>
    <s v="FINAL0722_BANK_HE1"/>
    <s v="BELUGA RIVER"/>
    <x v="17"/>
    <x v="0"/>
    <x v="48"/>
    <n v="40416.79296875"/>
  </r>
  <r>
    <s v="FINAL0722_BANK_HE1"/>
    <s v="BELUGA RIVER"/>
    <x v="17"/>
    <x v="0"/>
    <x v="49"/>
    <n v="40026.19921875"/>
  </r>
  <r>
    <s v="FINAL0722_BANK_HE1"/>
    <s v="BELUGA RIVER"/>
    <x v="17"/>
    <x v="0"/>
    <x v="50"/>
    <n v="39639.37890625"/>
  </r>
  <r>
    <s v="FINAL0722_BANK_HE1"/>
    <s v="BELUGA RIVER"/>
    <x v="17"/>
    <x v="0"/>
    <x v="51"/>
    <n v="39256.296875"/>
  </r>
  <r>
    <s v="FINAL0722_BANK_HE1"/>
    <s v="BELUGA RIVER"/>
    <x v="17"/>
    <x v="0"/>
    <x v="52"/>
    <n v="38876.91796875"/>
  </r>
  <r>
    <s v="FINAL0722_BANK_HE1"/>
    <s v="BELUGA RIVER"/>
    <x v="17"/>
    <x v="0"/>
    <x v="53"/>
    <n v="38501.20703125"/>
  </r>
  <r>
    <s v="FINAL0722_BANK_HE1"/>
    <s v="BELUGA RIVER"/>
    <x v="17"/>
    <x v="0"/>
    <x v="54"/>
    <n v="38129.125"/>
  </r>
  <r>
    <s v="FINAL0722_BANK_HE1"/>
    <s v="BELUGA RIVER"/>
    <x v="17"/>
    <x v="0"/>
    <x v="55"/>
    <n v="37760.640625"/>
  </r>
  <r>
    <s v="FINAL0722_BANK_HE1"/>
    <s v="BELUGA RIVER"/>
    <x v="17"/>
    <x v="0"/>
    <x v="56"/>
    <n v="37395.71484375"/>
  </r>
  <r>
    <s v="FINAL0722_BANK_HE1"/>
    <s v="BELUGA RIVER"/>
    <x v="17"/>
    <x v="0"/>
    <x v="57"/>
    <n v="37034.31640625"/>
  </r>
  <r>
    <s v="FINAL0722_BANK_HE1"/>
    <s v="BELUGA RIVER"/>
    <x v="17"/>
    <x v="0"/>
    <x v="58"/>
    <n v="36676.41015625"/>
  </r>
  <r>
    <s v="FINAL0722_BANK_HE1"/>
    <s v="BELUGA RIVER"/>
    <x v="17"/>
    <x v="0"/>
    <x v="59"/>
    <n v="36321.96484375"/>
  </r>
  <r>
    <s v="FINAL0722_BANK_HE1"/>
    <s v="BELUGA RIVER"/>
    <x v="17"/>
    <x v="0"/>
    <x v="60"/>
    <n v="35970.9453125"/>
  </r>
  <r>
    <s v="FINAL0722_BANK_HE1"/>
    <s v="BELUGA RIVER"/>
    <x v="17"/>
    <x v="0"/>
    <x v="61"/>
    <n v="35623.31640625"/>
  </r>
  <r>
    <s v="FINAL0722_BANK_HE1"/>
    <s v="BELUGA RIVER"/>
    <x v="17"/>
    <x v="0"/>
    <x v="62"/>
    <n v="35279.046875"/>
  </r>
  <r>
    <s v="FINAL0722_BANK_HE1"/>
    <s v="BELUGA RIVER"/>
    <x v="17"/>
    <x v="0"/>
    <x v="63"/>
    <n v="34938.10546875"/>
  </r>
  <r>
    <s v="FINAL0722_BANK_HE1"/>
    <s v="BELUGA RIVER"/>
    <x v="17"/>
    <x v="0"/>
    <x v="64"/>
    <n v="34600.45703125"/>
  </r>
  <r>
    <s v="FINAL0722_BANK_HE1"/>
    <s v="BELUGA RIVER"/>
    <x v="17"/>
    <x v="0"/>
    <x v="65"/>
    <n v="34266.07421875"/>
  </r>
  <r>
    <s v="FINAL0722_BANK_HE1"/>
    <s v="BELUGA RIVER"/>
    <x v="17"/>
    <x v="0"/>
    <x v="66"/>
    <n v="33934.921875"/>
  </r>
  <r>
    <s v="FINAL0722_BANK_HE1"/>
    <s v="BELUGA RIVER"/>
    <x v="17"/>
    <x v="0"/>
    <x v="67"/>
    <n v="33606.96875"/>
  </r>
  <r>
    <s v="FINAL0722_BANK_HE1"/>
    <s v="BELUGA RIVER"/>
    <x v="17"/>
    <x v="0"/>
    <x v="68"/>
    <n v="33282.1875"/>
  </r>
  <r>
    <s v="FINAL0722_BANK_HE1"/>
    <s v="BELUGA RIVER"/>
    <x v="17"/>
    <x v="0"/>
    <x v="69"/>
    <n v="32960.54296875"/>
  </r>
  <r>
    <s v="FINAL0722_BANK_HE1"/>
    <s v="BELUGA RIVER"/>
    <x v="17"/>
    <x v="0"/>
    <x v="70"/>
    <n v="32642.0078125"/>
  </r>
  <r>
    <s v="FINAL0722_BANK_HE1"/>
    <s v="BELUGA RIVER"/>
    <x v="17"/>
    <x v="0"/>
    <x v="71"/>
    <n v="32326.55078125"/>
  </r>
  <r>
    <s v="FINAL0722_BANK_HE1"/>
    <s v="BELUGA RIVER"/>
    <x v="17"/>
    <x v="0"/>
    <x v="72"/>
    <n v="32014.142578125"/>
  </r>
  <r>
    <s v="FINAL0722_BANK_HE1"/>
    <s v="BELUGA RIVER"/>
    <x v="17"/>
    <x v="0"/>
    <x v="73"/>
    <n v="31704.75390625"/>
  </r>
  <r>
    <s v="FINAL0722_BANK_HE1"/>
    <s v="BELUGA RIVER"/>
    <x v="17"/>
    <x v="0"/>
    <x v="74"/>
    <n v="31398.353515625"/>
  </r>
  <r>
    <s v="FINAL0722_BANK_HE1"/>
    <s v="BELUGA RIVER"/>
    <x v="17"/>
    <x v="0"/>
    <x v="75"/>
    <n v="31094.916015625"/>
  </r>
  <r>
    <s v="FINAL0722_BANK_HE1"/>
    <s v="BELUGA RIVER"/>
    <x v="17"/>
    <x v="0"/>
    <x v="76"/>
    <n v="30794.41015625"/>
  </r>
  <r>
    <s v="FINAL0722_BANK_HE1"/>
    <s v="BELUGA RIVER"/>
    <x v="17"/>
    <x v="0"/>
    <x v="77"/>
    <n v="30496.80859375"/>
  </r>
  <r>
    <s v="FINAL0722_BANK_HE1"/>
    <s v="BELUGA RIVER"/>
    <x v="17"/>
    <x v="0"/>
    <x v="78"/>
    <n v="30202.08203125"/>
  </r>
  <r>
    <s v="FINAL0722_BANK_HE1"/>
    <s v="BELUGA RIVER"/>
    <x v="17"/>
    <x v="0"/>
    <x v="79"/>
    <n v="29910.205078125"/>
  </r>
  <r>
    <s v="FINAL0722_BANK_HE1"/>
    <s v="BELUGA RIVER"/>
    <x v="18"/>
    <x v="0"/>
    <x v="0"/>
    <n v="69681.2578125"/>
  </r>
  <r>
    <s v="FINAL0722_BANK_HE1"/>
    <s v="BELUGA RIVER"/>
    <x v="18"/>
    <x v="0"/>
    <x v="1"/>
    <n v="66777.2578125"/>
  </r>
  <r>
    <s v="FINAL0722_BANK_HE1"/>
    <s v="BELUGA RIVER"/>
    <x v="18"/>
    <x v="0"/>
    <x v="2"/>
    <n v="63994.28515625"/>
  </r>
  <r>
    <s v="FINAL0722_BANK_HE1"/>
    <s v="BELUGA RIVER"/>
    <x v="18"/>
    <x v="0"/>
    <x v="3"/>
    <n v="61327.29296875"/>
  </r>
  <r>
    <s v="FINAL0722_BANK_HE1"/>
    <s v="BELUGA RIVER"/>
    <x v="18"/>
    <x v="0"/>
    <x v="4"/>
    <n v="58771.44921875"/>
  </r>
  <r>
    <s v="FINAL0722_BANK_HE1"/>
    <s v="BELUGA RIVER"/>
    <x v="18"/>
    <x v="0"/>
    <x v="5"/>
    <n v="56322.12109375"/>
  </r>
  <r>
    <s v="FINAL0722_BANK_HE1"/>
    <s v="BELUGA RIVER"/>
    <x v="18"/>
    <x v="0"/>
    <x v="6"/>
    <n v="53974.87109375"/>
  </r>
  <r>
    <s v="FINAL0722_BANK_HE1"/>
    <s v="BELUGA RIVER"/>
    <x v="18"/>
    <x v="0"/>
    <x v="7"/>
    <n v="51725.44140625"/>
  </r>
  <r>
    <s v="FINAL0722_BANK_HE1"/>
    <s v="BELUGA RIVER"/>
    <x v="18"/>
    <x v="0"/>
    <x v="8"/>
    <n v="49569.7578125"/>
  </r>
  <r>
    <s v="FINAL0722_BANK_HE1"/>
    <s v="BELUGA RIVER"/>
    <x v="18"/>
    <x v="0"/>
    <x v="9"/>
    <n v="47503.9140625"/>
  </r>
  <r>
    <s v="FINAL0722_BANK_HE1"/>
    <s v="BELUGA RIVER"/>
    <x v="18"/>
    <x v="0"/>
    <x v="10"/>
    <n v="45524.16796875"/>
  </r>
  <r>
    <s v="FINAL0722_BANK_HE1"/>
    <s v="BELUGA RIVER"/>
    <x v="18"/>
    <x v="0"/>
    <x v="11"/>
    <n v="43626.92578125"/>
  </r>
  <r>
    <s v="FINAL0722_BANK_HE1"/>
    <s v="BELUGA RIVER"/>
    <x v="18"/>
    <x v="0"/>
    <x v="12"/>
    <n v="41808.75390625"/>
  </r>
  <r>
    <s v="FINAL0722_BANK_HE1"/>
    <s v="BELUGA RIVER"/>
    <x v="18"/>
    <x v="0"/>
    <x v="13"/>
    <n v="40066.35546875"/>
  </r>
  <r>
    <s v="FINAL0722_BANK_HE1"/>
    <s v="BELUGA RIVER"/>
    <x v="18"/>
    <x v="0"/>
    <x v="14"/>
    <n v="38396.5703125"/>
  </r>
  <r>
    <s v="FINAL0722_BANK_HE1"/>
    <s v="BELUGA RIVER"/>
    <x v="18"/>
    <x v="0"/>
    <x v="15"/>
    <n v="36796.375"/>
  </r>
  <r>
    <s v="FINAL0722_BANK_HE1"/>
    <s v="BELUGA RIVER"/>
    <x v="18"/>
    <x v="0"/>
    <x v="16"/>
    <n v="35262.8671875"/>
  </r>
  <r>
    <s v="FINAL0722_BANK_HE1"/>
    <s v="BELUGA RIVER"/>
    <x v="18"/>
    <x v="0"/>
    <x v="17"/>
    <n v="33793.26953125"/>
  </r>
  <r>
    <s v="FINAL0722_BANK_HE1"/>
    <s v="BELUGA RIVER"/>
    <x v="18"/>
    <x v="0"/>
    <x v="18"/>
    <n v="32384.919921875"/>
  </r>
  <r>
    <s v="FINAL0722_BANK_HE1"/>
    <s v="BELUGA RIVER"/>
    <x v="18"/>
    <x v="0"/>
    <x v="19"/>
    <n v="31035.263671875"/>
  </r>
  <r>
    <s v="FINAL0722_BANK_HE1"/>
    <s v="BELUGA RIVER"/>
    <x v="18"/>
    <x v="0"/>
    <x v="20"/>
    <n v="29741.853515625"/>
  </r>
  <r>
    <s v="FINAL0722_BANK_HE1"/>
    <s v="BELUGA RIVER"/>
    <x v="18"/>
    <x v="0"/>
    <x v="21"/>
    <n v="28502.34765625"/>
  </r>
  <r>
    <s v="FINAL0722_BANK_HE1"/>
    <s v="BELUGA RIVER"/>
    <x v="18"/>
    <x v="0"/>
    <x v="22"/>
    <n v="27314.498046875"/>
  </r>
  <r>
    <s v="FINAL0722_BANK_HE1"/>
    <s v="BELUGA RIVER"/>
    <x v="18"/>
    <x v="0"/>
    <x v="23"/>
    <n v="26176.154296875"/>
  </r>
  <r>
    <s v="FINAL0722_BANK_HE1"/>
    <s v="BELUGA RIVER"/>
    <x v="18"/>
    <x v="0"/>
    <x v="24"/>
    <n v="25085.25"/>
  </r>
  <r>
    <s v="FINAL0722_BANK_HE1"/>
    <s v="BELUGA RIVER"/>
    <x v="18"/>
    <x v="0"/>
    <x v="25"/>
    <n v="24039.810546875"/>
  </r>
  <r>
    <s v="FINAL0722_BANK_HE1"/>
    <s v="BELUGA RIVER"/>
    <x v="18"/>
    <x v="0"/>
    <x v="26"/>
    <n v="23037.939453125"/>
  </r>
  <r>
    <s v="FINAL0722_BANK_HE1"/>
    <s v="BELUGA RIVER"/>
    <x v="18"/>
    <x v="0"/>
    <x v="27"/>
    <n v="22077.822265625"/>
  </r>
  <r>
    <s v="FINAL0722_BANK_HE1"/>
    <s v="BELUGA RIVER"/>
    <x v="18"/>
    <x v="0"/>
    <x v="28"/>
    <n v="21157.71875"/>
  </r>
  <r>
    <s v="FINAL0722_BANK_HE1"/>
    <s v="BELUGA RIVER"/>
    <x v="18"/>
    <x v="0"/>
    <x v="29"/>
    <n v="20275.9609375"/>
  </r>
  <r>
    <s v="FINAL0722_BANK_HE1"/>
    <s v="BELUGA RIVER"/>
    <x v="18"/>
    <x v="0"/>
    <x v="30"/>
    <n v="19430.951171875"/>
  </r>
  <r>
    <s v="FINAL0722_BANK_HE1"/>
    <s v="BELUGA RIVER"/>
    <x v="18"/>
    <x v="0"/>
    <x v="31"/>
    <n v="18621.15625"/>
  </r>
  <r>
    <s v="FINAL0722_BANK_HE1"/>
    <s v="BELUGA RIVER"/>
    <x v="18"/>
    <x v="0"/>
    <x v="32"/>
    <n v="17845.111328125"/>
  </r>
  <r>
    <s v="FINAL0722_BANK_HE1"/>
    <s v="BELUGA RIVER"/>
    <x v="18"/>
    <x v="0"/>
    <x v="33"/>
    <n v="17101.408203125"/>
  </r>
  <r>
    <s v="FINAL0722_BANK_HE1"/>
    <s v="BELUGA RIVER"/>
    <x v="18"/>
    <x v="0"/>
    <x v="34"/>
    <n v="16388.69921875"/>
  </r>
  <r>
    <s v="FINAL0722_BANK_HE1"/>
    <s v="BELUGA RIVER"/>
    <x v="18"/>
    <x v="0"/>
    <x v="35"/>
    <n v="15705.6923828125"/>
  </r>
  <r>
    <s v="FINAL0722_BANK_HE1"/>
    <s v="BELUGA RIVER"/>
    <x v="18"/>
    <x v="0"/>
    <x v="36"/>
    <n v="15051.150390625"/>
  </r>
  <r>
    <s v="FINAL0722_BANK_HE1"/>
    <s v="BELUGA RIVER"/>
    <x v="18"/>
    <x v="0"/>
    <x v="37"/>
    <n v="14423.88671875"/>
  </r>
  <r>
    <s v="FINAL0722_BANK_HE1"/>
    <s v="BELUGA RIVER"/>
    <x v="18"/>
    <x v="0"/>
    <x v="38"/>
    <n v="13822.7646484375"/>
  </r>
  <r>
    <s v="FINAL0722_BANK_HE1"/>
    <s v="BELUGA RIVER"/>
    <x v="18"/>
    <x v="0"/>
    <x v="39"/>
    <n v="13246.6943359375"/>
  </r>
  <r>
    <s v="FINAL0722_BANK_HE1"/>
    <s v="BELUGA RIVER"/>
    <x v="18"/>
    <x v="0"/>
    <x v="40"/>
    <n v="12694.6318359375"/>
  </r>
  <r>
    <s v="FINAL0722_BANK_HE1"/>
    <s v="BELUGA RIVER"/>
    <x v="18"/>
    <x v="0"/>
    <x v="41"/>
    <n v="12165.5771484375"/>
  </r>
  <r>
    <s v="FINAL0722_BANK_HE1"/>
    <s v="BELUGA RIVER"/>
    <x v="18"/>
    <x v="0"/>
    <x v="42"/>
    <n v="11658.5712890625"/>
  </r>
  <r>
    <s v="FINAL0722_BANK_HE1"/>
    <s v="BELUGA RIVER"/>
    <x v="18"/>
    <x v="0"/>
    <x v="43"/>
    <n v="11172.6953125"/>
  </r>
  <r>
    <s v="FINAL0722_BANK_HE1"/>
    <s v="BELUGA RIVER"/>
    <x v="18"/>
    <x v="0"/>
    <x v="44"/>
    <n v="10707.068359375"/>
  </r>
  <r>
    <s v="FINAL0722_BANK_HE1"/>
    <s v="BELUGA RIVER"/>
    <x v="18"/>
    <x v="0"/>
    <x v="45"/>
    <n v="10260.8466796875"/>
  </r>
  <r>
    <s v="FINAL0722_BANK_HE1"/>
    <s v="BELUGA RIVER"/>
    <x v="18"/>
    <x v="0"/>
    <x v="46"/>
    <n v="9833.220703125"/>
  </r>
  <r>
    <s v="FINAL0722_BANK_HE1"/>
    <s v="BELUGA RIVER"/>
    <x v="18"/>
    <x v="0"/>
    <x v="47"/>
    <n v="9423.4169921875"/>
  </r>
  <r>
    <s v="FINAL0722_BANK_HE1"/>
    <s v="BELUGA RIVER"/>
    <x v="18"/>
    <x v="0"/>
    <x v="48"/>
    <n v="9030.69140625"/>
  </r>
  <r>
    <s v="FINAL0722_BANK_HE1"/>
    <s v="BELUGA RIVER"/>
    <x v="18"/>
    <x v="0"/>
    <x v="49"/>
    <n v="8654.3330078125"/>
  </r>
  <r>
    <s v="FINAL0722_BANK_HE1"/>
    <s v="BELUGA RIVER"/>
    <x v="18"/>
    <x v="0"/>
    <x v="50"/>
    <n v="8293.6591796875"/>
  </r>
  <r>
    <s v="FINAL0722_BANK_HE1"/>
    <s v="BELUGA RIVER"/>
    <x v="18"/>
    <x v="0"/>
    <x v="51"/>
    <n v="7948.01708984375"/>
  </r>
  <r>
    <s v="FINAL0722_BANK_HE1"/>
    <s v="BELUGA RIVER"/>
    <x v="18"/>
    <x v="0"/>
    <x v="52"/>
    <n v="7616.77978515625"/>
  </r>
  <r>
    <s v="FINAL0722_BANK_HE1"/>
    <s v="BELUGA RIVER"/>
    <x v="18"/>
    <x v="0"/>
    <x v="53"/>
    <n v="7299.3466796875"/>
  </r>
  <r>
    <s v="FINAL0722_BANK_HE1"/>
    <s v="BELUGA RIVER"/>
    <x v="18"/>
    <x v="0"/>
    <x v="54"/>
    <n v="6995.14306640625"/>
  </r>
  <r>
    <s v="FINAL0722_BANK_HE1"/>
    <s v="BELUGA RIVER"/>
    <x v="18"/>
    <x v="0"/>
    <x v="55"/>
    <n v="6703.6171875"/>
  </r>
  <r>
    <s v="FINAL0722_BANK_HE1"/>
    <s v="BELUGA RIVER"/>
    <x v="18"/>
    <x v="0"/>
    <x v="56"/>
    <n v="6424.24072265625"/>
  </r>
  <r>
    <s v="FINAL0722_BANK_HE1"/>
    <s v="BELUGA RIVER"/>
    <x v="18"/>
    <x v="0"/>
    <x v="57"/>
    <n v="6156.50732421875"/>
  </r>
  <r>
    <s v="FINAL0722_BANK_HE1"/>
    <s v="BELUGA RIVER"/>
    <x v="18"/>
    <x v="0"/>
    <x v="58"/>
    <n v="5899.93212890625"/>
  </r>
  <r>
    <s v="FINAL0722_BANK_HE1"/>
    <s v="BELUGA RIVER"/>
    <x v="18"/>
    <x v="0"/>
    <x v="59"/>
    <n v="5654.0498046875"/>
  </r>
  <r>
    <s v="FINAL0722_BANK_HE1"/>
    <s v="BELUGA RIVER"/>
    <x v="18"/>
    <x v="0"/>
    <x v="60"/>
    <n v="5418.41455078125"/>
  </r>
  <r>
    <s v="FINAL0722_BANK_HE1"/>
    <s v="BELUGA RIVER"/>
    <x v="18"/>
    <x v="0"/>
    <x v="61"/>
    <n v="5192.599609375"/>
  </r>
  <r>
    <s v="FINAL0722_BANK_HE1"/>
    <s v="BELUGA RIVER"/>
    <x v="18"/>
    <x v="0"/>
    <x v="62"/>
    <n v="4976.19580078125"/>
  </r>
  <r>
    <s v="FINAL0722_BANK_HE1"/>
    <s v="BELUGA RIVER"/>
    <x v="18"/>
    <x v="0"/>
    <x v="63"/>
    <n v="4768.810546875"/>
  </r>
  <r>
    <s v="FINAL0722_BANK_HE1"/>
    <s v="BELUGA RIVER"/>
    <x v="18"/>
    <x v="0"/>
    <x v="64"/>
    <n v="4570.068359375"/>
  </r>
  <r>
    <s v="FINAL0722_BANK_HE1"/>
    <s v="BELUGA RIVER"/>
    <x v="19"/>
    <x v="2"/>
    <x v="0"/>
    <n v="0"/>
  </r>
  <r>
    <s v="FINAL0722_BANK_HE1"/>
    <s v="BELUGA RIVER"/>
    <x v="19"/>
    <x v="2"/>
    <x v="1"/>
    <n v="0"/>
  </r>
  <r>
    <s v="FINAL0722_BANK_HE1"/>
    <s v="BELUGA RIVER"/>
    <x v="19"/>
    <x v="2"/>
    <x v="2"/>
    <n v="0"/>
  </r>
  <r>
    <s v="FINAL0722_BANK_HE1"/>
    <s v="BELUGA RIVER"/>
    <x v="19"/>
    <x v="2"/>
    <x v="3"/>
    <n v="0"/>
  </r>
  <r>
    <s v="FINAL0722_BANK_HE1"/>
    <s v="BELUGA RIVER"/>
    <x v="19"/>
    <x v="2"/>
    <x v="4"/>
    <n v="0"/>
  </r>
  <r>
    <s v="FINAL0722_BANK_HE1"/>
    <s v="BELUGA RIVER"/>
    <x v="19"/>
    <x v="2"/>
    <x v="5"/>
    <n v="0"/>
  </r>
  <r>
    <s v="FINAL0722_BANK_HE1"/>
    <s v="BELUGA RIVER"/>
    <x v="19"/>
    <x v="2"/>
    <x v="6"/>
    <n v="0"/>
  </r>
  <r>
    <s v="FINAL0722_BANK_HE1"/>
    <s v="BELUGA RIVER"/>
    <x v="19"/>
    <x v="2"/>
    <x v="7"/>
    <n v="0"/>
  </r>
  <r>
    <s v="FINAL0722_BANK_HE1"/>
    <s v="BELUGA RIVER"/>
    <x v="19"/>
    <x v="2"/>
    <x v="8"/>
    <n v="0"/>
  </r>
  <r>
    <s v="FINAL0722_BANK_HE1"/>
    <s v="BELUGA RIVER"/>
    <x v="19"/>
    <x v="2"/>
    <x v="9"/>
    <n v="0"/>
  </r>
  <r>
    <s v="FINAL0722_BANK_HE1"/>
    <s v="BELUGA RIVER"/>
    <x v="19"/>
    <x v="2"/>
    <x v="10"/>
    <n v="0"/>
  </r>
  <r>
    <s v="FINAL0722_BANK_HE1"/>
    <s v="BELUGA RIVER"/>
    <x v="19"/>
    <x v="2"/>
    <x v="11"/>
    <n v="0"/>
  </r>
  <r>
    <s v="FINAL0722_BANK_HE1"/>
    <s v="BELUGA RIVER"/>
    <x v="19"/>
    <x v="2"/>
    <x v="12"/>
    <n v="0"/>
  </r>
  <r>
    <s v="FINAL0722_BANK_HE1"/>
    <s v="BELUGA RIVER"/>
    <x v="19"/>
    <x v="2"/>
    <x v="13"/>
    <n v="0"/>
  </r>
  <r>
    <s v="FINAL0722_BANK_HE1"/>
    <s v="BELUGA RIVER"/>
    <x v="19"/>
    <x v="2"/>
    <x v="14"/>
    <n v="0"/>
  </r>
  <r>
    <s v="FINAL0722_BANK_HE1"/>
    <s v="BELUGA RIVER"/>
    <x v="19"/>
    <x v="2"/>
    <x v="15"/>
    <n v="0"/>
  </r>
  <r>
    <s v="FINAL0722_BANK_HE1"/>
    <s v="BELUGA RIVER"/>
    <x v="19"/>
    <x v="2"/>
    <x v="16"/>
    <n v="0"/>
  </r>
  <r>
    <s v="FINAL0722_BANK_HE1"/>
    <s v="BELUGA RIVER"/>
    <x v="19"/>
    <x v="2"/>
    <x v="17"/>
    <n v="0"/>
  </r>
  <r>
    <s v="FINAL0722_BANK_HE1"/>
    <s v="BELUGA RIVER"/>
    <x v="19"/>
    <x v="2"/>
    <x v="18"/>
    <n v="0"/>
  </r>
  <r>
    <s v="FINAL0722_BANK_HE1"/>
    <s v="BELUGA RIVER"/>
    <x v="19"/>
    <x v="2"/>
    <x v="19"/>
    <n v="0"/>
  </r>
  <r>
    <s v="FINAL0722_BANK_HE1"/>
    <s v="BELUGA RIVER"/>
    <x v="19"/>
    <x v="2"/>
    <x v="20"/>
    <n v="0"/>
  </r>
  <r>
    <s v="FINAL0722_BANK_HE1"/>
    <s v="BELUGA RIVER"/>
    <x v="19"/>
    <x v="2"/>
    <x v="21"/>
    <n v="0"/>
  </r>
  <r>
    <s v="FINAL0722_BANK_HE1"/>
    <s v="BELUGA RIVER"/>
    <x v="19"/>
    <x v="2"/>
    <x v="22"/>
    <n v="0"/>
  </r>
  <r>
    <s v="FINAL0722_BANK_HE1"/>
    <s v="BELUGA RIVER"/>
    <x v="19"/>
    <x v="2"/>
    <x v="23"/>
    <n v="0"/>
  </r>
  <r>
    <s v="FINAL0722_BANK_HE1"/>
    <s v="BELUGA RIVER"/>
    <x v="19"/>
    <x v="2"/>
    <x v="24"/>
    <n v="0"/>
  </r>
  <r>
    <s v="FINAL0722_BANK_HE1"/>
    <s v="BELUGA RIVER"/>
    <x v="19"/>
    <x v="2"/>
    <x v="25"/>
    <n v="0"/>
  </r>
  <r>
    <s v="FINAL0722_BANK_HE1"/>
    <s v="BELUGA RIVER"/>
    <x v="19"/>
    <x v="2"/>
    <x v="26"/>
    <n v="0"/>
  </r>
  <r>
    <s v="FINAL0722_BANK_HE1"/>
    <s v="BELUGA RIVER"/>
    <x v="19"/>
    <x v="2"/>
    <x v="27"/>
    <n v="0"/>
  </r>
  <r>
    <s v="FINAL0722_BANK_HE1"/>
    <s v="BELUGA RIVER"/>
    <x v="19"/>
    <x v="2"/>
    <x v="28"/>
    <n v="0"/>
  </r>
  <r>
    <s v="FINAL0722_BANK_HE1"/>
    <s v="BELUGA RIVER"/>
    <x v="19"/>
    <x v="2"/>
    <x v="29"/>
    <n v="0"/>
  </r>
  <r>
    <s v="FINAL0722_BANK_HE1"/>
    <s v="BELUGA RIVER"/>
    <x v="19"/>
    <x v="2"/>
    <x v="30"/>
    <n v="0"/>
  </r>
  <r>
    <s v="FINAL0722_BANK_HE1"/>
    <s v="BELUGA RIVER"/>
    <x v="19"/>
    <x v="2"/>
    <x v="31"/>
    <n v="0"/>
  </r>
  <r>
    <s v="FINAL0722_BANK_HE1"/>
    <s v="BELUGA RIVER"/>
    <x v="19"/>
    <x v="2"/>
    <x v="32"/>
    <n v="0"/>
  </r>
  <r>
    <s v="FINAL0722_BANK_HE1"/>
    <s v="BELUGA RIVER"/>
    <x v="19"/>
    <x v="2"/>
    <x v="33"/>
    <n v="0"/>
  </r>
  <r>
    <s v="FINAL0722_BANK_HE1"/>
    <s v="BELUGA RIVER"/>
    <x v="19"/>
    <x v="2"/>
    <x v="34"/>
    <n v="0"/>
  </r>
  <r>
    <s v="FINAL0722_BANK_HE1"/>
    <s v="BELUGA RIVER"/>
    <x v="19"/>
    <x v="2"/>
    <x v="35"/>
    <n v="0"/>
  </r>
  <r>
    <s v="FINAL0722_BANK_HE1"/>
    <s v="BELUGA RIVER"/>
    <x v="19"/>
    <x v="2"/>
    <x v="36"/>
    <n v="0"/>
  </r>
  <r>
    <s v="FINAL0722_BANK_HE1"/>
    <s v="BELUGA RIVER"/>
    <x v="19"/>
    <x v="2"/>
    <x v="37"/>
    <n v="0"/>
  </r>
  <r>
    <s v="FINAL0722_BANK_HE1"/>
    <s v="BELUGA RIVER"/>
    <x v="19"/>
    <x v="2"/>
    <x v="38"/>
    <n v="0"/>
  </r>
  <r>
    <s v="FINAL0722_BANK_HE1"/>
    <s v="BELUGA RIVER"/>
    <x v="19"/>
    <x v="2"/>
    <x v="39"/>
    <n v="0"/>
  </r>
  <r>
    <s v="FINAL0722_BANK_HE1"/>
    <s v="BELUGA RIVER"/>
    <x v="19"/>
    <x v="2"/>
    <x v="40"/>
    <n v="0"/>
  </r>
  <r>
    <s v="FINAL0722_BANK_HE1"/>
    <s v="BELUGA RIVER"/>
    <x v="19"/>
    <x v="2"/>
    <x v="41"/>
    <n v="0"/>
  </r>
  <r>
    <s v="FINAL0722_BANK_HE1"/>
    <s v="BELUGA RIVER"/>
    <x v="19"/>
    <x v="2"/>
    <x v="42"/>
    <n v="0"/>
  </r>
  <r>
    <s v="FINAL0722_BANK_HE1"/>
    <s v="BELUGA RIVER"/>
    <x v="19"/>
    <x v="2"/>
    <x v="43"/>
    <n v="0"/>
  </r>
  <r>
    <s v="FINAL0722_BANK_HE1"/>
    <s v="BELUGA RIVER"/>
    <x v="19"/>
    <x v="2"/>
    <x v="44"/>
    <n v="0"/>
  </r>
  <r>
    <s v="FINAL0722_BANK_HE1"/>
    <s v="BELUGA RIVER"/>
    <x v="19"/>
    <x v="2"/>
    <x v="45"/>
    <n v="0"/>
  </r>
  <r>
    <s v="FINAL0722_BANK_HE1"/>
    <s v="BELUGA RIVER"/>
    <x v="19"/>
    <x v="2"/>
    <x v="46"/>
    <n v="0"/>
  </r>
  <r>
    <s v="FINAL0722_BANK_HE1"/>
    <s v="BELUGA RIVER"/>
    <x v="19"/>
    <x v="2"/>
    <x v="47"/>
    <n v="0"/>
  </r>
  <r>
    <s v="FINAL0722_BANK_HE1"/>
    <s v="BELUGA RIVER"/>
    <x v="19"/>
    <x v="2"/>
    <x v="48"/>
    <n v="0"/>
  </r>
  <r>
    <s v="FINAL0722_BANK_HE1"/>
    <s v="BELUGA RIVER"/>
    <x v="19"/>
    <x v="2"/>
    <x v="49"/>
    <n v="0"/>
  </r>
  <r>
    <s v="FINAL0722_BANK_HE1"/>
    <s v="BELUGA RIVER"/>
    <x v="19"/>
    <x v="2"/>
    <x v="50"/>
    <n v="0"/>
  </r>
  <r>
    <s v="FINAL0722_BANK_HE1"/>
    <s v="BELUGA RIVER"/>
    <x v="19"/>
    <x v="2"/>
    <x v="51"/>
    <n v="0"/>
  </r>
  <r>
    <s v="FINAL0722_BANK_HE1"/>
    <s v="BELUGA RIVER"/>
    <x v="19"/>
    <x v="2"/>
    <x v="52"/>
    <n v="0"/>
  </r>
  <r>
    <s v="FINAL0722_BANK_HE1"/>
    <s v="BELUGA RIVER"/>
    <x v="19"/>
    <x v="2"/>
    <x v="53"/>
    <n v="0"/>
  </r>
  <r>
    <s v="FINAL0722_BANK_HE1"/>
    <s v="BELUGA RIVER"/>
    <x v="19"/>
    <x v="2"/>
    <x v="54"/>
    <n v="0"/>
  </r>
  <r>
    <s v="FINAL0722_BANK_HE1"/>
    <s v="BELUGA RIVER"/>
    <x v="19"/>
    <x v="2"/>
    <x v="55"/>
    <n v="0"/>
  </r>
  <r>
    <s v="FINAL0722_BANK_HE1"/>
    <s v="BELUGA RIVER"/>
    <x v="19"/>
    <x v="2"/>
    <x v="56"/>
    <n v="0"/>
  </r>
  <r>
    <s v="FINAL0722_BANK_HE1"/>
    <s v="BELUGA RIVER"/>
    <x v="19"/>
    <x v="2"/>
    <x v="57"/>
    <n v="0"/>
  </r>
  <r>
    <s v="FINAL0722_BANK_HE1"/>
    <s v="BELUGA RIVER"/>
    <x v="19"/>
    <x v="2"/>
    <x v="58"/>
    <n v="0"/>
  </r>
  <r>
    <s v="FINAL0722_BANK_HE1"/>
    <s v="BELUGA RIVER"/>
    <x v="19"/>
    <x v="2"/>
    <x v="59"/>
    <n v="0"/>
  </r>
  <r>
    <s v="FINAL0722_BANK_HE1"/>
    <s v="BELUGA RIVER"/>
    <x v="19"/>
    <x v="2"/>
    <x v="60"/>
    <n v="0"/>
  </r>
  <r>
    <s v="FINAL0722_BANK_HE1"/>
    <s v="BELUGA RIVER"/>
    <x v="19"/>
    <x v="2"/>
    <x v="61"/>
    <n v="0"/>
  </r>
  <r>
    <s v="FINAL0722_BANK_HE1"/>
    <s v="BELUGA RIVER"/>
    <x v="19"/>
    <x v="2"/>
    <x v="62"/>
    <n v="0"/>
  </r>
  <r>
    <s v="FINAL0722_BANK_HE1"/>
    <s v="BELUGA RIVER"/>
    <x v="19"/>
    <x v="2"/>
    <x v="63"/>
    <n v="0"/>
  </r>
  <r>
    <s v="FINAL0722_BANK_HE1"/>
    <s v="BELUGA RIVER"/>
    <x v="19"/>
    <x v="2"/>
    <x v="64"/>
    <n v="0"/>
  </r>
  <r>
    <s v="FINAL0722_BANK_HE1"/>
    <s v="BELUGA RIVER"/>
    <x v="19"/>
    <x v="2"/>
    <x v="65"/>
    <n v="0"/>
  </r>
  <r>
    <s v="FINAL0722_BANK_HE1"/>
    <s v="BELUGA RIVER"/>
    <x v="19"/>
    <x v="2"/>
    <x v="66"/>
    <n v="0"/>
  </r>
  <r>
    <s v="FINAL0722_BANK_HE1"/>
    <s v="BELUGA RIVER"/>
    <x v="19"/>
    <x v="2"/>
    <x v="67"/>
    <n v="0"/>
  </r>
  <r>
    <s v="FINAL0722_BANK_HE1"/>
    <s v="BELUGA RIVER"/>
    <x v="19"/>
    <x v="2"/>
    <x v="68"/>
    <n v="0"/>
  </r>
  <r>
    <s v="FINAL0722_BANK_HE1"/>
    <s v="BELUGA RIVER"/>
    <x v="19"/>
    <x v="2"/>
    <x v="69"/>
    <n v="0"/>
  </r>
  <r>
    <s v="FINAL0722_BANK_HE1"/>
    <s v="BELUGA RIVER"/>
    <x v="19"/>
    <x v="2"/>
    <x v="70"/>
    <n v="0"/>
  </r>
  <r>
    <s v="FINAL0722_BANK_HE1"/>
    <s v="BELUGA RIVER"/>
    <x v="19"/>
    <x v="2"/>
    <x v="71"/>
    <n v="0"/>
  </r>
  <r>
    <s v="FINAL0722_BANK_HE1"/>
    <s v="BELUGA RIVER"/>
    <x v="19"/>
    <x v="2"/>
    <x v="72"/>
    <n v="0"/>
  </r>
  <r>
    <s v="FINAL0722_BANK_HE1"/>
    <s v="BELUGA RIVER"/>
    <x v="19"/>
    <x v="2"/>
    <x v="73"/>
    <n v="0"/>
  </r>
  <r>
    <s v="FINAL0722_BANK_HE1"/>
    <s v="BELUGA RIVER"/>
    <x v="19"/>
    <x v="2"/>
    <x v="74"/>
    <n v="0"/>
  </r>
  <r>
    <s v="FINAL0722_BANK_HE1"/>
    <s v="BELUGA RIVER"/>
    <x v="19"/>
    <x v="2"/>
    <x v="75"/>
    <n v="0"/>
  </r>
  <r>
    <s v="FINAL0722_BANK_HE1"/>
    <s v="BELUGA RIVER"/>
    <x v="19"/>
    <x v="2"/>
    <x v="76"/>
    <n v="0"/>
  </r>
  <r>
    <s v="FINAL0722_BANK_HE1"/>
    <s v="BELUGA RIVER"/>
    <x v="19"/>
    <x v="2"/>
    <x v="77"/>
    <n v="0"/>
  </r>
  <r>
    <s v="FINAL0722_BANK_HE1"/>
    <s v="BELUGA RIVER"/>
    <x v="19"/>
    <x v="2"/>
    <x v="78"/>
    <n v="0"/>
  </r>
  <r>
    <s v="FINAL0722_BANK_HE1"/>
    <s v="BELUGA RIVER"/>
    <x v="19"/>
    <x v="2"/>
    <x v="79"/>
    <n v="0"/>
  </r>
  <r>
    <s v="FINAL0722_BANK_HE1"/>
    <s v="BELUGA RIVER"/>
    <x v="19"/>
    <x v="2"/>
    <x v="80"/>
    <n v="0"/>
  </r>
  <r>
    <s v="FINAL0722_BANK_HE1"/>
    <s v="BELUGA RIVER"/>
    <x v="19"/>
    <x v="2"/>
    <x v="81"/>
    <n v="0"/>
  </r>
  <r>
    <s v="FINAL0722_BANK_HE1"/>
    <s v="BELUGA RIVER"/>
    <x v="19"/>
    <x v="2"/>
    <x v="82"/>
    <n v="0"/>
  </r>
  <r>
    <s v="FINAL0722_BANK_HE1"/>
    <s v="BELUGA RIVER"/>
    <x v="19"/>
    <x v="2"/>
    <x v="83"/>
    <n v="0"/>
  </r>
  <r>
    <s v="FINAL0722_BANK_HE1"/>
    <s v="BELUGA RIVER"/>
    <x v="19"/>
    <x v="2"/>
    <x v="84"/>
    <n v="0"/>
  </r>
  <r>
    <s v="FINAL0722_BANK_HE1"/>
    <s v="BELUGA RIVER"/>
    <x v="19"/>
    <x v="2"/>
    <x v="85"/>
    <n v="0"/>
  </r>
  <r>
    <s v="FINAL0722_BANK_HE1"/>
    <s v="BELUGA RIVER"/>
    <x v="19"/>
    <x v="2"/>
    <x v="86"/>
    <n v="0"/>
  </r>
  <r>
    <s v="FINAL0722_BANK_HE1"/>
    <s v="BELUGA RIVER"/>
    <x v="19"/>
    <x v="2"/>
    <x v="87"/>
    <n v="0"/>
  </r>
  <r>
    <s v="FINAL0722_BANK_HE1"/>
    <s v="BELUGA RIVER"/>
    <x v="19"/>
    <x v="2"/>
    <x v="88"/>
    <n v="0"/>
  </r>
  <r>
    <s v="FINAL0722_BANK_HE1"/>
    <s v="BELUGA RIVER"/>
    <x v="19"/>
    <x v="2"/>
    <x v="89"/>
    <n v="0"/>
  </r>
  <r>
    <s v="FINAL0722_BANK_HE1"/>
    <s v="BELUGA RIVER"/>
    <x v="19"/>
    <x v="2"/>
    <x v="90"/>
    <n v="0"/>
  </r>
  <r>
    <s v="FINAL0722_BANK_HE1"/>
    <s v="BELUGA RIVER"/>
    <x v="19"/>
    <x v="2"/>
    <x v="91"/>
    <n v="0"/>
  </r>
  <r>
    <s v="FINAL0722_BANK_HE1"/>
    <s v="BELUGA RIVER"/>
    <x v="19"/>
    <x v="2"/>
    <x v="92"/>
    <n v="0"/>
  </r>
  <r>
    <s v="FINAL0722_BANK_HE1"/>
    <s v="BELUGA RIVER"/>
    <x v="19"/>
    <x v="2"/>
    <x v="93"/>
    <n v="0"/>
  </r>
  <r>
    <s v="FINAL0722_BANK_HE1"/>
    <s v="BELUGA RIVER"/>
    <x v="19"/>
    <x v="2"/>
    <x v="94"/>
    <n v="0"/>
  </r>
  <r>
    <s v="FINAL0722_BANK_HE1"/>
    <s v="BELUGA RIVER"/>
    <x v="19"/>
    <x v="2"/>
    <x v="95"/>
    <n v="0"/>
  </r>
  <r>
    <s v="FINAL0722_BANK_HE1"/>
    <s v="BELUGA RIVER"/>
    <x v="19"/>
    <x v="2"/>
    <x v="96"/>
    <n v="0"/>
  </r>
  <r>
    <s v="FINAL0722_BANK_HE1"/>
    <s v="BELUGA RIVER"/>
    <x v="19"/>
    <x v="2"/>
    <x v="97"/>
    <n v="0"/>
  </r>
  <r>
    <s v="FINAL0722_BANK_HE1"/>
    <s v="BELUGA RIVER"/>
    <x v="19"/>
    <x v="2"/>
    <x v="98"/>
    <n v="0"/>
  </r>
  <r>
    <s v="FINAL0722_BANK_HE1"/>
    <s v="BELUGA RIVER"/>
    <x v="19"/>
    <x v="2"/>
    <x v="99"/>
    <n v="0"/>
  </r>
  <r>
    <s v="FINAL0722_BANK_HE1"/>
    <s v="BELUGA RIVER"/>
    <x v="19"/>
    <x v="2"/>
    <x v="100"/>
    <n v="0"/>
  </r>
  <r>
    <s v="FINAL0722_BANK_HE1"/>
    <s v="BELUGA RIVER"/>
    <x v="19"/>
    <x v="2"/>
    <x v="101"/>
    <n v="0"/>
  </r>
  <r>
    <s v="FINAL0722_BANK_HE1"/>
    <s v="BELUGA RIVER"/>
    <x v="19"/>
    <x v="2"/>
    <x v="102"/>
    <n v="0"/>
  </r>
  <r>
    <s v="FINAL0722_BANK_HE1"/>
    <s v="BELUGA RIVER"/>
    <x v="19"/>
    <x v="2"/>
    <x v="103"/>
    <n v="0"/>
  </r>
  <r>
    <s v="FINAL0722_BANK_HE1"/>
    <s v="BELUGA RIVER"/>
    <x v="19"/>
    <x v="2"/>
    <x v="104"/>
    <n v="0"/>
  </r>
  <r>
    <s v="FINAL0722_BANK_HE1"/>
    <s v="BELUGA RIVER"/>
    <x v="19"/>
    <x v="2"/>
    <x v="105"/>
    <n v="0"/>
  </r>
  <r>
    <s v="FINAL0722_BANK_HE1"/>
    <s v="BELUGA RIVER"/>
    <x v="19"/>
    <x v="2"/>
    <x v="106"/>
    <n v="0"/>
  </r>
  <r>
    <s v="FINAL0722_BANK_HE1"/>
    <s v="BELUGA RIVER"/>
    <x v="19"/>
    <x v="2"/>
    <x v="107"/>
    <n v="0"/>
  </r>
  <r>
    <s v="FINAL0722_BANK_HE1"/>
    <s v="BELUGA RIVER"/>
    <x v="19"/>
    <x v="2"/>
    <x v="108"/>
    <n v="0"/>
  </r>
  <r>
    <s v="FINAL0722_BANK_HE1"/>
    <s v="BELUGA RIVER"/>
    <x v="19"/>
    <x v="2"/>
    <x v="109"/>
    <n v="0"/>
  </r>
  <r>
    <s v="FINAL0722_BANK_HE1"/>
    <s v="BELUGA RIVER"/>
    <x v="19"/>
    <x v="2"/>
    <x v="110"/>
    <n v="0"/>
  </r>
  <r>
    <s v="FINAL0722_BANK_HE1"/>
    <s v="BELUGA RIVER"/>
    <x v="19"/>
    <x v="2"/>
    <x v="111"/>
    <n v="0"/>
  </r>
  <r>
    <s v="FINAL0722_BANK_HE1"/>
    <s v="BELUGA RIVER"/>
    <x v="19"/>
    <x v="2"/>
    <x v="112"/>
    <n v="0"/>
  </r>
  <r>
    <s v="FINAL0722_BANK_HE1"/>
    <s v="BELUGA RIVER"/>
    <x v="19"/>
    <x v="2"/>
    <x v="113"/>
    <n v="0"/>
  </r>
  <r>
    <s v="FINAL0722_BANK_HE1"/>
    <s v="BELUGA RIVER"/>
    <x v="19"/>
    <x v="2"/>
    <x v="114"/>
    <n v="0"/>
  </r>
  <r>
    <s v="FINAL0722_BANK_HE1"/>
    <s v="BELUGA RIVER"/>
    <x v="19"/>
    <x v="2"/>
    <x v="115"/>
    <n v="0"/>
  </r>
  <r>
    <s v="FINAL0722_BANK_HE1"/>
    <s v="BELUGA RIVER"/>
    <x v="19"/>
    <x v="2"/>
    <x v="116"/>
    <n v="243333.359375"/>
  </r>
  <r>
    <s v="FINAL0722_BANK_HE1"/>
    <s v="BELUGA RIVER"/>
    <x v="19"/>
    <x v="2"/>
    <x v="117"/>
    <n v="243333.359375"/>
  </r>
  <r>
    <s v="FINAL0722_BANK_HE1"/>
    <s v="BELUGA RIVER"/>
    <x v="19"/>
    <x v="2"/>
    <x v="118"/>
    <n v="243333.359375"/>
  </r>
  <r>
    <s v="FINAL0722_BANK_HE1"/>
    <s v="BELUGA RIVER"/>
    <x v="19"/>
    <x v="2"/>
    <x v="119"/>
    <n v="243333.359375"/>
  </r>
  <r>
    <s v="FINAL0722_BANK_HE1"/>
    <s v="BELUGA RIVER"/>
    <x v="19"/>
    <x v="2"/>
    <x v="120"/>
    <n v="243333.359375"/>
  </r>
  <r>
    <s v="FINAL0722_BANK_HE1"/>
    <s v="BELUGA RIVER"/>
    <x v="19"/>
    <x v="2"/>
    <x v="121"/>
    <n v="243333.359375"/>
  </r>
  <r>
    <s v="FINAL0722_BANK_HE1"/>
    <s v="BELUGA RIVER"/>
    <x v="19"/>
    <x v="2"/>
    <x v="122"/>
    <n v="243333.359375"/>
  </r>
  <r>
    <s v="FINAL0722_BANK_HE1"/>
    <s v="BELUGA RIVER"/>
    <x v="19"/>
    <x v="2"/>
    <x v="123"/>
    <n v="243333.359375"/>
  </r>
  <r>
    <s v="FINAL0722_BANK_HE1"/>
    <s v="BELUGA RIVER"/>
    <x v="19"/>
    <x v="2"/>
    <x v="124"/>
    <n v="243333.359375"/>
  </r>
  <r>
    <s v="FINAL0722_BANK_HE1"/>
    <s v="BELUGA RIVER"/>
    <x v="19"/>
    <x v="2"/>
    <x v="125"/>
    <n v="243333.359375"/>
  </r>
  <r>
    <s v="FINAL0722_BANK_HE1"/>
    <s v="BELUGA RIVER"/>
    <x v="19"/>
    <x v="2"/>
    <x v="126"/>
    <n v="243333.359375"/>
  </r>
  <r>
    <s v="FINAL0722_BANK_HE1"/>
    <s v="BELUGA RIVER"/>
    <x v="19"/>
    <x v="2"/>
    <x v="127"/>
    <n v="243333.359375"/>
  </r>
  <r>
    <s v="FINAL0722_BANK_HE1"/>
    <s v="BELUGA RIVER"/>
    <x v="19"/>
    <x v="2"/>
    <x v="128"/>
    <n v="243333.359375"/>
  </r>
  <r>
    <s v="FINAL0722_BANK_HE1"/>
    <s v="BELUGA RIVER"/>
    <x v="19"/>
    <x v="2"/>
    <x v="129"/>
    <n v="243333.359375"/>
  </r>
  <r>
    <s v="FINAL0722_BANK_HE1"/>
    <s v="BELUGA RIVER"/>
    <x v="19"/>
    <x v="2"/>
    <x v="130"/>
    <n v="243333.359375"/>
  </r>
  <r>
    <s v="FINAL0722_BANK_HE1"/>
    <s v="BELUGA RIVER"/>
    <x v="19"/>
    <x v="2"/>
    <x v="131"/>
    <n v="243333.359375"/>
  </r>
  <r>
    <s v="FINAL0722_BANK_HE1"/>
    <s v="BELUGA RIVER"/>
    <x v="19"/>
    <x v="2"/>
    <x v="132"/>
    <n v="243333.359375"/>
  </r>
  <r>
    <s v="FINAL0722_BANK_HE1"/>
    <s v="BELUGA RIVER"/>
    <x v="19"/>
    <x v="2"/>
    <x v="133"/>
    <n v="238968.234375"/>
  </r>
  <r>
    <s v="FINAL0722_BANK_HE1"/>
    <s v="BELUGA RIVER"/>
    <x v="19"/>
    <x v="2"/>
    <x v="134"/>
    <n v="230446.1875"/>
  </r>
  <r>
    <s v="FINAL0722_BANK_HE1"/>
    <s v="BELUGA RIVER"/>
    <x v="19"/>
    <x v="2"/>
    <x v="135"/>
    <n v="222228.046875"/>
  </r>
  <r>
    <s v="FINAL0722_BANK_HE1"/>
    <s v="BELUGA RIVER"/>
    <x v="19"/>
    <x v="2"/>
    <x v="136"/>
    <n v="214302.984375"/>
  </r>
  <r>
    <s v="FINAL0722_BANK_HE1"/>
    <s v="BELUGA RIVER"/>
    <x v="19"/>
    <x v="2"/>
    <x v="137"/>
    <n v="206660.546875"/>
  </r>
  <r>
    <s v="FINAL0722_BANK_HE1"/>
    <s v="BELUGA RIVER"/>
    <x v="19"/>
    <x v="2"/>
    <x v="138"/>
    <n v="199290.65625"/>
  </r>
  <r>
    <s v="FINAL0722_BANK_HE1"/>
    <s v="BELUGA RIVER"/>
    <x v="19"/>
    <x v="2"/>
    <x v="139"/>
    <n v="192183.578125"/>
  </r>
  <r>
    <s v="FINAL0722_BANK_HE1"/>
    <s v="BELUGA RIVER"/>
    <x v="19"/>
    <x v="2"/>
    <x v="140"/>
    <n v="185329.953125"/>
  </r>
  <r>
    <s v="FINAL0722_BANK_HE1"/>
    <s v="BELUGA RIVER"/>
    <x v="19"/>
    <x v="2"/>
    <x v="141"/>
    <n v="178720.75"/>
  </r>
  <r>
    <s v="FINAL0722_BANK_HE1"/>
    <s v="BELUGA RIVER"/>
    <x v="19"/>
    <x v="2"/>
    <x v="142"/>
    <n v="172347.234375"/>
  </r>
  <r>
    <s v="FINAL0722_BANK_HE1"/>
    <s v="BELUGA RIVER"/>
    <x v="19"/>
    <x v="2"/>
    <x v="143"/>
    <n v="166201.015625"/>
  </r>
  <r>
    <s v="FINAL0722_BANK_HE1"/>
    <s v="BELUGA RIVER"/>
    <x v="19"/>
    <x v="2"/>
    <x v="144"/>
    <n v="160273.984375"/>
  </r>
  <r>
    <s v="FINAL0722_BANK_HE1"/>
    <s v="BELUGA RIVER"/>
    <x v="19"/>
    <x v="2"/>
    <x v="145"/>
    <n v="154558.3125"/>
  </r>
  <r>
    <s v="FINAL0722_BANK_HE1"/>
    <s v="BELUGA RIVER"/>
    <x v="19"/>
    <x v="2"/>
    <x v="146"/>
    <n v="149046.484375"/>
  </r>
  <r>
    <s v="FINAL0722_BANK_HE1"/>
    <s v="BELUGA RIVER"/>
    <x v="19"/>
    <x v="2"/>
    <x v="147"/>
    <n v="143731.21875"/>
  </r>
  <r>
    <s v="FINAL0722_BANK_HE1"/>
    <s v="BELUGA RIVER"/>
    <x v="19"/>
    <x v="2"/>
    <x v="148"/>
    <n v="138605.5"/>
  </r>
  <r>
    <s v="FINAL0722_BANK_HE1"/>
    <s v="BELUGA RIVER"/>
    <x v="19"/>
    <x v="2"/>
    <x v="149"/>
    <n v="133662.578125"/>
  </r>
  <r>
    <s v="FINAL0722_BANK_HE1"/>
    <s v="BELUGA RIVER"/>
    <x v="19"/>
    <x v="2"/>
    <x v="150"/>
    <n v="128895.921875"/>
  </r>
  <r>
    <s v="FINAL0722_BANK_HE1"/>
    <s v="BELUGA RIVER"/>
    <x v="19"/>
    <x v="2"/>
    <x v="151"/>
    <n v="124299.2578125"/>
  </r>
  <r>
    <s v="FINAL0722_BANK_HE1"/>
    <s v="BELUGA RIVER"/>
    <x v="19"/>
    <x v="2"/>
    <x v="152"/>
    <n v="119866.515625"/>
  </r>
  <r>
    <s v="FINAL0722_BANK_HE1"/>
    <s v="BELUGA RIVER"/>
    <x v="19"/>
    <x v="2"/>
    <x v="153"/>
    <n v="115591.859375"/>
  </r>
  <r>
    <s v="FINAL0722_BANK_HE1"/>
    <s v="BELUGA RIVER"/>
    <x v="19"/>
    <x v="2"/>
    <x v="154"/>
    <n v="111469.640625"/>
  </r>
  <r>
    <s v="FINAL0722_BANK_HE1"/>
    <s v="BELUGA RIVER"/>
    <x v="19"/>
    <x v="2"/>
    <x v="155"/>
    <n v="107494.4296875"/>
  </r>
  <r>
    <s v="FINAL0722_BANK_HE1"/>
    <s v="BELUGA RIVER"/>
    <x v="19"/>
    <x v="2"/>
    <x v="156"/>
    <n v="103660.984375"/>
  </r>
  <r>
    <s v="FINAL0722_BANK_HE1"/>
    <s v="BELUGA RIVER"/>
    <x v="19"/>
    <x v="2"/>
    <x v="157"/>
    <n v="99964.2421875"/>
  </r>
  <r>
    <s v="FINAL0722_BANK_HE1"/>
    <s v="BELUGA RIVER"/>
    <x v="19"/>
    <x v="2"/>
    <x v="158"/>
    <n v="96399.3359375"/>
  </r>
  <r>
    <s v="FINAL0722_BANK_HE1"/>
    <s v="BELUGA RIVER"/>
    <x v="19"/>
    <x v="2"/>
    <x v="159"/>
    <n v="92961.5625"/>
  </r>
  <r>
    <s v="FINAL0722_BANK_HE1"/>
    <s v="BELUGA RIVER"/>
    <x v="19"/>
    <x v="2"/>
    <x v="160"/>
    <n v="89646.3828125"/>
  </r>
  <r>
    <s v="FINAL0722_BANK_HE1"/>
    <s v="BELUGA RIVER"/>
    <x v="19"/>
    <x v="2"/>
    <x v="161"/>
    <n v="86449.4296875"/>
  </r>
  <r>
    <s v="FINAL0722_BANK_HE1"/>
    <s v="BELUGA RIVER"/>
    <x v="20"/>
    <x v="1"/>
    <x v="0"/>
    <n v="0"/>
  </r>
  <r>
    <s v="FINAL0722_BANK_HE1"/>
    <s v="BELUGA RIVER"/>
    <x v="20"/>
    <x v="1"/>
    <x v="1"/>
    <n v="0"/>
  </r>
  <r>
    <s v="FINAL0722_BANK_HE1"/>
    <s v="BELUGA RIVER"/>
    <x v="20"/>
    <x v="1"/>
    <x v="2"/>
    <n v="0"/>
  </r>
  <r>
    <s v="FINAL0722_BANK_HE1"/>
    <s v="BELUGA RIVER"/>
    <x v="20"/>
    <x v="1"/>
    <x v="3"/>
    <n v="0"/>
  </r>
  <r>
    <s v="FINAL0722_BANK_HE1"/>
    <s v="BELUGA RIVER"/>
    <x v="20"/>
    <x v="1"/>
    <x v="4"/>
    <n v="0"/>
  </r>
  <r>
    <s v="FINAL0722_BANK_HE1"/>
    <s v="BELUGA RIVER"/>
    <x v="20"/>
    <x v="1"/>
    <x v="5"/>
    <n v="0"/>
  </r>
  <r>
    <s v="FINAL0722_BANK_HE1"/>
    <s v="BELUGA RIVER"/>
    <x v="20"/>
    <x v="1"/>
    <x v="6"/>
    <n v="0"/>
  </r>
  <r>
    <s v="FINAL0722_BANK_HE1"/>
    <s v="BELUGA RIVER"/>
    <x v="20"/>
    <x v="1"/>
    <x v="7"/>
    <n v="0"/>
  </r>
  <r>
    <s v="FINAL0722_BANK_HE1"/>
    <s v="BELUGA RIVER"/>
    <x v="20"/>
    <x v="1"/>
    <x v="8"/>
    <n v="0"/>
  </r>
  <r>
    <s v="FINAL0722_BANK_HE1"/>
    <s v="BELUGA RIVER"/>
    <x v="20"/>
    <x v="1"/>
    <x v="9"/>
    <n v="0"/>
  </r>
  <r>
    <s v="FINAL0722_BANK_HE1"/>
    <s v="BELUGA RIVER"/>
    <x v="20"/>
    <x v="1"/>
    <x v="10"/>
    <n v="0"/>
  </r>
  <r>
    <s v="FINAL0722_BANK_HE1"/>
    <s v="BELUGA RIVER"/>
    <x v="20"/>
    <x v="1"/>
    <x v="11"/>
    <n v="0"/>
  </r>
  <r>
    <s v="FINAL0722_BANK_HE1"/>
    <s v="BELUGA RIVER"/>
    <x v="20"/>
    <x v="1"/>
    <x v="12"/>
    <n v="0"/>
  </r>
  <r>
    <s v="FINAL0722_BANK_HE1"/>
    <s v="BELUGA RIVER"/>
    <x v="20"/>
    <x v="1"/>
    <x v="13"/>
    <n v="0"/>
  </r>
  <r>
    <s v="FINAL0722_BANK_HE1"/>
    <s v="BELUGA RIVER"/>
    <x v="20"/>
    <x v="1"/>
    <x v="14"/>
    <n v="0"/>
  </r>
  <r>
    <s v="FINAL0722_BANK_HE1"/>
    <s v="BELUGA RIVER"/>
    <x v="20"/>
    <x v="1"/>
    <x v="15"/>
    <n v="0"/>
  </r>
  <r>
    <s v="FINAL0722_BANK_HE1"/>
    <s v="BELUGA RIVER"/>
    <x v="20"/>
    <x v="1"/>
    <x v="16"/>
    <n v="0"/>
  </r>
  <r>
    <s v="FINAL0722_BANK_HE1"/>
    <s v="BELUGA RIVER"/>
    <x v="20"/>
    <x v="1"/>
    <x v="17"/>
    <n v="0"/>
  </r>
  <r>
    <s v="FINAL0722_BANK_HE1"/>
    <s v="BELUGA RIVER"/>
    <x v="20"/>
    <x v="1"/>
    <x v="18"/>
    <n v="0"/>
  </r>
  <r>
    <s v="FINAL0722_BANK_HE1"/>
    <s v="BELUGA RIVER"/>
    <x v="20"/>
    <x v="1"/>
    <x v="19"/>
    <n v="0"/>
  </r>
  <r>
    <s v="FINAL0722_BANK_HE1"/>
    <s v="BELUGA RIVER"/>
    <x v="20"/>
    <x v="1"/>
    <x v="20"/>
    <n v="0"/>
  </r>
  <r>
    <s v="FINAL0722_BANK_HE1"/>
    <s v="BELUGA RIVER"/>
    <x v="20"/>
    <x v="1"/>
    <x v="21"/>
    <n v="0"/>
  </r>
  <r>
    <s v="FINAL0722_BANK_HE1"/>
    <s v="BELUGA RIVER"/>
    <x v="20"/>
    <x v="1"/>
    <x v="22"/>
    <n v="0"/>
  </r>
  <r>
    <s v="FINAL0722_BANK_HE1"/>
    <s v="BELUGA RIVER"/>
    <x v="20"/>
    <x v="1"/>
    <x v="23"/>
    <n v="0"/>
  </r>
  <r>
    <s v="FINAL0722_BANK_HE1"/>
    <s v="BELUGA RIVER"/>
    <x v="20"/>
    <x v="1"/>
    <x v="24"/>
    <n v="0"/>
  </r>
  <r>
    <s v="FINAL0722_BANK_HE1"/>
    <s v="BELUGA RIVER"/>
    <x v="20"/>
    <x v="1"/>
    <x v="25"/>
    <n v="0"/>
  </r>
  <r>
    <s v="FINAL0722_BANK_HE1"/>
    <s v="BELUGA RIVER"/>
    <x v="20"/>
    <x v="1"/>
    <x v="26"/>
    <n v="0"/>
  </r>
  <r>
    <s v="FINAL0722_BANK_HE1"/>
    <s v="BELUGA RIVER"/>
    <x v="20"/>
    <x v="1"/>
    <x v="27"/>
    <n v="0"/>
  </r>
  <r>
    <s v="FINAL0722_BANK_HE1"/>
    <s v="BELUGA RIVER"/>
    <x v="20"/>
    <x v="1"/>
    <x v="28"/>
    <n v="0"/>
  </r>
  <r>
    <s v="FINAL0722_BANK_HE1"/>
    <s v="BELUGA RIVER"/>
    <x v="20"/>
    <x v="1"/>
    <x v="29"/>
    <n v="0"/>
  </r>
  <r>
    <s v="FINAL0722_BANK_HE1"/>
    <s v="BELUGA RIVER"/>
    <x v="20"/>
    <x v="1"/>
    <x v="30"/>
    <n v="0"/>
  </r>
  <r>
    <s v="FINAL0722_BANK_HE1"/>
    <s v="BELUGA RIVER"/>
    <x v="20"/>
    <x v="1"/>
    <x v="31"/>
    <n v="0"/>
  </r>
  <r>
    <s v="FINAL0722_BANK_HE1"/>
    <s v="BELUGA RIVER"/>
    <x v="20"/>
    <x v="1"/>
    <x v="32"/>
    <n v="0"/>
  </r>
  <r>
    <s v="FINAL0722_BANK_HE1"/>
    <s v="BELUGA RIVER"/>
    <x v="20"/>
    <x v="1"/>
    <x v="33"/>
    <n v="0"/>
  </r>
  <r>
    <s v="FINAL0722_BANK_HE1"/>
    <s v="BELUGA RIVER"/>
    <x v="20"/>
    <x v="1"/>
    <x v="34"/>
    <n v="0"/>
  </r>
  <r>
    <s v="FINAL0722_BANK_HE1"/>
    <s v="BELUGA RIVER"/>
    <x v="20"/>
    <x v="1"/>
    <x v="35"/>
    <n v="0"/>
  </r>
  <r>
    <s v="FINAL0722_BANK_HE1"/>
    <s v="BELUGA RIVER"/>
    <x v="20"/>
    <x v="1"/>
    <x v="36"/>
    <n v="0"/>
  </r>
  <r>
    <s v="FINAL0722_BANK_HE1"/>
    <s v="BELUGA RIVER"/>
    <x v="20"/>
    <x v="1"/>
    <x v="37"/>
    <n v="0"/>
  </r>
  <r>
    <s v="FINAL0722_BANK_HE1"/>
    <s v="BELUGA RIVER"/>
    <x v="20"/>
    <x v="1"/>
    <x v="38"/>
    <n v="0"/>
  </r>
  <r>
    <s v="FINAL0722_BANK_HE1"/>
    <s v="BELUGA RIVER"/>
    <x v="20"/>
    <x v="1"/>
    <x v="39"/>
    <n v="0"/>
  </r>
  <r>
    <s v="FINAL0722_BANK_HE1"/>
    <s v="BELUGA RIVER"/>
    <x v="20"/>
    <x v="1"/>
    <x v="40"/>
    <n v="0"/>
  </r>
  <r>
    <s v="FINAL0722_BANK_HE1"/>
    <s v="BELUGA RIVER"/>
    <x v="20"/>
    <x v="1"/>
    <x v="41"/>
    <n v="0"/>
  </r>
  <r>
    <s v="FINAL0722_BANK_HE1"/>
    <s v="BELUGA RIVER"/>
    <x v="20"/>
    <x v="1"/>
    <x v="42"/>
    <n v="0"/>
  </r>
  <r>
    <s v="FINAL0722_BANK_HE1"/>
    <s v="BELUGA RIVER"/>
    <x v="20"/>
    <x v="1"/>
    <x v="43"/>
    <n v="0"/>
  </r>
  <r>
    <s v="FINAL0722_BANK_HE1"/>
    <s v="BELUGA RIVER"/>
    <x v="20"/>
    <x v="1"/>
    <x v="44"/>
    <n v="0"/>
  </r>
  <r>
    <s v="FINAL0722_BANK_HE1"/>
    <s v="BELUGA RIVER"/>
    <x v="20"/>
    <x v="1"/>
    <x v="45"/>
    <n v="0"/>
  </r>
  <r>
    <s v="FINAL0722_BANK_HE1"/>
    <s v="BELUGA RIVER"/>
    <x v="20"/>
    <x v="1"/>
    <x v="46"/>
    <n v="0"/>
  </r>
  <r>
    <s v="FINAL0722_BANK_HE1"/>
    <s v="BELUGA RIVER"/>
    <x v="20"/>
    <x v="1"/>
    <x v="47"/>
    <n v="0"/>
  </r>
  <r>
    <s v="FINAL0722_BANK_HE1"/>
    <s v="BELUGA RIVER"/>
    <x v="20"/>
    <x v="1"/>
    <x v="48"/>
    <n v="0"/>
  </r>
  <r>
    <s v="FINAL0722_BANK_HE1"/>
    <s v="BELUGA RIVER"/>
    <x v="20"/>
    <x v="1"/>
    <x v="49"/>
    <n v="0"/>
  </r>
  <r>
    <s v="FINAL0722_BANK_HE1"/>
    <s v="BELUGA RIVER"/>
    <x v="20"/>
    <x v="1"/>
    <x v="50"/>
    <n v="0"/>
  </r>
  <r>
    <s v="FINAL0722_BANK_HE1"/>
    <s v="BELUGA RIVER"/>
    <x v="20"/>
    <x v="1"/>
    <x v="51"/>
    <n v="0"/>
  </r>
  <r>
    <s v="FINAL0722_BANK_HE1"/>
    <s v="BELUGA RIVER"/>
    <x v="20"/>
    <x v="1"/>
    <x v="52"/>
    <n v="0"/>
  </r>
  <r>
    <s v="FINAL0722_BANK_HE1"/>
    <s v="BELUGA RIVER"/>
    <x v="20"/>
    <x v="1"/>
    <x v="53"/>
    <n v="0"/>
  </r>
  <r>
    <s v="FINAL0722_BANK_HE1"/>
    <s v="BELUGA RIVER"/>
    <x v="20"/>
    <x v="1"/>
    <x v="54"/>
    <n v="0"/>
  </r>
  <r>
    <s v="FINAL0722_BANK_HE1"/>
    <s v="BELUGA RIVER"/>
    <x v="20"/>
    <x v="1"/>
    <x v="55"/>
    <n v="0"/>
  </r>
  <r>
    <s v="FINAL0722_BANK_HE1"/>
    <s v="BELUGA RIVER"/>
    <x v="20"/>
    <x v="1"/>
    <x v="56"/>
    <n v="243333.359375"/>
  </r>
  <r>
    <s v="FINAL0722_BANK_HE1"/>
    <s v="BELUGA RIVER"/>
    <x v="20"/>
    <x v="1"/>
    <x v="57"/>
    <n v="243333.359375"/>
  </r>
  <r>
    <s v="FINAL0722_BANK_HE1"/>
    <s v="BELUGA RIVER"/>
    <x v="20"/>
    <x v="1"/>
    <x v="58"/>
    <n v="243333.359375"/>
  </r>
  <r>
    <s v="FINAL0722_BANK_HE1"/>
    <s v="BELUGA RIVER"/>
    <x v="20"/>
    <x v="1"/>
    <x v="59"/>
    <n v="243333.359375"/>
  </r>
  <r>
    <s v="FINAL0722_BANK_HE1"/>
    <s v="BELUGA RIVER"/>
    <x v="20"/>
    <x v="1"/>
    <x v="60"/>
    <n v="243333.359375"/>
  </r>
  <r>
    <s v="FINAL0722_BANK_HE1"/>
    <s v="BELUGA RIVER"/>
    <x v="20"/>
    <x v="1"/>
    <x v="61"/>
    <n v="243333.359375"/>
  </r>
  <r>
    <s v="FINAL0722_BANK_HE1"/>
    <s v="BELUGA RIVER"/>
    <x v="20"/>
    <x v="1"/>
    <x v="62"/>
    <n v="243333.359375"/>
  </r>
  <r>
    <s v="FINAL0722_BANK_HE1"/>
    <s v="BELUGA RIVER"/>
    <x v="20"/>
    <x v="1"/>
    <x v="63"/>
    <n v="243333.359375"/>
  </r>
  <r>
    <s v="FINAL0722_BANK_HE1"/>
    <s v="BELUGA RIVER"/>
    <x v="20"/>
    <x v="1"/>
    <x v="64"/>
    <n v="243333.359375"/>
  </r>
  <r>
    <s v="FINAL0722_BANK_HE1"/>
    <s v="BELUGA RIVER"/>
    <x v="20"/>
    <x v="1"/>
    <x v="65"/>
    <n v="243333.359375"/>
  </r>
  <r>
    <s v="FINAL0722_BANK_HE1"/>
    <s v="BELUGA RIVER"/>
    <x v="20"/>
    <x v="1"/>
    <x v="66"/>
    <n v="243333.359375"/>
  </r>
  <r>
    <s v="FINAL0722_BANK_HE1"/>
    <s v="BELUGA RIVER"/>
    <x v="20"/>
    <x v="1"/>
    <x v="67"/>
    <n v="243333.359375"/>
  </r>
  <r>
    <s v="FINAL0722_BANK_HE1"/>
    <s v="BELUGA RIVER"/>
    <x v="20"/>
    <x v="1"/>
    <x v="68"/>
    <n v="243333.359375"/>
  </r>
  <r>
    <s v="FINAL0722_BANK_HE1"/>
    <s v="BELUGA RIVER"/>
    <x v="20"/>
    <x v="1"/>
    <x v="69"/>
    <n v="243333.359375"/>
  </r>
  <r>
    <s v="FINAL0722_BANK_HE1"/>
    <s v="BELUGA RIVER"/>
    <x v="20"/>
    <x v="1"/>
    <x v="70"/>
    <n v="243333.359375"/>
  </r>
  <r>
    <s v="FINAL0722_BANK_HE1"/>
    <s v="BELUGA RIVER"/>
    <x v="20"/>
    <x v="1"/>
    <x v="71"/>
    <n v="243333.359375"/>
  </r>
  <r>
    <s v="FINAL0722_BANK_HE1"/>
    <s v="BELUGA RIVER"/>
    <x v="20"/>
    <x v="1"/>
    <x v="72"/>
    <n v="243333.359375"/>
  </r>
  <r>
    <s v="FINAL0722_BANK_HE1"/>
    <s v="BELUGA RIVER"/>
    <x v="20"/>
    <x v="1"/>
    <x v="73"/>
    <n v="238968.234375"/>
  </r>
  <r>
    <s v="FINAL0722_BANK_HE1"/>
    <s v="BELUGA RIVER"/>
    <x v="20"/>
    <x v="1"/>
    <x v="74"/>
    <n v="230446.1875"/>
  </r>
  <r>
    <s v="FINAL0722_BANK_HE1"/>
    <s v="BELUGA RIVER"/>
    <x v="20"/>
    <x v="1"/>
    <x v="75"/>
    <n v="222228.046875"/>
  </r>
  <r>
    <s v="FINAL0722_BANK_HE1"/>
    <s v="BELUGA RIVER"/>
    <x v="20"/>
    <x v="1"/>
    <x v="76"/>
    <n v="214302.984375"/>
  </r>
  <r>
    <s v="FINAL0722_BANK_HE1"/>
    <s v="BELUGA RIVER"/>
    <x v="20"/>
    <x v="1"/>
    <x v="77"/>
    <n v="206660.546875"/>
  </r>
  <r>
    <s v="FINAL0722_BANK_HE1"/>
    <s v="BELUGA RIVER"/>
    <x v="20"/>
    <x v="1"/>
    <x v="78"/>
    <n v="199290.65625"/>
  </r>
  <r>
    <s v="FINAL0722_BANK_HE1"/>
    <s v="BELUGA RIVER"/>
    <x v="20"/>
    <x v="1"/>
    <x v="79"/>
    <n v="192183.578125"/>
  </r>
  <r>
    <s v="FINAL0722_BANK_HE1"/>
    <s v="BELUGA RIVER"/>
    <x v="20"/>
    <x v="1"/>
    <x v="80"/>
    <n v="185329.953125"/>
  </r>
  <r>
    <s v="FINAL0722_BANK_HE1"/>
    <s v="BELUGA RIVER"/>
    <x v="20"/>
    <x v="1"/>
    <x v="81"/>
    <n v="178720.75"/>
  </r>
  <r>
    <s v="FINAL0722_BANK_HE1"/>
    <s v="BELUGA RIVER"/>
    <x v="20"/>
    <x v="1"/>
    <x v="82"/>
    <n v="172347.234375"/>
  </r>
  <r>
    <s v="FINAL0722_BANK_HE1"/>
    <s v="BELUGA RIVER"/>
    <x v="20"/>
    <x v="1"/>
    <x v="83"/>
    <n v="166201.015625"/>
  </r>
  <r>
    <s v="FINAL0722_BANK_HE1"/>
    <s v="BELUGA RIVER"/>
    <x v="20"/>
    <x v="1"/>
    <x v="84"/>
    <n v="160273.984375"/>
  </r>
  <r>
    <s v="FINAL0722_BANK_HE1"/>
    <s v="BELUGA RIVER"/>
    <x v="20"/>
    <x v="1"/>
    <x v="85"/>
    <n v="154558.3125"/>
  </r>
  <r>
    <s v="FINAL0722_BANK_HE1"/>
    <s v="BELUGA RIVER"/>
    <x v="20"/>
    <x v="1"/>
    <x v="86"/>
    <n v="149046.484375"/>
  </r>
  <r>
    <s v="FINAL0722_BANK_HE1"/>
    <s v="BELUGA RIVER"/>
    <x v="20"/>
    <x v="1"/>
    <x v="87"/>
    <n v="143731.21875"/>
  </r>
  <r>
    <s v="FINAL0722_BANK_HE1"/>
    <s v="BELUGA RIVER"/>
    <x v="20"/>
    <x v="1"/>
    <x v="88"/>
    <n v="138605.5"/>
  </r>
  <r>
    <s v="FINAL0722_BANK_HE1"/>
    <s v="BELUGA RIVER"/>
    <x v="20"/>
    <x v="1"/>
    <x v="89"/>
    <n v="133662.578125"/>
  </r>
  <r>
    <s v="FINAL0722_BANK_HE1"/>
    <s v="BELUGA RIVER"/>
    <x v="20"/>
    <x v="1"/>
    <x v="90"/>
    <n v="128895.921875"/>
  </r>
  <r>
    <s v="FINAL0722_BANK_HE1"/>
    <s v="BELUGA RIVER"/>
    <x v="20"/>
    <x v="1"/>
    <x v="91"/>
    <n v="124299.2578125"/>
  </r>
  <r>
    <s v="FINAL0722_BANK_HE1"/>
    <s v="BELUGA RIVER"/>
    <x v="20"/>
    <x v="1"/>
    <x v="92"/>
    <n v="119866.515625"/>
  </r>
  <r>
    <s v="FINAL0722_BANK_HE1"/>
    <s v="BELUGA RIVER"/>
    <x v="20"/>
    <x v="1"/>
    <x v="93"/>
    <n v="115591.859375"/>
  </r>
  <r>
    <s v="FINAL0722_BANK_HE1"/>
    <s v="BELUGA RIVER"/>
    <x v="20"/>
    <x v="1"/>
    <x v="94"/>
    <n v="111469.640625"/>
  </r>
  <r>
    <s v="FINAL0722_BANK_HE1"/>
    <s v="BELUGA RIVER"/>
    <x v="20"/>
    <x v="1"/>
    <x v="95"/>
    <n v="107494.4296875"/>
  </r>
  <r>
    <s v="FINAL0722_BANK_HE1"/>
    <s v="BELUGA RIVER"/>
    <x v="20"/>
    <x v="1"/>
    <x v="96"/>
    <n v="103660.984375"/>
  </r>
  <r>
    <s v="FINAL0722_BANK_HE1"/>
    <s v="BELUGA RIVER"/>
    <x v="20"/>
    <x v="1"/>
    <x v="97"/>
    <n v="99964.2421875"/>
  </r>
  <r>
    <s v="FINAL0722_BANK_HE1"/>
    <s v="BELUGA RIVER"/>
    <x v="20"/>
    <x v="1"/>
    <x v="98"/>
    <n v="96399.3359375"/>
  </r>
  <r>
    <s v="FINAL0722_BANK_HE1"/>
    <s v="BELUGA RIVER"/>
    <x v="20"/>
    <x v="1"/>
    <x v="99"/>
    <n v="92961.5625"/>
  </r>
  <r>
    <s v="FINAL0722_BANK_HE1"/>
    <s v="BELUGA RIVER"/>
    <x v="20"/>
    <x v="1"/>
    <x v="100"/>
    <n v="89646.3828125"/>
  </r>
  <r>
    <s v="FINAL0722_BANK_HE1"/>
    <s v="BELUGA RIVER"/>
    <x v="20"/>
    <x v="1"/>
    <x v="101"/>
    <n v="86449.4296875"/>
  </r>
  <r>
    <s v="FINAL0722_BANK_HE1"/>
    <s v="BELUGA RIVER"/>
    <x v="20"/>
    <x v="1"/>
    <x v="102"/>
    <n v="83366.484375"/>
  </r>
  <r>
    <s v="FINAL0722_BANK_HE1"/>
    <s v="BELUGA RIVER"/>
    <x v="20"/>
    <x v="1"/>
    <x v="103"/>
    <n v="80393.484375"/>
  </r>
  <r>
    <s v="FINAL0722_BANK_HE1"/>
    <s v="BELUGA RIVER"/>
    <x v="20"/>
    <x v="1"/>
    <x v="104"/>
    <n v="77526.5078125"/>
  </r>
  <r>
    <s v="FINAL0722_BANK_HE1"/>
    <s v="BELUGA RIVER"/>
    <x v="20"/>
    <x v="1"/>
    <x v="105"/>
    <n v="74761.7734375"/>
  </r>
  <r>
    <s v="FINAL0722_BANK_HE1"/>
    <s v="BELUGA RIVER"/>
    <x v="20"/>
    <x v="1"/>
    <x v="106"/>
    <n v="72095.6328125"/>
  </r>
  <r>
    <s v="FINAL0722_BANK_HE1"/>
    <s v="BELUGA RIVER"/>
    <x v="20"/>
    <x v="1"/>
    <x v="107"/>
    <n v="69524.5703125"/>
  </r>
  <r>
    <s v="FINAL0722_BANK_HE1"/>
    <s v="BELUGA RIVER"/>
    <x v="20"/>
    <x v="1"/>
    <x v="108"/>
    <n v="67045.1953125"/>
  </r>
  <r>
    <s v="FINAL0722_BANK_HE1"/>
    <s v="BELUGA RIVER"/>
    <x v="20"/>
    <x v="1"/>
    <x v="109"/>
    <n v="64654.2421875"/>
  </r>
  <r>
    <s v="FINAL0722_BANK_HE1"/>
    <s v="BELUGA RIVER"/>
    <x v="20"/>
    <x v="1"/>
    <x v="110"/>
    <n v="62348.5546875"/>
  </r>
  <r>
    <s v="FINAL0722_BANK_HE1"/>
    <s v="BELUGA RIVER"/>
    <x v="20"/>
    <x v="1"/>
    <x v="111"/>
    <n v="60125.08984375"/>
  </r>
  <r>
    <s v="FINAL0722_BANK_HE1"/>
    <s v="BELUGA RIVER"/>
    <x v="20"/>
    <x v="1"/>
    <x v="112"/>
    <n v="57980.91796875"/>
  </r>
  <r>
    <s v="FINAL0722_BANK_HE1"/>
    <s v="BELUGA RIVER"/>
    <x v="20"/>
    <x v="1"/>
    <x v="113"/>
    <n v="55913.2109375"/>
  </r>
  <r>
    <s v="FINAL0722_BANK_HE1"/>
    <s v="BELUGA RIVER"/>
    <x v="20"/>
    <x v="1"/>
    <x v="114"/>
    <n v="53919.2421875"/>
  </r>
  <r>
    <s v="FINAL0722_BANK_HE1"/>
    <s v="BELUGA RIVER"/>
    <x v="20"/>
    <x v="1"/>
    <x v="115"/>
    <n v="51996.3828125"/>
  </r>
  <r>
    <s v="FINAL0722_BANK_HE1"/>
    <s v="BELUGA RIVER"/>
    <x v="20"/>
    <x v="1"/>
    <x v="116"/>
    <n v="50142.09765625"/>
  </r>
  <r>
    <s v="FINAL0722_BANK_HE1"/>
    <s v="BELUGA RIVER"/>
    <x v="20"/>
    <x v="1"/>
    <x v="117"/>
    <n v="48353.9375"/>
  </r>
  <r>
    <s v="FINAL0722_BANK_HE1"/>
    <s v="BELUGA RIVER"/>
    <x v="20"/>
    <x v="1"/>
    <x v="118"/>
    <n v="46629.546875"/>
  </r>
  <r>
    <s v="FINAL0722_BANK_HE1"/>
    <s v="BELUGA RIVER"/>
    <x v="20"/>
    <x v="1"/>
    <x v="119"/>
    <n v="44966.65234375"/>
  </r>
  <r>
    <s v="FINAL0722_BANK_HE1"/>
    <s v="BELUGA RIVER"/>
    <x v="20"/>
    <x v="1"/>
    <x v="120"/>
    <n v="43363.05859375"/>
  </r>
  <r>
    <s v="FINAL0722_BANK_HE1"/>
    <s v="BELUGA RIVER"/>
    <x v="20"/>
    <x v="1"/>
    <x v="121"/>
    <n v="41816.65234375"/>
  </r>
  <r>
    <s v="FINAL0722_BANK_HE1"/>
    <s v="BELUGA RIVER"/>
    <x v="20"/>
    <x v="1"/>
    <x v="122"/>
    <n v="40325.39453125"/>
  </r>
  <r>
    <s v="FINAL0722_BANK_HE1"/>
    <s v="BELUGA RIVER"/>
    <x v="20"/>
    <x v="1"/>
    <x v="123"/>
    <n v="38887.31640625"/>
  </r>
  <r>
    <s v="FINAL0722_BANK_HE1"/>
    <s v="BELUGA RIVER"/>
    <x v="20"/>
    <x v="1"/>
    <x v="124"/>
    <n v="37500.5234375"/>
  </r>
  <r>
    <s v="FINAL0722_BANK_HE1"/>
    <s v="BELUGA RIVER"/>
    <x v="20"/>
    <x v="1"/>
    <x v="125"/>
    <n v="36163.1875"/>
  </r>
  <r>
    <s v="FINAL0722_BANK_HE1"/>
    <s v="BELUGA RIVER"/>
    <x v="20"/>
    <x v="1"/>
    <x v="126"/>
    <n v="34873.54296875"/>
  </r>
  <r>
    <s v="FINAL0722_BANK_HE1"/>
    <s v="BELUGA RIVER"/>
    <x v="20"/>
    <x v="1"/>
    <x v="127"/>
    <n v="33629.88671875"/>
  </r>
  <r>
    <s v="FINAL0722_BANK_HE1"/>
    <s v="BELUGA RIVER"/>
    <x v="20"/>
    <x v="1"/>
    <x v="128"/>
    <n v="32430.583984375"/>
  </r>
  <r>
    <s v="FINAL0722_BANK_HE1"/>
    <s v="BELUGA RIVER"/>
    <x v="20"/>
    <x v="1"/>
    <x v="129"/>
    <n v="31274.05078125"/>
  </r>
  <r>
    <s v="FINAL0722_BANK_HE1"/>
    <s v="BELUGA RIVER"/>
    <x v="20"/>
    <x v="1"/>
    <x v="130"/>
    <n v="8069"/>
  </r>
  <r>
    <s v="FINAL0722_BANK_HE1"/>
    <s v="BELUGA RIVER"/>
    <x v="21"/>
    <x v="1"/>
    <x v="0"/>
    <n v="0"/>
  </r>
  <r>
    <s v="FINAL0722_BANK_HE1"/>
    <s v="BELUGA RIVER"/>
    <x v="21"/>
    <x v="1"/>
    <x v="1"/>
    <n v="0"/>
  </r>
  <r>
    <s v="FINAL0722_BANK_HE1"/>
    <s v="BELUGA RIVER"/>
    <x v="21"/>
    <x v="1"/>
    <x v="2"/>
    <n v="0"/>
  </r>
  <r>
    <s v="FINAL0722_BANK_HE1"/>
    <s v="BELUGA RIVER"/>
    <x v="21"/>
    <x v="1"/>
    <x v="3"/>
    <n v="0"/>
  </r>
  <r>
    <s v="FINAL0722_BANK_HE1"/>
    <s v="BELUGA RIVER"/>
    <x v="21"/>
    <x v="1"/>
    <x v="4"/>
    <n v="0"/>
  </r>
  <r>
    <s v="FINAL0722_BANK_HE1"/>
    <s v="BELUGA RIVER"/>
    <x v="21"/>
    <x v="1"/>
    <x v="5"/>
    <n v="0"/>
  </r>
  <r>
    <s v="FINAL0722_BANK_HE1"/>
    <s v="BELUGA RIVER"/>
    <x v="21"/>
    <x v="1"/>
    <x v="6"/>
    <n v="0"/>
  </r>
  <r>
    <s v="FINAL0722_BANK_HE1"/>
    <s v="BELUGA RIVER"/>
    <x v="21"/>
    <x v="1"/>
    <x v="7"/>
    <n v="0"/>
  </r>
  <r>
    <s v="FINAL0722_BANK_HE1"/>
    <s v="BELUGA RIVER"/>
    <x v="21"/>
    <x v="1"/>
    <x v="8"/>
    <n v="0"/>
  </r>
  <r>
    <s v="FINAL0722_BANK_HE1"/>
    <s v="BELUGA RIVER"/>
    <x v="21"/>
    <x v="1"/>
    <x v="9"/>
    <n v="0"/>
  </r>
  <r>
    <s v="FINAL0722_BANK_HE1"/>
    <s v="BELUGA RIVER"/>
    <x v="21"/>
    <x v="1"/>
    <x v="10"/>
    <n v="0"/>
  </r>
  <r>
    <s v="FINAL0722_BANK_HE1"/>
    <s v="BELUGA RIVER"/>
    <x v="21"/>
    <x v="1"/>
    <x v="11"/>
    <n v="0"/>
  </r>
  <r>
    <s v="FINAL0722_BANK_HE1"/>
    <s v="BELUGA RIVER"/>
    <x v="21"/>
    <x v="1"/>
    <x v="12"/>
    <n v="0"/>
  </r>
  <r>
    <s v="FINAL0722_BANK_HE1"/>
    <s v="BELUGA RIVER"/>
    <x v="21"/>
    <x v="1"/>
    <x v="13"/>
    <n v="0"/>
  </r>
  <r>
    <s v="FINAL0722_BANK_HE1"/>
    <s v="BELUGA RIVER"/>
    <x v="21"/>
    <x v="1"/>
    <x v="14"/>
    <n v="0"/>
  </r>
  <r>
    <s v="FINAL0722_BANK_HE1"/>
    <s v="BELUGA RIVER"/>
    <x v="21"/>
    <x v="1"/>
    <x v="15"/>
    <n v="0"/>
  </r>
  <r>
    <s v="FINAL0722_BANK_HE1"/>
    <s v="BELUGA RIVER"/>
    <x v="21"/>
    <x v="1"/>
    <x v="16"/>
    <n v="0"/>
  </r>
  <r>
    <s v="FINAL0722_BANK_HE1"/>
    <s v="BELUGA RIVER"/>
    <x v="21"/>
    <x v="1"/>
    <x v="17"/>
    <n v="0"/>
  </r>
  <r>
    <s v="FINAL0722_BANK_HE1"/>
    <s v="BELUGA RIVER"/>
    <x v="21"/>
    <x v="1"/>
    <x v="18"/>
    <n v="0"/>
  </r>
  <r>
    <s v="FINAL0722_BANK_HE1"/>
    <s v="BELUGA RIVER"/>
    <x v="21"/>
    <x v="1"/>
    <x v="19"/>
    <n v="0"/>
  </r>
  <r>
    <s v="FINAL0722_BANK_HE1"/>
    <s v="BELUGA RIVER"/>
    <x v="21"/>
    <x v="1"/>
    <x v="20"/>
    <n v="0"/>
  </r>
  <r>
    <s v="FINAL0722_BANK_HE1"/>
    <s v="BELUGA RIVER"/>
    <x v="21"/>
    <x v="1"/>
    <x v="21"/>
    <n v="0"/>
  </r>
  <r>
    <s v="FINAL0722_BANK_HE1"/>
    <s v="BELUGA RIVER"/>
    <x v="21"/>
    <x v="1"/>
    <x v="22"/>
    <n v="0"/>
  </r>
  <r>
    <s v="FINAL0722_BANK_HE1"/>
    <s v="BELUGA RIVER"/>
    <x v="21"/>
    <x v="1"/>
    <x v="23"/>
    <n v="0"/>
  </r>
  <r>
    <s v="FINAL0722_BANK_HE1"/>
    <s v="BELUGA RIVER"/>
    <x v="21"/>
    <x v="1"/>
    <x v="24"/>
    <n v="0"/>
  </r>
  <r>
    <s v="FINAL0722_BANK_HE1"/>
    <s v="BELUGA RIVER"/>
    <x v="21"/>
    <x v="1"/>
    <x v="25"/>
    <n v="0"/>
  </r>
  <r>
    <s v="FINAL0722_BANK_HE1"/>
    <s v="BELUGA RIVER"/>
    <x v="21"/>
    <x v="1"/>
    <x v="26"/>
    <n v="0"/>
  </r>
  <r>
    <s v="FINAL0722_BANK_HE1"/>
    <s v="BELUGA RIVER"/>
    <x v="21"/>
    <x v="1"/>
    <x v="27"/>
    <n v="0"/>
  </r>
  <r>
    <s v="FINAL0722_BANK_HE1"/>
    <s v="BELUGA RIVER"/>
    <x v="21"/>
    <x v="1"/>
    <x v="28"/>
    <n v="0"/>
  </r>
  <r>
    <s v="FINAL0722_BANK_HE1"/>
    <s v="BELUGA RIVER"/>
    <x v="21"/>
    <x v="1"/>
    <x v="29"/>
    <n v="0"/>
  </r>
  <r>
    <s v="FINAL0722_BANK_HE1"/>
    <s v="BELUGA RIVER"/>
    <x v="21"/>
    <x v="1"/>
    <x v="30"/>
    <n v="0"/>
  </r>
  <r>
    <s v="FINAL0722_BANK_HE1"/>
    <s v="BELUGA RIVER"/>
    <x v="21"/>
    <x v="1"/>
    <x v="31"/>
    <n v="0"/>
  </r>
  <r>
    <s v="FINAL0722_BANK_HE1"/>
    <s v="BELUGA RIVER"/>
    <x v="21"/>
    <x v="1"/>
    <x v="32"/>
    <n v="0"/>
  </r>
  <r>
    <s v="FINAL0722_BANK_HE1"/>
    <s v="BELUGA RIVER"/>
    <x v="21"/>
    <x v="1"/>
    <x v="33"/>
    <n v="0"/>
  </r>
  <r>
    <s v="FINAL0722_BANK_HE1"/>
    <s v="BELUGA RIVER"/>
    <x v="21"/>
    <x v="1"/>
    <x v="34"/>
    <n v="0"/>
  </r>
  <r>
    <s v="FINAL0722_BANK_HE1"/>
    <s v="BELUGA RIVER"/>
    <x v="21"/>
    <x v="1"/>
    <x v="35"/>
    <n v="0"/>
  </r>
  <r>
    <s v="FINAL0722_BANK_HE1"/>
    <s v="BELUGA RIVER"/>
    <x v="21"/>
    <x v="1"/>
    <x v="36"/>
    <n v="0"/>
  </r>
  <r>
    <s v="FINAL0722_BANK_HE1"/>
    <s v="BELUGA RIVER"/>
    <x v="21"/>
    <x v="1"/>
    <x v="37"/>
    <n v="0"/>
  </r>
  <r>
    <s v="FINAL0722_BANK_HE1"/>
    <s v="BELUGA RIVER"/>
    <x v="21"/>
    <x v="1"/>
    <x v="38"/>
    <n v="0"/>
  </r>
  <r>
    <s v="FINAL0722_BANK_HE1"/>
    <s v="BELUGA RIVER"/>
    <x v="21"/>
    <x v="1"/>
    <x v="39"/>
    <n v="0"/>
  </r>
  <r>
    <s v="FINAL0722_BANK_HE1"/>
    <s v="BELUGA RIVER"/>
    <x v="21"/>
    <x v="1"/>
    <x v="40"/>
    <n v="0"/>
  </r>
  <r>
    <s v="FINAL0722_BANK_HE1"/>
    <s v="BELUGA RIVER"/>
    <x v="21"/>
    <x v="1"/>
    <x v="41"/>
    <n v="0"/>
  </r>
  <r>
    <s v="FINAL0722_BANK_HE1"/>
    <s v="BELUGA RIVER"/>
    <x v="21"/>
    <x v="1"/>
    <x v="42"/>
    <n v="0"/>
  </r>
  <r>
    <s v="FINAL0722_BANK_HE1"/>
    <s v="BELUGA RIVER"/>
    <x v="21"/>
    <x v="1"/>
    <x v="43"/>
    <n v="0"/>
  </r>
  <r>
    <s v="FINAL0722_BANK_HE1"/>
    <s v="BELUGA RIVER"/>
    <x v="21"/>
    <x v="1"/>
    <x v="44"/>
    <n v="0"/>
  </r>
  <r>
    <s v="FINAL0722_BANK_HE1"/>
    <s v="BELUGA RIVER"/>
    <x v="21"/>
    <x v="1"/>
    <x v="45"/>
    <n v="0"/>
  </r>
  <r>
    <s v="FINAL0722_BANK_HE1"/>
    <s v="BELUGA RIVER"/>
    <x v="21"/>
    <x v="1"/>
    <x v="46"/>
    <n v="0"/>
  </r>
  <r>
    <s v="FINAL0722_BANK_HE1"/>
    <s v="BELUGA RIVER"/>
    <x v="21"/>
    <x v="1"/>
    <x v="47"/>
    <n v="0"/>
  </r>
  <r>
    <s v="FINAL0722_BANK_HE1"/>
    <s v="BELUGA RIVER"/>
    <x v="21"/>
    <x v="1"/>
    <x v="48"/>
    <n v="0"/>
  </r>
  <r>
    <s v="FINAL0722_BANK_HE1"/>
    <s v="BELUGA RIVER"/>
    <x v="21"/>
    <x v="1"/>
    <x v="49"/>
    <n v="0"/>
  </r>
  <r>
    <s v="FINAL0722_BANK_HE1"/>
    <s v="BELUGA RIVER"/>
    <x v="21"/>
    <x v="1"/>
    <x v="50"/>
    <n v="0"/>
  </r>
  <r>
    <s v="FINAL0722_BANK_HE1"/>
    <s v="BELUGA RIVER"/>
    <x v="21"/>
    <x v="1"/>
    <x v="51"/>
    <n v="0"/>
  </r>
  <r>
    <s v="FINAL0722_BANK_HE1"/>
    <s v="BELUGA RIVER"/>
    <x v="21"/>
    <x v="1"/>
    <x v="52"/>
    <n v="0"/>
  </r>
  <r>
    <s v="FINAL0722_BANK_HE1"/>
    <s v="BELUGA RIVER"/>
    <x v="21"/>
    <x v="1"/>
    <x v="53"/>
    <n v="0"/>
  </r>
  <r>
    <s v="FINAL0722_BANK_HE1"/>
    <s v="BELUGA RIVER"/>
    <x v="21"/>
    <x v="1"/>
    <x v="54"/>
    <n v="0"/>
  </r>
  <r>
    <s v="FINAL0722_BANK_HE1"/>
    <s v="BELUGA RIVER"/>
    <x v="21"/>
    <x v="1"/>
    <x v="55"/>
    <n v="0"/>
  </r>
  <r>
    <s v="FINAL0722_BANK_HE1"/>
    <s v="BELUGA RIVER"/>
    <x v="21"/>
    <x v="1"/>
    <x v="56"/>
    <n v="0"/>
  </r>
  <r>
    <s v="FINAL0722_BANK_HE1"/>
    <s v="BELUGA RIVER"/>
    <x v="21"/>
    <x v="1"/>
    <x v="57"/>
    <n v="0"/>
  </r>
  <r>
    <s v="FINAL0722_BANK_HE1"/>
    <s v="BELUGA RIVER"/>
    <x v="21"/>
    <x v="1"/>
    <x v="58"/>
    <n v="0"/>
  </r>
  <r>
    <s v="FINAL0722_BANK_HE1"/>
    <s v="BELUGA RIVER"/>
    <x v="21"/>
    <x v="1"/>
    <x v="59"/>
    <n v="0"/>
  </r>
  <r>
    <s v="FINAL0722_BANK_HE1"/>
    <s v="BELUGA RIVER"/>
    <x v="21"/>
    <x v="1"/>
    <x v="60"/>
    <n v="0"/>
  </r>
  <r>
    <s v="FINAL0722_BANK_HE1"/>
    <s v="BELUGA RIVER"/>
    <x v="21"/>
    <x v="1"/>
    <x v="61"/>
    <n v="0"/>
  </r>
  <r>
    <s v="FINAL0722_BANK_HE1"/>
    <s v="BELUGA RIVER"/>
    <x v="21"/>
    <x v="1"/>
    <x v="62"/>
    <n v="0"/>
  </r>
  <r>
    <s v="FINAL0722_BANK_HE1"/>
    <s v="BELUGA RIVER"/>
    <x v="21"/>
    <x v="1"/>
    <x v="63"/>
    <n v="0"/>
  </r>
  <r>
    <s v="FINAL0722_BANK_HE1"/>
    <s v="BELUGA RIVER"/>
    <x v="21"/>
    <x v="1"/>
    <x v="64"/>
    <n v="0"/>
  </r>
  <r>
    <s v="FINAL0722_BANK_HE1"/>
    <s v="BELUGA RIVER"/>
    <x v="21"/>
    <x v="1"/>
    <x v="65"/>
    <n v="0"/>
  </r>
  <r>
    <s v="FINAL0722_BANK_HE1"/>
    <s v="BELUGA RIVER"/>
    <x v="21"/>
    <x v="1"/>
    <x v="66"/>
    <n v="0"/>
  </r>
  <r>
    <s v="FINAL0722_BANK_HE1"/>
    <s v="BELUGA RIVER"/>
    <x v="21"/>
    <x v="1"/>
    <x v="67"/>
    <n v="0"/>
  </r>
  <r>
    <s v="FINAL0722_BANK_HE1"/>
    <s v="BELUGA RIVER"/>
    <x v="21"/>
    <x v="1"/>
    <x v="68"/>
    <n v="0"/>
  </r>
  <r>
    <s v="FINAL0722_BANK_HE1"/>
    <s v="BELUGA RIVER"/>
    <x v="21"/>
    <x v="1"/>
    <x v="69"/>
    <n v="0"/>
  </r>
  <r>
    <s v="FINAL0722_BANK_HE1"/>
    <s v="BELUGA RIVER"/>
    <x v="21"/>
    <x v="1"/>
    <x v="70"/>
    <n v="243333.359375"/>
  </r>
  <r>
    <s v="FINAL0722_BANK_HE1"/>
    <s v="BELUGA RIVER"/>
    <x v="21"/>
    <x v="1"/>
    <x v="71"/>
    <n v="243333.359375"/>
  </r>
  <r>
    <s v="FINAL0722_BANK_HE1"/>
    <s v="BELUGA RIVER"/>
    <x v="21"/>
    <x v="1"/>
    <x v="72"/>
    <n v="243333.359375"/>
  </r>
  <r>
    <s v="FINAL0722_BANK_HE1"/>
    <s v="BELUGA RIVER"/>
    <x v="21"/>
    <x v="1"/>
    <x v="73"/>
    <n v="243333.359375"/>
  </r>
  <r>
    <s v="FINAL0722_BANK_HE1"/>
    <s v="BELUGA RIVER"/>
    <x v="21"/>
    <x v="1"/>
    <x v="74"/>
    <n v="243333.359375"/>
  </r>
  <r>
    <s v="FINAL0722_BANK_HE1"/>
    <s v="BELUGA RIVER"/>
    <x v="21"/>
    <x v="1"/>
    <x v="75"/>
    <n v="243333.359375"/>
  </r>
  <r>
    <s v="FINAL0722_BANK_HE1"/>
    <s v="BELUGA RIVER"/>
    <x v="21"/>
    <x v="1"/>
    <x v="76"/>
    <n v="243333.359375"/>
  </r>
  <r>
    <s v="FINAL0722_BANK_HE1"/>
    <s v="BELUGA RIVER"/>
    <x v="21"/>
    <x v="1"/>
    <x v="77"/>
    <n v="243333.359375"/>
  </r>
  <r>
    <s v="FINAL0722_BANK_HE1"/>
    <s v="BELUGA RIVER"/>
    <x v="21"/>
    <x v="1"/>
    <x v="78"/>
    <n v="243333.359375"/>
  </r>
  <r>
    <s v="FINAL0722_BANK_HE1"/>
    <s v="BELUGA RIVER"/>
    <x v="21"/>
    <x v="1"/>
    <x v="79"/>
    <n v="243333.359375"/>
  </r>
  <r>
    <s v="FINAL0722_BANK_HE1"/>
    <s v="BELUGA RIVER"/>
    <x v="21"/>
    <x v="1"/>
    <x v="80"/>
    <n v="243333.359375"/>
  </r>
  <r>
    <s v="FINAL0722_BANK_HE1"/>
    <s v="BELUGA RIVER"/>
    <x v="21"/>
    <x v="1"/>
    <x v="81"/>
    <n v="243333.359375"/>
  </r>
  <r>
    <s v="FINAL0722_BANK_HE1"/>
    <s v="BELUGA RIVER"/>
    <x v="21"/>
    <x v="1"/>
    <x v="82"/>
    <n v="243333.359375"/>
  </r>
  <r>
    <s v="FINAL0722_BANK_HE1"/>
    <s v="BELUGA RIVER"/>
    <x v="21"/>
    <x v="1"/>
    <x v="83"/>
    <n v="243333.359375"/>
  </r>
  <r>
    <s v="FINAL0722_BANK_HE1"/>
    <s v="BELUGA RIVER"/>
    <x v="21"/>
    <x v="1"/>
    <x v="84"/>
    <n v="243333.359375"/>
  </r>
  <r>
    <s v="FINAL0722_BANK_HE1"/>
    <s v="BELUGA RIVER"/>
    <x v="21"/>
    <x v="1"/>
    <x v="85"/>
    <n v="243333.359375"/>
  </r>
  <r>
    <s v="FINAL0722_BANK_HE1"/>
    <s v="BELUGA RIVER"/>
    <x v="21"/>
    <x v="1"/>
    <x v="86"/>
    <n v="243333.359375"/>
  </r>
  <r>
    <s v="FINAL0722_BANK_HE1"/>
    <s v="BELUGA RIVER"/>
    <x v="21"/>
    <x v="1"/>
    <x v="87"/>
    <n v="238968.234375"/>
  </r>
  <r>
    <s v="FINAL0722_BANK_HE1"/>
    <s v="BELUGA RIVER"/>
    <x v="21"/>
    <x v="1"/>
    <x v="88"/>
    <n v="230446.1875"/>
  </r>
  <r>
    <s v="FINAL0722_BANK_HE1"/>
    <s v="BELUGA RIVER"/>
    <x v="21"/>
    <x v="1"/>
    <x v="89"/>
    <n v="222228.046875"/>
  </r>
  <r>
    <s v="FINAL0722_BANK_HE1"/>
    <s v="BELUGA RIVER"/>
    <x v="21"/>
    <x v="1"/>
    <x v="90"/>
    <n v="214302.984375"/>
  </r>
  <r>
    <s v="FINAL0722_BANK_HE1"/>
    <s v="BELUGA RIVER"/>
    <x v="21"/>
    <x v="1"/>
    <x v="91"/>
    <n v="206660.546875"/>
  </r>
  <r>
    <s v="FINAL0722_BANK_HE1"/>
    <s v="BELUGA RIVER"/>
    <x v="21"/>
    <x v="1"/>
    <x v="92"/>
    <n v="199290.65625"/>
  </r>
  <r>
    <s v="FINAL0722_BANK_HE1"/>
    <s v="BELUGA RIVER"/>
    <x v="21"/>
    <x v="1"/>
    <x v="93"/>
    <n v="192183.578125"/>
  </r>
  <r>
    <s v="FINAL0722_BANK_HE1"/>
    <s v="BELUGA RIVER"/>
    <x v="21"/>
    <x v="1"/>
    <x v="94"/>
    <n v="185329.953125"/>
  </r>
  <r>
    <s v="FINAL0722_BANK_HE1"/>
    <s v="BELUGA RIVER"/>
    <x v="21"/>
    <x v="1"/>
    <x v="95"/>
    <n v="178720.75"/>
  </r>
  <r>
    <s v="FINAL0722_BANK_HE1"/>
    <s v="BELUGA RIVER"/>
    <x v="21"/>
    <x v="1"/>
    <x v="96"/>
    <n v="172347.234375"/>
  </r>
  <r>
    <s v="FINAL0722_BANK_HE1"/>
    <s v="BELUGA RIVER"/>
    <x v="21"/>
    <x v="1"/>
    <x v="97"/>
    <n v="166201.015625"/>
  </r>
  <r>
    <s v="FINAL0722_BANK_HE1"/>
    <s v="BELUGA RIVER"/>
    <x v="21"/>
    <x v="1"/>
    <x v="98"/>
    <n v="160273.984375"/>
  </r>
  <r>
    <s v="FINAL0722_BANK_HE1"/>
    <s v="BELUGA RIVER"/>
    <x v="21"/>
    <x v="1"/>
    <x v="99"/>
    <n v="154558.3125"/>
  </r>
  <r>
    <s v="FINAL0722_BANK_HE1"/>
    <s v="BELUGA RIVER"/>
    <x v="21"/>
    <x v="1"/>
    <x v="100"/>
    <n v="149046.484375"/>
  </r>
  <r>
    <s v="FINAL0722_BANK_HE1"/>
    <s v="BELUGA RIVER"/>
    <x v="21"/>
    <x v="1"/>
    <x v="101"/>
    <n v="143731.21875"/>
  </r>
  <r>
    <s v="FINAL0722_BANK_HE1"/>
    <s v="BELUGA RIVER"/>
    <x v="21"/>
    <x v="1"/>
    <x v="102"/>
    <n v="138605.5"/>
  </r>
  <r>
    <s v="FINAL0722_BANK_HE1"/>
    <s v="BELUGA RIVER"/>
    <x v="21"/>
    <x v="1"/>
    <x v="103"/>
    <n v="133662.578125"/>
  </r>
  <r>
    <s v="FINAL0722_BANK_HE1"/>
    <s v="BELUGA RIVER"/>
    <x v="21"/>
    <x v="1"/>
    <x v="104"/>
    <n v="128895.921875"/>
  </r>
  <r>
    <s v="FINAL0722_BANK_HE1"/>
    <s v="BELUGA RIVER"/>
    <x v="21"/>
    <x v="1"/>
    <x v="105"/>
    <n v="124299.2578125"/>
  </r>
  <r>
    <s v="FINAL0722_BANK_HE1"/>
    <s v="BELUGA RIVER"/>
    <x v="21"/>
    <x v="1"/>
    <x v="106"/>
    <n v="119866.515625"/>
  </r>
  <r>
    <s v="FINAL0722_BANK_HE1"/>
    <s v="BELUGA RIVER"/>
    <x v="21"/>
    <x v="1"/>
    <x v="107"/>
    <n v="115591.859375"/>
  </r>
  <r>
    <s v="FINAL0722_BANK_HE1"/>
    <s v="BELUGA RIVER"/>
    <x v="21"/>
    <x v="1"/>
    <x v="108"/>
    <n v="111469.640625"/>
  </r>
  <r>
    <s v="FINAL0722_BANK_HE1"/>
    <s v="BELUGA RIVER"/>
    <x v="21"/>
    <x v="1"/>
    <x v="109"/>
    <n v="107494.4296875"/>
  </r>
  <r>
    <s v="FINAL0722_BANK_HE1"/>
    <s v="BELUGA RIVER"/>
    <x v="21"/>
    <x v="1"/>
    <x v="110"/>
    <n v="103660.984375"/>
  </r>
  <r>
    <s v="FINAL0722_BANK_HE1"/>
    <s v="BELUGA RIVER"/>
    <x v="21"/>
    <x v="1"/>
    <x v="111"/>
    <n v="99964.2421875"/>
  </r>
  <r>
    <s v="FINAL0722_BANK_HE1"/>
    <s v="BELUGA RIVER"/>
    <x v="21"/>
    <x v="1"/>
    <x v="112"/>
    <n v="96399.3359375"/>
  </r>
  <r>
    <s v="FINAL0722_BANK_HE1"/>
    <s v="BELUGA RIVER"/>
    <x v="21"/>
    <x v="1"/>
    <x v="113"/>
    <n v="92961.5625"/>
  </r>
  <r>
    <s v="FINAL0722_BANK_HE1"/>
    <s v="BELUGA RIVER"/>
    <x v="21"/>
    <x v="1"/>
    <x v="114"/>
    <n v="89646.3828125"/>
  </r>
  <r>
    <s v="FINAL0722_BANK_HE1"/>
    <s v="BELUGA RIVER"/>
    <x v="21"/>
    <x v="1"/>
    <x v="115"/>
    <n v="86449.4296875"/>
  </r>
  <r>
    <s v="FINAL0722_BANK_HE1"/>
    <s v="BELUGA RIVER"/>
    <x v="21"/>
    <x v="1"/>
    <x v="116"/>
    <n v="83366.484375"/>
  </r>
  <r>
    <s v="FINAL0722_BANK_HE1"/>
    <s v="BELUGA RIVER"/>
    <x v="21"/>
    <x v="1"/>
    <x v="117"/>
    <n v="80393.484375"/>
  </r>
  <r>
    <s v="FINAL0722_BANK_HE1"/>
    <s v="BELUGA RIVER"/>
    <x v="21"/>
    <x v="1"/>
    <x v="118"/>
    <n v="77526.5078125"/>
  </r>
  <r>
    <s v="FINAL0722_BANK_HE1"/>
    <s v="BELUGA RIVER"/>
    <x v="21"/>
    <x v="1"/>
    <x v="119"/>
    <n v="74761.7734375"/>
  </r>
  <r>
    <s v="FINAL0722_BANK_HE1"/>
    <s v="BELUGA RIVER"/>
    <x v="21"/>
    <x v="1"/>
    <x v="120"/>
    <n v="72095.6328125"/>
  </r>
  <r>
    <s v="FINAL0722_BANK_HE1"/>
    <s v="BELUGA RIVER"/>
    <x v="21"/>
    <x v="1"/>
    <x v="121"/>
    <n v="69524.5703125"/>
  </r>
  <r>
    <s v="FINAL0722_BANK_HE1"/>
    <s v="BELUGA RIVER"/>
    <x v="21"/>
    <x v="1"/>
    <x v="122"/>
    <n v="67045.1953125"/>
  </r>
  <r>
    <s v="FINAL0722_BANK_HE1"/>
    <s v="BELUGA RIVER"/>
    <x v="21"/>
    <x v="1"/>
    <x v="123"/>
    <n v="64654.2421875"/>
  </r>
  <r>
    <s v="FINAL0722_BANK_HE1"/>
    <s v="BELUGA RIVER"/>
    <x v="21"/>
    <x v="1"/>
    <x v="124"/>
    <n v="62348.5546875"/>
  </r>
  <r>
    <s v="FINAL0722_BANK_HE1"/>
    <s v="BELUGA RIVER"/>
    <x v="21"/>
    <x v="1"/>
    <x v="125"/>
    <n v="60125.08984375"/>
  </r>
  <r>
    <s v="FINAL0722_BANK_HE1"/>
    <s v="BELUGA RIVER"/>
    <x v="21"/>
    <x v="1"/>
    <x v="126"/>
    <n v="57980.91796875"/>
  </r>
  <r>
    <s v="FINAL0722_BANK_HE1"/>
    <s v="BELUGA RIVER"/>
    <x v="21"/>
    <x v="1"/>
    <x v="127"/>
    <n v="55913.2109375"/>
  </r>
  <r>
    <s v="FINAL0722_BANK_HE1"/>
    <s v="BELUGA RIVER"/>
    <x v="21"/>
    <x v="1"/>
    <x v="128"/>
    <n v="53919.2421875"/>
  </r>
  <r>
    <s v="FINAL0722_BANK_HE1"/>
    <s v="BELUGA RIVER"/>
    <x v="21"/>
    <x v="1"/>
    <x v="129"/>
    <n v="51996.3828125"/>
  </r>
  <r>
    <s v="FINAL0722_BANK_HE1"/>
    <s v="BELUGA RIVER"/>
    <x v="21"/>
    <x v="1"/>
    <x v="130"/>
    <n v="50142.09765625"/>
  </r>
  <r>
    <s v="FINAL0722_BANK_HE1"/>
    <s v="BELUGA RIVER"/>
    <x v="21"/>
    <x v="1"/>
    <x v="131"/>
    <n v="48353.9375"/>
  </r>
  <r>
    <s v="FINAL0722_BANK_HE1"/>
    <s v="BELUGA RIVER"/>
    <x v="21"/>
    <x v="1"/>
    <x v="132"/>
    <n v="46629.546875"/>
  </r>
  <r>
    <s v="FINAL0722_BANK_HE1"/>
    <s v="BELUGA RIVER"/>
    <x v="21"/>
    <x v="1"/>
    <x v="133"/>
    <n v="44966.65234375"/>
  </r>
  <r>
    <s v="FINAL0722_BANK_HE1"/>
    <s v="BELUGA RIVER"/>
    <x v="21"/>
    <x v="1"/>
    <x v="134"/>
    <n v="43363.05859375"/>
  </r>
  <r>
    <s v="FINAL0722_BANK_HE1"/>
    <s v="BELUGA RIVER"/>
    <x v="21"/>
    <x v="1"/>
    <x v="135"/>
    <n v="41816.65234375"/>
  </r>
  <r>
    <s v="FINAL0722_BANK_HE1"/>
    <s v="BELUGA RIVER"/>
    <x v="21"/>
    <x v="1"/>
    <x v="136"/>
    <n v="40325.39453125"/>
  </r>
  <r>
    <s v="FINAL0722_BANK_HE1"/>
    <s v="BELUGA RIVER"/>
    <x v="21"/>
    <x v="1"/>
    <x v="137"/>
    <n v="38887.31640625"/>
  </r>
  <r>
    <s v="FINAL0722_BANK_HE1"/>
    <s v="BELUGA RIVER"/>
    <x v="21"/>
    <x v="1"/>
    <x v="138"/>
    <n v="37500.5234375"/>
  </r>
  <r>
    <s v="FINAL0722_BANK_HE1"/>
    <s v="BELUGA RIVER"/>
    <x v="21"/>
    <x v="1"/>
    <x v="139"/>
    <n v="36163.1875"/>
  </r>
  <r>
    <s v="FINAL0722_BANK_HE1"/>
    <s v="BELUGA RIVER"/>
    <x v="21"/>
    <x v="1"/>
    <x v="140"/>
    <n v="34873.54296875"/>
  </r>
  <r>
    <s v="FINAL0722_BANK_HE1"/>
    <s v="BELUGA RIVER"/>
    <x v="21"/>
    <x v="1"/>
    <x v="141"/>
    <n v="33629.88671875"/>
  </r>
  <r>
    <s v="FINAL0722_BANK_HE1"/>
    <s v="BELUGA RIVER"/>
    <x v="21"/>
    <x v="1"/>
    <x v="142"/>
    <n v="32430.583984375"/>
  </r>
  <r>
    <s v="FINAL0722_BANK_HE1"/>
    <s v="BELUGA RIVER"/>
    <x v="21"/>
    <x v="1"/>
    <x v="143"/>
    <n v="31274.05078125"/>
  </r>
  <r>
    <s v="FINAL0722_BANK_HE1"/>
    <s v="BELUGA RIVER"/>
    <x v="21"/>
    <x v="1"/>
    <x v="144"/>
    <n v="8069"/>
  </r>
  <r>
    <s v="FINAL0722_BANK_HE1"/>
    <s v="BELUGA RIVER"/>
    <x v="22"/>
    <x v="0"/>
    <x v="0"/>
    <n v="28795.4765625"/>
  </r>
  <r>
    <s v="FINAL0722_BANK_HE1"/>
    <s v="BELUGA RIVER"/>
    <x v="22"/>
    <x v="0"/>
    <x v="1"/>
    <n v="28596.0859375"/>
  </r>
  <r>
    <s v="FINAL0722_BANK_HE1"/>
    <s v="BELUGA RIVER"/>
    <x v="22"/>
    <x v="0"/>
    <x v="2"/>
    <n v="28398.076171875"/>
  </r>
  <r>
    <s v="FINAL0722_BANK_HE1"/>
    <s v="BELUGA RIVER"/>
    <x v="22"/>
    <x v="0"/>
    <x v="3"/>
    <n v="28201.4375"/>
  </r>
  <r>
    <s v="FINAL0722_BANK_HE1"/>
    <s v="BELUGA RIVER"/>
    <x v="22"/>
    <x v="0"/>
    <x v="4"/>
    <n v="28006.16015625"/>
  </r>
  <r>
    <s v="FINAL0722_BANK_HE1"/>
    <s v="BELUGA RIVER"/>
    <x v="22"/>
    <x v="0"/>
    <x v="5"/>
    <n v="27812.234375"/>
  </r>
  <r>
    <s v="FINAL0722_BANK_HE1"/>
    <s v="BELUGA RIVER"/>
    <x v="22"/>
    <x v="0"/>
    <x v="6"/>
    <n v="27619.65234375"/>
  </r>
  <r>
    <s v="FINAL0722_BANK_HE1"/>
    <s v="BELUGA RIVER"/>
    <x v="22"/>
    <x v="0"/>
    <x v="7"/>
    <n v="27428.40234375"/>
  </r>
  <r>
    <s v="FINAL0722_BANK_HE1"/>
    <s v="BELUGA RIVER"/>
    <x v="22"/>
    <x v="0"/>
    <x v="8"/>
    <n v="27238.478515625"/>
  </r>
  <r>
    <s v="FINAL0722_BANK_HE1"/>
    <s v="BELUGA RIVER"/>
    <x v="22"/>
    <x v="0"/>
    <x v="9"/>
    <n v="27049.869140625"/>
  </r>
  <r>
    <s v="FINAL0722_BANK_HE1"/>
    <s v="BELUGA RIVER"/>
    <x v="22"/>
    <x v="0"/>
    <x v="10"/>
    <n v="26862.56640625"/>
  </r>
  <r>
    <s v="FINAL0722_BANK_HE1"/>
    <s v="BELUGA RIVER"/>
    <x v="22"/>
    <x v="0"/>
    <x v="11"/>
    <n v="26676.560546875"/>
  </r>
  <r>
    <s v="FINAL0722_BANK_HE1"/>
    <s v="BELUGA RIVER"/>
    <x v="22"/>
    <x v="0"/>
    <x v="12"/>
    <n v="26491.841796875"/>
  </r>
  <r>
    <s v="FINAL0722_BANK_HE1"/>
    <s v="BELUGA RIVER"/>
    <x v="22"/>
    <x v="0"/>
    <x v="13"/>
    <n v="26308.40234375"/>
  </r>
  <r>
    <s v="FINAL0722_BANK_HE1"/>
    <s v="BELUGA RIVER"/>
    <x v="22"/>
    <x v="0"/>
    <x v="14"/>
    <n v="26126.232421875"/>
  </r>
  <r>
    <s v="FINAL0722_BANK_HE1"/>
    <s v="BELUGA RIVER"/>
    <x v="22"/>
    <x v="0"/>
    <x v="15"/>
    <n v="25945.32421875"/>
  </r>
  <r>
    <s v="FINAL0722_BANK_HE1"/>
    <s v="BELUGA RIVER"/>
    <x v="22"/>
    <x v="0"/>
    <x v="16"/>
    <n v="25765.66796875"/>
  </r>
  <r>
    <s v="FINAL0722_BANK_HE1"/>
    <s v="BELUGA RIVER"/>
    <x v="22"/>
    <x v="0"/>
    <x v="17"/>
    <n v="25587.255859375"/>
  </r>
  <r>
    <s v="FINAL0722_BANK_HE1"/>
    <s v="BELUGA RIVER"/>
    <x v="22"/>
    <x v="0"/>
    <x v="18"/>
    <n v="25410.080078125"/>
  </r>
  <r>
    <s v="FINAL0722_BANK_HE1"/>
    <s v="BELUGA RIVER"/>
    <x v="22"/>
    <x v="0"/>
    <x v="19"/>
    <n v="25234.130859375"/>
  </r>
  <r>
    <s v="FINAL0722_BANK_HE1"/>
    <s v="BELUGA RIVER"/>
    <x v="22"/>
    <x v="0"/>
    <x v="20"/>
    <n v="25059.400390625"/>
  </r>
  <r>
    <s v="FINAL0722_BANK_HE1"/>
    <s v="BELUGA RIVER"/>
    <x v="22"/>
    <x v="0"/>
    <x v="21"/>
    <n v="24885.87890625"/>
  </r>
  <r>
    <s v="FINAL0722_BANK_HE1"/>
    <s v="BELUGA RIVER"/>
    <x v="22"/>
    <x v="0"/>
    <x v="22"/>
    <n v="24713.55859375"/>
  </r>
  <r>
    <s v="FINAL0722_BANK_HE1"/>
    <s v="BELUGA RIVER"/>
    <x v="22"/>
    <x v="0"/>
    <x v="23"/>
    <n v="24542.431640625"/>
  </r>
  <r>
    <s v="FINAL0722_BANK_HE1"/>
    <s v="BELUGA RIVER"/>
    <x v="22"/>
    <x v="0"/>
    <x v="24"/>
    <n v="24372.490234375"/>
  </r>
  <r>
    <s v="FINAL0722_BANK_HE1"/>
    <s v="BELUGA RIVER"/>
    <x v="22"/>
    <x v="0"/>
    <x v="25"/>
    <n v="24203.7265625"/>
  </r>
  <r>
    <s v="FINAL0722_BANK_HE1"/>
    <s v="BELUGA RIVER"/>
    <x v="22"/>
    <x v="0"/>
    <x v="26"/>
    <n v="24036.130859375"/>
  </r>
  <r>
    <s v="FINAL0722_BANK_HE1"/>
    <s v="BELUGA RIVER"/>
    <x v="22"/>
    <x v="0"/>
    <x v="27"/>
    <n v="23869.6953125"/>
  </r>
  <r>
    <s v="FINAL0722_BANK_HE1"/>
    <s v="BELUGA RIVER"/>
    <x v="22"/>
    <x v="0"/>
    <x v="28"/>
    <n v="23704.412109375"/>
  </r>
  <r>
    <s v="FINAL0722_BANK_HE1"/>
    <s v="BELUGA RIVER"/>
    <x v="22"/>
    <x v="0"/>
    <x v="29"/>
    <n v="23540.2734375"/>
  </r>
  <r>
    <s v="FINAL0722_BANK_HE1"/>
    <s v="BELUGA RIVER"/>
    <x v="22"/>
    <x v="0"/>
    <x v="30"/>
    <n v="23377.271484375"/>
  </r>
  <r>
    <s v="FINAL0722_BANK_HE1"/>
    <s v="BELUGA RIVER"/>
    <x v="22"/>
    <x v="0"/>
    <x v="31"/>
    <n v="23215.3984375"/>
  </r>
  <r>
    <s v="FINAL0722_BANK_HE1"/>
    <s v="BELUGA RIVER"/>
    <x v="22"/>
    <x v="0"/>
    <x v="32"/>
    <n v="23054.646484375"/>
  </r>
  <r>
    <s v="FINAL0722_BANK_HE1"/>
    <s v="BELUGA RIVER"/>
    <x v="22"/>
    <x v="0"/>
    <x v="33"/>
    <n v="22895.0078125"/>
  </r>
  <r>
    <s v="FINAL0722_BANK_HE1"/>
    <s v="BELUGA RIVER"/>
    <x v="22"/>
    <x v="0"/>
    <x v="34"/>
    <n v="22736.474609375"/>
  </r>
  <r>
    <s v="FINAL0722_BANK_HE1"/>
    <s v="BELUGA RIVER"/>
    <x v="22"/>
    <x v="0"/>
    <x v="35"/>
    <n v="22579.0390625"/>
  </r>
  <r>
    <s v="FINAL0722_BANK_HE1"/>
    <s v="BELUGA RIVER"/>
    <x v="22"/>
    <x v="0"/>
    <x v="36"/>
    <n v="22422.693359375"/>
  </r>
  <r>
    <s v="FINAL0722_BANK_HE1"/>
    <s v="BELUGA RIVER"/>
    <x v="22"/>
    <x v="0"/>
    <x v="37"/>
    <n v="22267.4296875"/>
  </r>
  <r>
    <s v="FINAL0722_BANK_HE1"/>
    <s v="BELUGA RIVER"/>
    <x v="22"/>
    <x v="0"/>
    <x v="38"/>
    <n v="22113.2421875"/>
  </r>
  <r>
    <s v="FINAL0722_BANK_HE1"/>
    <s v="BELUGA RIVER"/>
    <x v="22"/>
    <x v="0"/>
    <x v="39"/>
    <n v="21960.12109375"/>
  </r>
  <r>
    <s v="FINAL0722_BANK_HE1"/>
    <s v="BELUGA RIVER"/>
    <x v="22"/>
    <x v="0"/>
    <x v="40"/>
    <n v="21808.060546875"/>
  </r>
  <r>
    <s v="FINAL0722_BANK_HE1"/>
    <s v="BELUGA RIVER"/>
    <x v="22"/>
    <x v="0"/>
    <x v="41"/>
    <n v="21657.052734375"/>
  </r>
  <r>
    <s v="FINAL0722_BANK_HE1"/>
    <s v="BELUGA RIVER"/>
    <x v="22"/>
    <x v="0"/>
    <x v="42"/>
    <n v="21507.091796875"/>
  </r>
  <r>
    <s v="FINAL0722_BANK_HE1"/>
    <s v="BELUGA RIVER"/>
    <x v="22"/>
    <x v="0"/>
    <x v="43"/>
    <n v="21358.16796875"/>
  </r>
  <r>
    <s v="FINAL0722_BANK_HE1"/>
    <s v="BELUGA RIVER"/>
    <x v="22"/>
    <x v="0"/>
    <x v="44"/>
    <n v="21210.275390625"/>
  </r>
  <r>
    <s v="FINAL0722_BANK_HE1"/>
    <s v="BELUGA RIVER"/>
    <x v="22"/>
    <x v="0"/>
    <x v="45"/>
    <n v="21063.408203125"/>
  </r>
  <r>
    <s v="FINAL0722_BANK_HE1"/>
    <s v="BELUGA RIVER"/>
    <x v="22"/>
    <x v="0"/>
    <x v="46"/>
    <n v="20917.556640625"/>
  </r>
  <r>
    <s v="FINAL0722_BANK_HE1"/>
    <s v="BELUGA RIVER"/>
    <x v="22"/>
    <x v="0"/>
    <x v="47"/>
    <n v="20772.71484375"/>
  </r>
  <r>
    <s v="FINAL0722_BANK_HE1"/>
    <s v="BELUGA RIVER"/>
    <x v="22"/>
    <x v="0"/>
    <x v="48"/>
    <n v="20628.876953125"/>
  </r>
  <r>
    <s v="FINAL0722_BANK_HE1"/>
    <s v="BELUGA RIVER"/>
    <x v="22"/>
    <x v="0"/>
    <x v="49"/>
    <n v="20486.03515625"/>
  </r>
  <r>
    <s v="FINAL0722_BANK_HE1"/>
    <s v="BELUGA RIVER"/>
    <x v="22"/>
    <x v="0"/>
    <x v="50"/>
    <n v="20344.181640625"/>
  </r>
  <r>
    <s v="FINAL0722_BANK_HE1"/>
    <s v="BELUGA RIVER"/>
    <x v="22"/>
    <x v="0"/>
    <x v="51"/>
    <n v="20203.310546875"/>
  </r>
  <r>
    <s v="FINAL0722_BANK_HE1"/>
    <s v="BELUGA RIVER"/>
    <x v="22"/>
    <x v="0"/>
    <x v="52"/>
    <n v="20063.416015625"/>
  </r>
  <r>
    <s v="FINAL0722_BANK_HE1"/>
    <s v="BELUGA RIVER"/>
    <x v="22"/>
    <x v="0"/>
    <x v="53"/>
    <n v="19924.48828125"/>
  </r>
  <r>
    <s v="FINAL0722_BANK_HE1"/>
    <s v="BELUGA RIVER"/>
    <x v="22"/>
    <x v="0"/>
    <x v="54"/>
    <n v="19786.5234375"/>
  </r>
  <r>
    <s v="FINAL0722_BANK_HE1"/>
    <s v="BELUGA RIVER"/>
    <x v="22"/>
    <x v="0"/>
    <x v="55"/>
    <n v="19649.513671875"/>
  </r>
  <r>
    <s v="FINAL0722_BANK_HE1"/>
    <s v="BELUGA RIVER"/>
    <x v="22"/>
    <x v="0"/>
    <x v="56"/>
    <n v="19513.453125"/>
  </r>
  <r>
    <s v="FINAL0722_BANK_HE1"/>
    <s v="BELUGA RIVER"/>
    <x v="22"/>
    <x v="0"/>
    <x v="57"/>
    <n v="19378.333984375"/>
  </r>
  <r>
    <s v="FINAL0722_BANK_HE1"/>
    <s v="BELUGA RIVER"/>
    <x v="22"/>
    <x v="0"/>
    <x v="58"/>
    <n v="19244.150390625"/>
  </r>
  <r>
    <s v="FINAL0722_BANK_HE1"/>
    <s v="BELUGA RIVER"/>
    <x v="22"/>
    <x v="0"/>
    <x v="59"/>
    <n v="19110.896484375"/>
  </r>
  <r>
    <s v="FINAL0722_BANK_HE1"/>
    <s v="BELUGA RIVER"/>
    <x v="22"/>
    <x v="0"/>
    <x v="60"/>
    <n v="18978.564453125"/>
  </r>
  <r>
    <s v="FINAL0722_BANK_HE1"/>
    <s v="BELUGA RIVER"/>
    <x v="22"/>
    <x v="0"/>
    <x v="61"/>
    <n v="18847.150390625"/>
  </r>
  <r>
    <s v="FINAL0722_BANK_HE1"/>
    <s v="BELUGA RIVER"/>
    <x v="22"/>
    <x v="0"/>
    <x v="62"/>
    <n v="18716.646484375"/>
  </r>
  <r>
    <s v="FINAL0722_BANK_HE1"/>
    <s v="BELUGA RIVER"/>
    <x v="22"/>
    <x v="0"/>
    <x v="63"/>
    <n v="18587.044921875"/>
  </r>
  <r>
    <s v="FINAL0722_BANK_HE1"/>
    <s v="BELUGA RIVER"/>
    <x v="22"/>
    <x v="0"/>
    <x v="64"/>
    <n v="18458.341796875"/>
  </r>
  <r>
    <s v="FINAL0722_BANK_HE1"/>
    <s v="BELUGA RIVER"/>
    <x v="22"/>
    <x v="0"/>
    <x v="65"/>
    <n v="18330.529296875"/>
  </r>
  <r>
    <s v="FINAL0722_BANK_HE1"/>
    <s v="BELUGA RIVER"/>
    <x v="22"/>
    <x v="0"/>
    <x v="66"/>
    <n v="18203.6015625"/>
  </r>
  <r>
    <s v="FINAL0722_BANK_HE1"/>
    <s v="BELUGA RIVER"/>
    <x v="22"/>
    <x v="0"/>
    <x v="67"/>
    <n v="18077.552734375"/>
  </r>
  <r>
    <s v="FINAL0722_BANK_HE1"/>
    <s v="BELUGA RIVER"/>
    <x v="22"/>
    <x v="0"/>
    <x v="68"/>
    <n v="17952.376953125"/>
  </r>
  <r>
    <s v="FINAL0722_BANK_HE1"/>
    <s v="BELUGA RIVER"/>
    <x v="22"/>
    <x v="0"/>
    <x v="69"/>
    <n v="17828.068359375"/>
  </r>
  <r>
    <s v="FINAL0722_BANK_HE1"/>
    <s v="BELUGA RIVER"/>
    <x v="22"/>
    <x v="0"/>
    <x v="70"/>
    <n v="17704.619140625"/>
  </r>
  <r>
    <s v="FINAL0722_BANK_HE1"/>
    <s v="BELUGA RIVER"/>
    <x v="22"/>
    <x v="0"/>
    <x v="71"/>
    <n v="17582.025390625"/>
  </r>
  <r>
    <s v="FINAL0722_BANK_HE1"/>
    <s v="BELUGA RIVER"/>
    <x v="22"/>
    <x v="0"/>
    <x v="72"/>
    <n v="17460.28125"/>
  </r>
  <r>
    <s v="FINAL0722_BANK_HE1"/>
    <s v="BELUGA RIVER"/>
    <x v="22"/>
    <x v="0"/>
    <x v="73"/>
    <n v="17339.37890625"/>
  </r>
  <r>
    <s v="FINAL0722_BANK_HE1"/>
    <s v="BELUGA RIVER"/>
    <x v="22"/>
    <x v="0"/>
    <x v="74"/>
    <n v="17219.314453125"/>
  </r>
  <r>
    <s v="FINAL0722_BANK_HE1"/>
    <s v="BELUGA RIVER"/>
    <x v="22"/>
    <x v="0"/>
    <x v="75"/>
    <n v="17100.08203125"/>
  </r>
  <r>
    <s v="FINAL0722_BANK_HE1"/>
    <s v="BELUGA RIVER"/>
    <x v="22"/>
    <x v="0"/>
    <x v="76"/>
    <n v="16981.673828125"/>
  </r>
  <r>
    <s v="FINAL0722_BANK_HE1"/>
    <s v="BELUGA RIVER"/>
    <x v="22"/>
    <x v="0"/>
    <x v="77"/>
    <n v="16864.0859375"/>
  </r>
  <r>
    <s v="FINAL0722_BANK_HE1"/>
    <s v="BELUGA RIVER"/>
    <x v="22"/>
    <x v="0"/>
    <x v="78"/>
    <n v="16747.3125"/>
  </r>
  <r>
    <s v="FINAL0722_BANK_HE1"/>
    <s v="BELUGA RIVER"/>
    <x v="22"/>
    <x v="0"/>
    <x v="79"/>
    <n v="16631.34765625"/>
  </r>
  <r>
    <s v="FINAL0722_BANK_HE1"/>
    <s v="BELUGA RIVER"/>
    <x v="22"/>
    <x v="0"/>
    <x v="80"/>
    <n v="16516.185546875"/>
  </r>
  <r>
    <s v="FINAL0722_BANK_HE1"/>
    <s v="BELUGA RIVER"/>
    <x v="22"/>
    <x v="0"/>
    <x v="81"/>
    <n v="16401.8203125"/>
  </r>
  <r>
    <s v="FINAL0722_BANK_HE1"/>
    <s v="BELUGA RIVER"/>
    <x v="22"/>
    <x v="0"/>
    <x v="82"/>
    <n v="16288.248046875"/>
  </r>
  <r>
    <s v="FINAL0722_BANK_HE1"/>
    <s v="BELUGA RIVER"/>
    <x v="22"/>
    <x v="0"/>
    <x v="83"/>
    <n v="16175.4619140625"/>
  </r>
  <r>
    <s v="FINAL0722_BANK_HE1"/>
    <s v="BELUGA RIVER"/>
    <x v="22"/>
    <x v="0"/>
    <x v="84"/>
    <n v="16063.45703125"/>
  </r>
  <r>
    <s v="FINAL0722_BANK_HE1"/>
    <s v="BELUGA RIVER"/>
    <x v="22"/>
    <x v="0"/>
    <x v="85"/>
    <n v="15952.2275390625"/>
  </r>
  <r>
    <s v="FINAL0722_BANK_HE1"/>
    <s v="BELUGA RIVER"/>
    <x v="22"/>
    <x v="0"/>
    <x v="86"/>
    <n v="15841.7685546875"/>
  </r>
  <r>
    <s v="FINAL0722_BANK_HE1"/>
    <s v="BELUGA RIVER"/>
    <x v="22"/>
    <x v="0"/>
    <x v="87"/>
    <n v="15732.07421875"/>
  </r>
  <r>
    <s v="FINAL0722_BANK_HE1"/>
    <s v="BELUGA RIVER"/>
    <x v="22"/>
    <x v="0"/>
    <x v="88"/>
    <n v="15623.1396484375"/>
  </r>
  <r>
    <s v="FINAL0722_BANK_HE1"/>
    <s v="BELUGA RIVER"/>
    <x v="22"/>
    <x v="0"/>
    <x v="89"/>
    <n v="15514.958984375"/>
  </r>
  <r>
    <s v="FINAL0722_BANK_HE1"/>
    <s v="BELUGA RIVER"/>
    <x v="22"/>
    <x v="0"/>
    <x v="90"/>
    <n v="15407.52734375"/>
  </r>
  <r>
    <s v="FINAL0722_BANK_HE1"/>
    <s v="BELUGA RIVER"/>
    <x v="22"/>
    <x v="0"/>
    <x v="91"/>
    <n v="15300.83984375"/>
  </r>
  <r>
    <s v="FINAL0722_BANK_HE1"/>
    <s v="BELUGA RIVER"/>
    <x v="22"/>
    <x v="0"/>
    <x v="92"/>
    <n v="15194.890625"/>
  </r>
  <r>
    <s v="FINAL0722_BANK_HE1"/>
    <s v="BELUGA RIVER"/>
    <x v="22"/>
    <x v="0"/>
    <x v="93"/>
    <n v="15089.67578125"/>
  </r>
  <r>
    <s v="FINAL0722_BANK_HE1"/>
    <s v="BELUGA RIVER"/>
    <x v="22"/>
    <x v="0"/>
    <x v="94"/>
    <n v="14985.189453125"/>
  </r>
  <r>
    <s v="FINAL0722_BANK_HE1"/>
    <s v="BELUGA RIVER"/>
    <x v="22"/>
    <x v="0"/>
    <x v="95"/>
    <n v="14881.42578125"/>
  </r>
  <r>
    <s v="FINAL0722_BANK_HE1"/>
    <s v="BELUGA RIVER"/>
    <x v="22"/>
    <x v="0"/>
    <x v="96"/>
    <n v="14778.380859375"/>
  </r>
  <r>
    <s v="FINAL0722_BANK_HE1"/>
    <s v="BELUGA RIVER"/>
    <x v="22"/>
    <x v="0"/>
    <x v="97"/>
    <n v="14676.0498046875"/>
  </r>
  <r>
    <s v="FINAL0722_BANK_HE1"/>
    <s v="BELUGA RIVER"/>
    <x v="22"/>
    <x v="0"/>
    <x v="98"/>
    <n v="14574.4267578125"/>
  </r>
  <r>
    <s v="FINAL0722_BANK_HE1"/>
    <s v="BELUGA RIVER"/>
    <x v="22"/>
    <x v="0"/>
    <x v="99"/>
    <n v="14473.5078125"/>
  </r>
  <r>
    <s v="FINAL0722_BANK_HE1"/>
    <s v="BELUGA RIVER"/>
    <x v="22"/>
    <x v="0"/>
    <x v="100"/>
    <n v="14373.2880859375"/>
  </r>
  <r>
    <s v="FINAL0722_BANK_HE1"/>
    <s v="BELUGA RIVER"/>
    <x v="22"/>
    <x v="0"/>
    <x v="101"/>
    <n v="14273.76171875"/>
  </r>
  <r>
    <s v="FINAL0722_BANK_HE1"/>
    <s v="BELUGA RIVER"/>
    <x v="22"/>
    <x v="0"/>
    <x v="102"/>
    <n v="14174.9248046875"/>
  </r>
  <r>
    <s v="FINAL0722_BANK_HE1"/>
    <s v="BELUGA RIVER"/>
    <x v="22"/>
    <x v="0"/>
    <x v="103"/>
    <n v="14076.7724609375"/>
  </r>
  <r>
    <s v="FINAL0722_BANK_HE1"/>
    <s v="BELUGA RIVER"/>
    <x v="22"/>
    <x v="0"/>
    <x v="104"/>
    <n v="13979.2998046875"/>
  </r>
  <r>
    <s v="FINAL0722_BANK_HE1"/>
    <s v="BELUGA RIVER"/>
    <x v="22"/>
    <x v="0"/>
    <x v="105"/>
    <n v="13882.501953125"/>
  </r>
  <r>
    <s v="FINAL0722_BANK_HE1"/>
    <s v="BELUGA RIVER"/>
    <x v="22"/>
    <x v="0"/>
    <x v="106"/>
    <n v="13786.3740234375"/>
  </r>
  <r>
    <s v="FINAL0722_BANK_HE1"/>
    <s v="BELUGA RIVER"/>
    <x v="22"/>
    <x v="0"/>
    <x v="107"/>
    <n v="13690.912109375"/>
  </r>
  <r>
    <s v="FINAL0722_BANK_HE1"/>
    <s v="BELUGA RIVER"/>
    <x v="22"/>
    <x v="0"/>
    <x v="108"/>
    <n v="13596.111328125"/>
  </r>
  <r>
    <s v="FINAL0722_BANK_HE1"/>
    <s v="BELUGA RIVER"/>
    <x v="22"/>
    <x v="0"/>
    <x v="109"/>
    <n v="13501.966796875"/>
  </r>
  <r>
    <s v="FINAL0722_BANK_HE1"/>
    <s v="BELUGA RIVER"/>
    <x v="22"/>
    <x v="0"/>
    <x v="110"/>
    <n v="13408.4736328125"/>
  </r>
  <r>
    <s v="FINAL0722_BANK_HE1"/>
    <s v="BELUGA RIVER"/>
    <x v="22"/>
    <x v="0"/>
    <x v="111"/>
    <n v="13315.6279296875"/>
  </r>
  <r>
    <s v="FINAL0722_BANK_HE1"/>
    <s v="BELUGA RIVER"/>
    <x v="22"/>
    <x v="0"/>
    <x v="112"/>
    <n v="13223.42578125"/>
  </r>
  <r>
    <s v="FINAL0722_BANK_HE1"/>
    <s v="BELUGA RIVER"/>
    <x v="22"/>
    <x v="0"/>
    <x v="113"/>
    <n v="13131.861328125"/>
  </r>
  <r>
    <s v="FINAL0722_BANK_HE1"/>
    <s v="BELUGA RIVER"/>
    <x v="22"/>
    <x v="0"/>
    <x v="114"/>
    <n v="13040.931640625"/>
  </r>
  <r>
    <s v="FINAL0722_BANK_HE1"/>
    <s v="BELUGA RIVER"/>
    <x v="22"/>
    <x v="0"/>
    <x v="115"/>
    <n v="12950.630859375"/>
  </r>
  <r>
    <s v="FINAL0722_BANK_HE1"/>
    <s v="BELUGA RIVER"/>
    <x v="22"/>
    <x v="0"/>
    <x v="116"/>
    <n v="12860.9560546875"/>
  </r>
  <r>
    <s v="FINAL0722_BANK_HE1"/>
    <s v="BELUGA RIVER"/>
    <x v="22"/>
    <x v="0"/>
    <x v="117"/>
    <n v="12771.90234375"/>
  </r>
  <r>
    <s v="FINAL0722_BANK_HE1"/>
    <s v="BELUGA RIVER"/>
    <x v="22"/>
    <x v="0"/>
    <x v="118"/>
    <n v="12683.46484375"/>
  </r>
  <r>
    <s v="FINAL0722_BANK_HE1"/>
    <s v="BELUGA RIVER"/>
    <x v="22"/>
    <x v="0"/>
    <x v="119"/>
    <n v="12595.6396484375"/>
  </r>
  <r>
    <s v="FINAL0722_BANK_HE1"/>
    <s v="BELUGA RIVER"/>
    <x v="22"/>
    <x v="0"/>
    <x v="120"/>
    <n v="12508.4228515625"/>
  </r>
  <r>
    <s v="FINAL0722_BANK_HE1"/>
    <s v="BELUGA RIVER"/>
    <x v="22"/>
    <x v="0"/>
    <x v="121"/>
    <n v="12421.8095703125"/>
  </r>
  <r>
    <s v="FINAL0722_BANK_HE1"/>
    <s v="BELUGA RIVER"/>
    <x v="22"/>
    <x v="0"/>
    <x v="122"/>
    <n v="12335.7958984375"/>
  </r>
  <r>
    <s v="FINAL0722_BANK_HE1"/>
    <s v="BELUGA RIVER"/>
    <x v="22"/>
    <x v="0"/>
    <x v="123"/>
    <n v="12250.3779296875"/>
  </r>
  <r>
    <s v="FINAL0722_BANK_HE1"/>
    <s v="BELUGA RIVER"/>
    <x v="22"/>
    <x v="0"/>
    <x v="124"/>
    <n v="12165.5517578125"/>
  </r>
  <r>
    <s v="FINAL0722_BANK_HE1"/>
    <s v="BELUGA RIVER"/>
    <x v="22"/>
    <x v="0"/>
    <x v="125"/>
    <n v="12081.3125"/>
  </r>
  <r>
    <s v="FINAL0722_BANK_HE1"/>
    <s v="BELUGA RIVER"/>
    <x v="22"/>
    <x v="0"/>
    <x v="126"/>
    <n v="11997.6572265625"/>
  </r>
  <r>
    <s v="FINAL0722_BANK_HE1"/>
    <s v="BELUGA RIVER"/>
    <x v="22"/>
    <x v="0"/>
    <x v="127"/>
    <n v="11914.5810546875"/>
  </r>
  <r>
    <s v="FINAL0722_BANK_HE1"/>
    <s v="BELUGA RIVER"/>
    <x v="22"/>
    <x v="0"/>
    <x v="128"/>
    <n v="11832.080078125"/>
  </r>
  <r>
    <s v="FINAL0722_BANK_HE1"/>
    <s v="BELUGA RIVER"/>
    <x v="22"/>
    <x v="0"/>
    <x v="129"/>
    <n v="11750.150390625"/>
  </r>
  <r>
    <s v="FINAL0722_BANK_HE1"/>
    <s v="BELUGA RIVER"/>
    <x v="22"/>
    <x v="0"/>
    <x v="130"/>
    <n v="11668.7880859375"/>
  </r>
  <r>
    <s v="FINAL0722_BANK_HE1"/>
    <s v="BELUGA RIVER"/>
    <x v="22"/>
    <x v="0"/>
    <x v="131"/>
    <n v="11587.9892578125"/>
  </r>
  <r>
    <s v="FINAL0722_BANK_HE1"/>
    <s v="BELUGA RIVER"/>
    <x v="22"/>
    <x v="0"/>
    <x v="132"/>
    <n v="11507.75"/>
  </r>
  <r>
    <s v="FINAL0722_BANK_HE1"/>
    <s v="BELUGA RIVER"/>
    <x v="22"/>
    <x v="0"/>
    <x v="133"/>
    <n v="11428.06640625"/>
  </r>
  <r>
    <s v="FINAL0722_BANK_HE1"/>
    <s v="BELUGA RIVER"/>
    <x v="22"/>
    <x v="0"/>
    <x v="134"/>
    <n v="11348.9345703125"/>
  </r>
  <r>
    <s v="FINAL0722_BANK_HE1"/>
    <s v="BELUGA RIVER"/>
    <x v="22"/>
    <x v="0"/>
    <x v="135"/>
    <n v="11270.3505859375"/>
  </r>
  <r>
    <s v="FINAL0722_BANK_HE1"/>
    <s v="BELUGA RIVER"/>
    <x v="22"/>
    <x v="0"/>
    <x v="136"/>
    <n v="11192.310546875"/>
  </r>
  <r>
    <s v="FINAL0722_BANK_HE1"/>
    <s v="BELUGA RIVER"/>
    <x v="22"/>
    <x v="0"/>
    <x v="137"/>
    <n v="11114.810546875"/>
  </r>
  <r>
    <s v="FINAL0722_BANK_HE1"/>
    <s v="BELUGA RIVER"/>
    <x v="22"/>
    <x v="0"/>
    <x v="138"/>
    <n v="11037.84765625"/>
  </r>
  <r>
    <s v="FINAL0722_BANK_HE1"/>
    <s v="BELUGA RIVER"/>
    <x v="22"/>
    <x v="0"/>
    <x v="139"/>
    <n v="10961.4169921875"/>
  </r>
  <r>
    <s v="FINAL0722_BANK_HE1"/>
    <s v="BELUGA RIVER"/>
    <x v="22"/>
    <x v="0"/>
    <x v="140"/>
    <n v="10885.515625"/>
  </r>
  <r>
    <s v="FINAL0722_BANK_HE1"/>
    <s v="BELUGA RIVER"/>
    <x v="22"/>
    <x v="0"/>
    <x v="141"/>
    <n v="10810.140625"/>
  </r>
  <r>
    <s v="FINAL0722_BANK_HE1"/>
    <s v="BELUGA RIVER"/>
    <x v="22"/>
    <x v="0"/>
    <x v="142"/>
    <n v="10735.287109375"/>
  </r>
  <r>
    <s v="FINAL0722_BANK_HE1"/>
    <s v="BELUGA RIVER"/>
    <x v="22"/>
    <x v="0"/>
    <x v="143"/>
    <n v="10660.9521484375"/>
  </r>
  <r>
    <s v="FINAL0722_BANK_HE1"/>
    <s v="BELUGA RIVER"/>
    <x v="22"/>
    <x v="0"/>
    <x v="144"/>
    <n v="10587.1318359375"/>
  </r>
  <r>
    <s v="FINAL0722_BANK_HE1"/>
    <s v="BELUGA RIVER"/>
    <x v="22"/>
    <x v="0"/>
    <x v="145"/>
    <n v="10513.822265625"/>
  </r>
  <r>
    <s v="FINAL0722_BANK_HE1"/>
    <s v="BELUGA RIVER"/>
    <x v="22"/>
    <x v="0"/>
    <x v="146"/>
    <n v="10441.0205078125"/>
  </r>
  <r>
    <s v="FINAL0722_BANK_HE1"/>
    <s v="BELUGA RIVER"/>
    <x v="22"/>
    <x v="0"/>
    <x v="147"/>
    <n v="10368.72265625"/>
  </r>
  <r>
    <s v="FINAL0722_BANK_HE1"/>
    <s v="BELUGA RIVER"/>
    <x v="22"/>
    <x v="0"/>
    <x v="148"/>
    <n v="10296.92578125"/>
  </r>
  <r>
    <s v="FINAL0722_BANK_HE1"/>
    <s v="BELUGA RIVER"/>
    <x v="22"/>
    <x v="0"/>
    <x v="149"/>
    <n v="10225.6259765625"/>
  </r>
  <r>
    <s v="FINAL0722_BANK_HE1"/>
    <s v="BELUGA RIVER"/>
    <x v="22"/>
    <x v="0"/>
    <x v="150"/>
    <n v="10154.8203125"/>
  </r>
  <r>
    <s v="FINAL0722_BANK_HE1"/>
    <s v="BELUGA RIVER"/>
    <x v="22"/>
    <x v="0"/>
    <x v="151"/>
    <n v="10084.5048828125"/>
  </r>
  <r>
    <s v="FINAL0722_BANK_HE1"/>
    <s v="BELUGA RIVER"/>
    <x v="22"/>
    <x v="0"/>
    <x v="152"/>
    <n v="10014.67578125"/>
  </r>
  <r>
    <s v="FINAL0722_BANK_HE1"/>
    <s v="BELUGA RIVER"/>
    <x v="22"/>
    <x v="0"/>
    <x v="153"/>
    <n v="9945.330078125"/>
  </r>
  <r>
    <s v="FINAL0722_BANK_HE1"/>
    <s v="BELUGA RIVER"/>
    <x v="22"/>
    <x v="0"/>
    <x v="154"/>
    <n v="9876.46484375"/>
  </r>
  <r>
    <s v="FINAL0722_BANK_HE1"/>
    <s v="BELUGA RIVER"/>
    <x v="22"/>
    <x v="0"/>
    <x v="155"/>
    <n v="9808.076171875"/>
  </r>
  <r>
    <s v="FINAL0722_BANK_HE1"/>
    <s v="BELUGA RIVER"/>
    <x v="22"/>
    <x v="0"/>
    <x v="156"/>
    <n v="9740.1611328125"/>
  </r>
  <r>
    <s v="FINAL0722_BANK_HE1"/>
    <s v="BELUGA RIVER"/>
    <x v="22"/>
    <x v="0"/>
    <x v="157"/>
    <n v="9672.716796875"/>
  </r>
  <r>
    <s v="FINAL0722_BANK_HE1"/>
    <s v="BELUGA RIVER"/>
    <x v="22"/>
    <x v="0"/>
    <x v="158"/>
    <n v="9605.7392578125"/>
  </r>
  <r>
    <s v="FINAL0722_BANK_HE1"/>
    <s v="BELUGA RIVER"/>
    <x v="22"/>
    <x v="0"/>
    <x v="159"/>
    <n v="9539.2255859375"/>
  </r>
  <r>
    <s v="FINAL0722_BANK_HE1"/>
    <s v="BELUGA RIVER"/>
    <x v="22"/>
    <x v="0"/>
    <x v="160"/>
    <n v="9473.171875"/>
  </r>
  <r>
    <s v="FINAL0722_BANK_HE1"/>
    <s v="BELUGA RIVER"/>
    <x v="22"/>
    <x v="0"/>
    <x v="161"/>
    <n v="9407.576171875"/>
  </r>
  <r>
    <s v="FINAL0722_BANK_HE1"/>
    <s v="BELUGA RIVER"/>
    <x v="23"/>
    <x v="1"/>
    <x v="0"/>
    <n v="0"/>
  </r>
  <r>
    <s v="FINAL0722_BANK_HE1"/>
    <s v="BELUGA RIVER"/>
    <x v="23"/>
    <x v="1"/>
    <x v="1"/>
    <n v="0"/>
  </r>
  <r>
    <s v="FINAL0722_BANK_HE1"/>
    <s v="BELUGA RIVER"/>
    <x v="23"/>
    <x v="1"/>
    <x v="2"/>
    <n v="0"/>
  </r>
  <r>
    <s v="FINAL0722_BANK_HE1"/>
    <s v="BELUGA RIVER"/>
    <x v="23"/>
    <x v="1"/>
    <x v="3"/>
    <n v="0"/>
  </r>
  <r>
    <s v="FINAL0722_BANK_HE1"/>
    <s v="BELUGA RIVER"/>
    <x v="23"/>
    <x v="1"/>
    <x v="4"/>
    <n v="0"/>
  </r>
  <r>
    <s v="FINAL0722_BANK_HE1"/>
    <s v="BELUGA RIVER"/>
    <x v="23"/>
    <x v="1"/>
    <x v="5"/>
    <n v="0"/>
  </r>
  <r>
    <s v="FINAL0722_BANK_HE1"/>
    <s v="BELUGA RIVER"/>
    <x v="23"/>
    <x v="1"/>
    <x v="6"/>
    <n v="0"/>
  </r>
  <r>
    <s v="FINAL0722_BANK_HE1"/>
    <s v="BELUGA RIVER"/>
    <x v="23"/>
    <x v="1"/>
    <x v="7"/>
    <n v="0"/>
  </r>
  <r>
    <s v="FINAL0722_BANK_HE1"/>
    <s v="BELUGA RIVER"/>
    <x v="23"/>
    <x v="1"/>
    <x v="8"/>
    <n v="0"/>
  </r>
  <r>
    <s v="FINAL0722_BANK_HE1"/>
    <s v="BELUGA RIVER"/>
    <x v="23"/>
    <x v="1"/>
    <x v="9"/>
    <n v="0"/>
  </r>
  <r>
    <s v="FINAL0722_BANK_HE1"/>
    <s v="BELUGA RIVER"/>
    <x v="23"/>
    <x v="1"/>
    <x v="10"/>
    <n v="0"/>
  </r>
  <r>
    <s v="FINAL0722_BANK_HE1"/>
    <s v="BELUGA RIVER"/>
    <x v="23"/>
    <x v="1"/>
    <x v="11"/>
    <n v="0"/>
  </r>
  <r>
    <s v="FINAL0722_BANK_HE1"/>
    <s v="BELUGA RIVER"/>
    <x v="23"/>
    <x v="1"/>
    <x v="12"/>
    <n v="0"/>
  </r>
  <r>
    <s v="FINAL0722_BANK_HE1"/>
    <s v="BELUGA RIVER"/>
    <x v="23"/>
    <x v="1"/>
    <x v="13"/>
    <n v="0"/>
  </r>
  <r>
    <s v="FINAL0722_BANK_HE1"/>
    <s v="BELUGA RIVER"/>
    <x v="23"/>
    <x v="1"/>
    <x v="14"/>
    <n v="0"/>
  </r>
  <r>
    <s v="FINAL0722_BANK_HE1"/>
    <s v="BELUGA RIVER"/>
    <x v="23"/>
    <x v="1"/>
    <x v="15"/>
    <n v="0"/>
  </r>
  <r>
    <s v="FINAL0722_BANK_HE1"/>
    <s v="BELUGA RIVER"/>
    <x v="23"/>
    <x v="1"/>
    <x v="16"/>
    <n v="0"/>
  </r>
  <r>
    <s v="FINAL0722_BANK_HE1"/>
    <s v="BELUGA RIVER"/>
    <x v="23"/>
    <x v="1"/>
    <x v="17"/>
    <n v="0"/>
  </r>
  <r>
    <s v="FINAL0722_BANK_HE1"/>
    <s v="BELUGA RIVER"/>
    <x v="23"/>
    <x v="1"/>
    <x v="18"/>
    <n v="0"/>
  </r>
  <r>
    <s v="FINAL0722_BANK_HE1"/>
    <s v="BELUGA RIVER"/>
    <x v="23"/>
    <x v="1"/>
    <x v="19"/>
    <n v="0"/>
  </r>
  <r>
    <s v="FINAL0722_BANK_HE1"/>
    <s v="BELUGA RIVER"/>
    <x v="23"/>
    <x v="1"/>
    <x v="20"/>
    <n v="0"/>
  </r>
  <r>
    <s v="FINAL0722_BANK_HE1"/>
    <s v="BELUGA RIVER"/>
    <x v="23"/>
    <x v="1"/>
    <x v="21"/>
    <n v="0"/>
  </r>
  <r>
    <s v="FINAL0722_BANK_HE1"/>
    <s v="BELUGA RIVER"/>
    <x v="23"/>
    <x v="1"/>
    <x v="22"/>
    <n v="0"/>
  </r>
  <r>
    <s v="FINAL0722_BANK_HE1"/>
    <s v="BELUGA RIVER"/>
    <x v="23"/>
    <x v="1"/>
    <x v="23"/>
    <n v="0"/>
  </r>
  <r>
    <s v="FINAL0722_BANK_HE1"/>
    <s v="BELUGA RIVER"/>
    <x v="23"/>
    <x v="1"/>
    <x v="24"/>
    <n v="0"/>
  </r>
  <r>
    <s v="FINAL0722_BANK_HE1"/>
    <s v="BELUGA RIVER"/>
    <x v="23"/>
    <x v="1"/>
    <x v="25"/>
    <n v="0"/>
  </r>
  <r>
    <s v="FINAL0722_BANK_HE1"/>
    <s v="BELUGA RIVER"/>
    <x v="23"/>
    <x v="1"/>
    <x v="26"/>
    <n v="0"/>
  </r>
  <r>
    <s v="FINAL0722_BANK_HE1"/>
    <s v="BELUGA RIVER"/>
    <x v="23"/>
    <x v="1"/>
    <x v="27"/>
    <n v="0"/>
  </r>
  <r>
    <s v="FINAL0722_BANK_HE1"/>
    <s v="BELUGA RIVER"/>
    <x v="23"/>
    <x v="1"/>
    <x v="28"/>
    <n v="0"/>
  </r>
  <r>
    <s v="FINAL0722_BANK_HE1"/>
    <s v="BELUGA RIVER"/>
    <x v="23"/>
    <x v="1"/>
    <x v="29"/>
    <n v="0"/>
  </r>
  <r>
    <s v="FINAL0722_BANK_HE1"/>
    <s v="BELUGA RIVER"/>
    <x v="23"/>
    <x v="1"/>
    <x v="30"/>
    <n v="0"/>
  </r>
  <r>
    <s v="FINAL0722_BANK_HE1"/>
    <s v="BELUGA RIVER"/>
    <x v="23"/>
    <x v="1"/>
    <x v="31"/>
    <n v="0"/>
  </r>
  <r>
    <s v="FINAL0722_BANK_HE1"/>
    <s v="BELUGA RIVER"/>
    <x v="23"/>
    <x v="1"/>
    <x v="32"/>
    <n v="0"/>
  </r>
  <r>
    <s v="FINAL0722_BANK_HE1"/>
    <s v="BELUGA RIVER"/>
    <x v="23"/>
    <x v="1"/>
    <x v="33"/>
    <n v="0"/>
  </r>
  <r>
    <s v="FINAL0722_BANK_HE1"/>
    <s v="BELUGA RIVER"/>
    <x v="23"/>
    <x v="1"/>
    <x v="34"/>
    <n v="0"/>
  </r>
  <r>
    <s v="FINAL0722_BANK_HE1"/>
    <s v="BELUGA RIVER"/>
    <x v="23"/>
    <x v="1"/>
    <x v="35"/>
    <n v="0"/>
  </r>
  <r>
    <s v="FINAL0722_BANK_HE1"/>
    <s v="BELUGA RIVER"/>
    <x v="23"/>
    <x v="1"/>
    <x v="36"/>
    <n v="88810.59375"/>
  </r>
  <r>
    <s v="FINAL0722_BANK_HE1"/>
    <s v="BELUGA RIVER"/>
    <x v="23"/>
    <x v="1"/>
    <x v="37"/>
    <n v="86473.609375"/>
  </r>
  <r>
    <s v="FINAL0722_BANK_HE1"/>
    <s v="BELUGA RIVER"/>
    <x v="23"/>
    <x v="1"/>
    <x v="38"/>
    <n v="84198.125"/>
  </r>
  <r>
    <s v="FINAL0722_BANK_HE1"/>
    <s v="BELUGA RIVER"/>
    <x v="23"/>
    <x v="1"/>
    <x v="39"/>
    <n v="81982.515625"/>
  </r>
  <r>
    <s v="FINAL0722_BANK_HE1"/>
    <s v="BELUGA RIVER"/>
    <x v="23"/>
    <x v="1"/>
    <x v="40"/>
    <n v="79825.2109375"/>
  </r>
  <r>
    <s v="FINAL0722_BANK_HE1"/>
    <s v="BELUGA RIVER"/>
    <x v="23"/>
    <x v="1"/>
    <x v="41"/>
    <n v="77724.671875"/>
  </r>
  <r>
    <s v="FINAL0722_BANK_HE1"/>
    <s v="BELUGA RIVER"/>
    <x v="23"/>
    <x v="1"/>
    <x v="42"/>
    <n v="75679.40625"/>
  </r>
  <r>
    <s v="FINAL0722_BANK_HE1"/>
    <s v="BELUGA RIVER"/>
    <x v="23"/>
    <x v="1"/>
    <x v="43"/>
    <n v="73687.9609375"/>
  </r>
  <r>
    <s v="FINAL0722_BANK_HE1"/>
    <s v="BELUGA RIVER"/>
    <x v="23"/>
    <x v="1"/>
    <x v="44"/>
    <n v="71748.9140625"/>
  </r>
  <r>
    <s v="FINAL0722_BANK_HE1"/>
    <s v="BELUGA RIVER"/>
    <x v="23"/>
    <x v="1"/>
    <x v="45"/>
    <n v="69860.8984375"/>
  </r>
  <r>
    <s v="FINAL0722_BANK_HE1"/>
    <s v="BELUGA RIVER"/>
    <x v="23"/>
    <x v="1"/>
    <x v="46"/>
    <n v="68022.5625"/>
  </r>
  <r>
    <s v="FINAL0722_BANK_HE1"/>
    <s v="BELUGA RIVER"/>
    <x v="23"/>
    <x v="1"/>
    <x v="47"/>
    <n v="66232.6015625"/>
  </r>
  <r>
    <s v="FINAL0722_BANK_HE1"/>
    <s v="BELUGA RIVER"/>
    <x v="23"/>
    <x v="1"/>
    <x v="48"/>
    <n v="64489.7421875"/>
  </r>
  <r>
    <s v="FINAL0722_BANK_HE1"/>
    <s v="BELUGA RIVER"/>
    <x v="23"/>
    <x v="1"/>
    <x v="49"/>
    <n v="62792.7421875"/>
  </r>
  <r>
    <s v="FINAL0722_BANK_HE1"/>
    <s v="BELUGA RIVER"/>
    <x v="23"/>
    <x v="1"/>
    <x v="50"/>
    <n v="61140.3984375"/>
  </r>
  <r>
    <s v="FINAL0722_BANK_HE1"/>
    <s v="BELUGA RIVER"/>
    <x v="23"/>
    <x v="1"/>
    <x v="51"/>
    <n v="59531.53515625"/>
  </r>
  <r>
    <s v="FINAL0722_BANK_HE1"/>
    <s v="BELUGA RIVER"/>
    <x v="23"/>
    <x v="1"/>
    <x v="52"/>
    <n v="57965.0078125"/>
  </r>
  <r>
    <s v="FINAL0722_BANK_HE1"/>
    <s v="BELUGA RIVER"/>
    <x v="23"/>
    <x v="1"/>
    <x v="53"/>
    <n v="56439.703125"/>
  </r>
  <r>
    <s v="FINAL0722_BANK_HE1"/>
    <s v="BELUGA RIVER"/>
    <x v="23"/>
    <x v="1"/>
    <x v="54"/>
    <n v="54954.53515625"/>
  </r>
  <r>
    <s v="FINAL0722_BANK_HE1"/>
    <s v="BELUGA RIVER"/>
    <x v="23"/>
    <x v="1"/>
    <x v="55"/>
    <n v="53508.44921875"/>
  </r>
  <r>
    <s v="FINAL0722_BANK_HE1"/>
    <s v="BELUGA RIVER"/>
    <x v="23"/>
    <x v="1"/>
    <x v="56"/>
    <n v="52100.4140625"/>
  </r>
  <r>
    <s v="FINAL0722_BANK_HE1"/>
    <s v="BELUGA RIVER"/>
    <x v="23"/>
    <x v="1"/>
    <x v="57"/>
    <n v="50729.4296875"/>
  </r>
  <r>
    <s v="FINAL0722_BANK_HE1"/>
    <s v="BELUGA RIVER"/>
    <x v="23"/>
    <x v="1"/>
    <x v="58"/>
    <n v="49394.5234375"/>
  </r>
  <r>
    <s v="FINAL0722_BANK_HE1"/>
    <s v="BELUGA RIVER"/>
    <x v="23"/>
    <x v="1"/>
    <x v="59"/>
    <n v="48094.7421875"/>
  </r>
  <r>
    <s v="FINAL0722_BANK_HE1"/>
    <s v="BELUGA RIVER"/>
    <x v="23"/>
    <x v="1"/>
    <x v="60"/>
    <n v="46829.1640625"/>
  </r>
  <r>
    <s v="FINAL0722_BANK_HE1"/>
    <s v="BELUGA RIVER"/>
    <x v="23"/>
    <x v="1"/>
    <x v="61"/>
    <n v="45596.890625"/>
  </r>
  <r>
    <s v="FINAL0722_BANK_HE1"/>
    <s v="BELUGA RIVER"/>
    <x v="23"/>
    <x v="1"/>
    <x v="62"/>
    <n v="44397.04296875"/>
  </r>
  <r>
    <s v="FINAL0722_BANK_HE1"/>
    <s v="BELUGA RIVER"/>
    <x v="23"/>
    <x v="1"/>
    <x v="63"/>
    <n v="43228.76953125"/>
  </r>
  <r>
    <s v="FINAL0722_BANK_HE1"/>
    <s v="BELUGA RIVER"/>
    <x v="23"/>
    <x v="1"/>
    <x v="64"/>
    <n v="42091.23828125"/>
  </r>
  <r>
    <s v="FINAL0722_BANK_HE1"/>
    <s v="BELUGA RIVER"/>
    <x v="23"/>
    <x v="1"/>
    <x v="65"/>
    <n v="40983.640625"/>
  </r>
  <r>
    <s v="FINAL0722_BANK_HE1"/>
    <s v="BELUGA RIVER"/>
    <x v="23"/>
    <x v="1"/>
    <x v="66"/>
    <n v="39905.1875"/>
  </r>
  <r>
    <s v="FINAL0722_BANK_HE1"/>
    <s v="BELUGA RIVER"/>
    <x v="23"/>
    <x v="1"/>
    <x v="67"/>
    <n v="38855.11328125"/>
  </r>
  <r>
    <s v="FINAL0722_BANK_HE1"/>
    <s v="BELUGA RIVER"/>
    <x v="23"/>
    <x v="1"/>
    <x v="68"/>
    <n v="37832.671875"/>
  </r>
  <r>
    <s v="FINAL0722_BANK_HE1"/>
    <s v="BELUGA RIVER"/>
    <x v="23"/>
    <x v="1"/>
    <x v="69"/>
    <n v="36837.1328125"/>
  </r>
  <r>
    <s v="FINAL0722_BANK_HE1"/>
    <s v="BELUGA RIVER"/>
    <x v="23"/>
    <x v="1"/>
    <x v="70"/>
    <n v="35867.79296875"/>
  </r>
  <r>
    <s v="FINAL0722_BANK_HE1"/>
    <s v="BELUGA RIVER"/>
    <x v="23"/>
    <x v="1"/>
    <x v="71"/>
    <n v="34923.95703125"/>
  </r>
  <r>
    <s v="FINAL0722_BANK_HE1"/>
    <s v="BELUGA RIVER"/>
    <x v="23"/>
    <x v="1"/>
    <x v="72"/>
    <n v="34004.9609375"/>
  </r>
  <r>
    <s v="FINAL0722_BANK_HE1"/>
    <s v="BELUGA RIVER"/>
    <x v="23"/>
    <x v="1"/>
    <x v="73"/>
    <n v="33110.14453125"/>
  </r>
  <r>
    <s v="FINAL0722_BANK_HE1"/>
    <s v="BELUGA RIVER"/>
    <x v="23"/>
    <x v="1"/>
    <x v="74"/>
    <n v="32238.875"/>
  </r>
  <r>
    <s v="FINAL0722_BANK_HE1"/>
    <s v="BELUGA RIVER"/>
    <x v="23"/>
    <x v="1"/>
    <x v="75"/>
    <n v="31390.533203125"/>
  </r>
  <r>
    <s v="FINAL0722_BANK_HE1"/>
    <s v="BELUGA RIVER"/>
    <x v="23"/>
    <x v="1"/>
    <x v="76"/>
    <n v="30564.515625"/>
  </r>
  <r>
    <s v="FINAL0722_BANK_HE1"/>
    <s v="BELUGA RIVER"/>
    <x v="23"/>
    <x v="1"/>
    <x v="77"/>
    <n v="29760.232421875"/>
  </r>
  <r>
    <s v="FINAL0722_BANK_HE1"/>
    <s v="BELUGA RIVER"/>
    <x v="23"/>
    <x v="1"/>
    <x v="78"/>
    <n v="28977.11328125"/>
  </r>
  <r>
    <s v="FINAL0722_BANK_HE1"/>
    <s v="BELUGA RIVER"/>
    <x v="23"/>
    <x v="1"/>
    <x v="79"/>
    <n v="28214.6015625"/>
  </r>
  <r>
    <s v="FINAL0722_BANK_HE1"/>
    <s v="BELUGA RIVER"/>
    <x v="23"/>
    <x v="1"/>
    <x v="80"/>
    <n v="27472.15625"/>
  </r>
  <r>
    <s v="FINAL0722_BANK_HE1"/>
    <s v="BELUGA RIVER"/>
    <x v="23"/>
    <x v="1"/>
    <x v="81"/>
    <n v="26749.248046875"/>
  </r>
  <r>
    <s v="FINAL0722_BANK_HE1"/>
    <s v="BELUGA RIVER"/>
    <x v="23"/>
    <x v="1"/>
    <x v="82"/>
    <n v="26045.361328125"/>
  </r>
  <r>
    <s v="FINAL0722_BANK_HE1"/>
    <s v="BELUGA RIVER"/>
    <x v="23"/>
    <x v="1"/>
    <x v="83"/>
    <n v="25359.998046875"/>
  </r>
  <r>
    <s v="FINAL0722_BANK_HE1"/>
    <s v="BELUGA RIVER"/>
    <x v="23"/>
    <x v="1"/>
    <x v="84"/>
    <n v="24692.66796875"/>
  </r>
  <r>
    <s v="FINAL0722_BANK_HE1"/>
    <s v="BELUGA RIVER"/>
    <x v="23"/>
    <x v="1"/>
    <x v="85"/>
    <n v="24042.8984375"/>
  </r>
  <r>
    <s v="FINAL0722_BANK_HE1"/>
    <s v="BELUGA RIVER"/>
    <x v="23"/>
    <x v="1"/>
    <x v="86"/>
    <n v="23410.228515625"/>
  </r>
  <r>
    <s v="FINAL0722_BANK_HE1"/>
    <s v="BELUGA RIVER"/>
    <x v="23"/>
    <x v="1"/>
    <x v="87"/>
    <n v="22794.205078125"/>
  </r>
  <r>
    <s v="FINAL0722_BANK_HE1"/>
    <s v="BELUGA RIVER"/>
    <x v="23"/>
    <x v="1"/>
    <x v="88"/>
    <n v="22194.392578125"/>
  </r>
  <r>
    <s v="FINAL0722_BANK_HE1"/>
    <s v="BELUGA RIVER"/>
    <x v="23"/>
    <x v="1"/>
    <x v="89"/>
    <n v="21610.36328125"/>
  </r>
  <r>
    <s v="FINAL0722_BANK_HE1"/>
    <s v="BELUGA RIVER"/>
    <x v="23"/>
    <x v="1"/>
    <x v="90"/>
    <n v="21041.703125"/>
  </r>
  <r>
    <s v="FINAL0722_BANK_HE1"/>
    <s v="BELUGA RIVER"/>
    <x v="23"/>
    <x v="1"/>
    <x v="91"/>
    <n v="20488.005859375"/>
  </r>
  <r>
    <s v="FINAL0722_BANK_HE1"/>
    <s v="BELUGA RIVER"/>
    <x v="23"/>
    <x v="1"/>
    <x v="92"/>
    <n v="19948.87890625"/>
  </r>
  <r>
    <s v="FINAL0722_BANK_HE1"/>
    <s v="BELUGA RIVER"/>
    <x v="23"/>
    <x v="1"/>
    <x v="93"/>
    <n v="19423.939453125"/>
  </r>
  <r>
    <s v="FINAL0722_BANK_HE1"/>
    <s v="BELUGA RIVER"/>
    <x v="23"/>
    <x v="1"/>
    <x v="94"/>
    <n v="18912.8125"/>
  </r>
  <r>
    <s v="FINAL0722_BANK_HE1"/>
    <s v="BELUGA RIVER"/>
    <x v="23"/>
    <x v="1"/>
    <x v="95"/>
    <n v="18415.13671875"/>
  </r>
  <r>
    <s v="FINAL0722_BANK_HE1"/>
    <s v="BELUGA RIVER"/>
    <x v="23"/>
    <x v="1"/>
    <x v="96"/>
    <n v="17930.556640625"/>
  </r>
  <r>
    <s v="FINAL0722_BANK_HE1"/>
    <s v="BELUGA RIVER"/>
    <x v="23"/>
    <x v="1"/>
    <x v="97"/>
    <n v="17458.7265625"/>
  </r>
  <r>
    <s v="FINAL0722_BANK_HE1"/>
    <s v="BELUGA RIVER"/>
    <x v="23"/>
    <x v="1"/>
    <x v="98"/>
    <n v="16999.3125"/>
  </r>
  <r>
    <s v="FINAL0722_BANK_HE1"/>
    <s v="BELUGA RIVER"/>
    <x v="23"/>
    <x v="1"/>
    <x v="99"/>
    <n v="16551.98828125"/>
  </r>
  <r>
    <s v="FINAL0722_BANK_HE1"/>
    <s v="BELUGA RIVER"/>
    <x v="23"/>
    <x v="1"/>
    <x v="100"/>
    <n v="16116.435546875"/>
  </r>
  <r>
    <s v="FINAL0722_BANK_HE1"/>
    <s v="BELUGA RIVER"/>
    <x v="23"/>
    <x v="1"/>
    <x v="101"/>
    <n v="15692.34375"/>
  </r>
  <r>
    <s v="FINAL0722_BANK_HE1"/>
    <s v="BELUGA RIVER"/>
    <x v="23"/>
    <x v="1"/>
    <x v="102"/>
    <n v="15279.4111328125"/>
  </r>
  <r>
    <s v="FINAL0722_BANK_HE1"/>
    <s v="BELUGA RIVER"/>
    <x v="23"/>
    <x v="1"/>
    <x v="103"/>
    <n v="14877.3447265625"/>
  </r>
  <r>
    <s v="FINAL0722_BANK_HE1"/>
    <s v="BELUGA RIVER"/>
    <x v="23"/>
    <x v="1"/>
    <x v="104"/>
    <n v="14485.8583984375"/>
  </r>
  <r>
    <s v="FINAL0722_BANK_HE1"/>
    <s v="BELUGA RIVER"/>
    <x v="23"/>
    <x v="1"/>
    <x v="105"/>
    <n v="14104.673828125"/>
  </r>
  <r>
    <s v="FINAL0722_BANK_HE1"/>
    <s v="BELUGA RIVER"/>
    <x v="23"/>
    <x v="1"/>
    <x v="106"/>
    <n v="13733.51953125"/>
  </r>
  <r>
    <s v="FINAL0722_BANK_HE1"/>
    <s v="BELUGA RIVER"/>
    <x v="23"/>
    <x v="1"/>
    <x v="107"/>
    <n v="13372.1318359375"/>
  </r>
  <r>
    <s v="FINAL0722_BANK_HE1"/>
    <s v="BELUGA RIVER"/>
    <x v="23"/>
    <x v="1"/>
    <x v="108"/>
    <n v="13020.25390625"/>
  </r>
  <r>
    <s v="FINAL0722_BANK_HE1"/>
    <s v="BELUGA RIVER"/>
    <x v="23"/>
    <x v="1"/>
    <x v="109"/>
    <n v="12677.6357421875"/>
  </r>
  <r>
    <s v="FINAL0722_BANK_HE1"/>
    <s v="BELUGA RIVER"/>
    <x v="23"/>
    <x v="1"/>
    <x v="110"/>
    <n v="12344.033203125"/>
  </r>
  <r>
    <s v="FINAL0722_BANK_HE1"/>
    <s v="BELUGA RIVER"/>
    <x v="23"/>
    <x v="1"/>
    <x v="111"/>
    <n v="12019.208984375"/>
  </r>
  <r>
    <s v="FINAL0722_BANK_HE1"/>
    <s v="BELUGA RIVER"/>
    <x v="23"/>
    <x v="1"/>
    <x v="112"/>
    <n v="11702.9326171875"/>
  </r>
  <r>
    <s v="FINAL0722_BANK_HE1"/>
    <s v="BELUGA RIVER"/>
    <x v="23"/>
    <x v="1"/>
    <x v="113"/>
    <n v="11394.978515625"/>
  </r>
  <r>
    <s v="FINAL0722_BANK_HE1"/>
    <s v="BELUGA RIVER"/>
    <x v="23"/>
    <x v="1"/>
    <x v="114"/>
    <n v="11095.1279296875"/>
  </r>
  <r>
    <s v="FINAL0722_BANK_HE1"/>
    <s v="BELUGA RIVER"/>
    <x v="23"/>
    <x v="1"/>
    <x v="115"/>
    <n v="10803.16796875"/>
  </r>
  <r>
    <s v="FINAL0722_BANK_HE1"/>
    <s v="BELUGA RIVER"/>
    <x v="23"/>
    <x v="1"/>
    <x v="116"/>
    <n v="10518.890625"/>
  </r>
  <r>
    <s v="FINAL0722_BANK_HE1"/>
    <s v="BELUGA RIVER"/>
    <x v="23"/>
    <x v="1"/>
    <x v="117"/>
    <n v="10242.09375"/>
  </r>
  <r>
    <s v="FINAL0722_BANK_HE1"/>
    <s v="BELUGA RIVER"/>
    <x v="23"/>
    <x v="1"/>
    <x v="118"/>
    <n v="3979.25"/>
  </r>
  <r>
    <s v="FINAL0722_BANK_HE1"/>
    <s v="BELUGA RIVER"/>
    <x v="24"/>
    <x v="1"/>
    <x v="0"/>
    <n v="0"/>
  </r>
  <r>
    <s v="FINAL0722_BANK_HE1"/>
    <s v="BELUGA RIVER"/>
    <x v="24"/>
    <x v="1"/>
    <x v="1"/>
    <n v="0"/>
  </r>
  <r>
    <s v="FINAL0722_BANK_HE1"/>
    <s v="BELUGA RIVER"/>
    <x v="24"/>
    <x v="1"/>
    <x v="2"/>
    <n v="0"/>
  </r>
  <r>
    <s v="FINAL0722_BANK_HE1"/>
    <s v="BELUGA RIVER"/>
    <x v="24"/>
    <x v="1"/>
    <x v="3"/>
    <n v="0"/>
  </r>
  <r>
    <s v="FINAL0722_BANK_HE1"/>
    <s v="BELUGA RIVER"/>
    <x v="24"/>
    <x v="1"/>
    <x v="4"/>
    <n v="0"/>
  </r>
  <r>
    <s v="FINAL0722_BANK_HE1"/>
    <s v="BELUGA RIVER"/>
    <x v="24"/>
    <x v="1"/>
    <x v="5"/>
    <n v="0"/>
  </r>
  <r>
    <s v="FINAL0722_BANK_HE1"/>
    <s v="BELUGA RIVER"/>
    <x v="24"/>
    <x v="1"/>
    <x v="6"/>
    <n v="0"/>
  </r>
  <r>
    <s v="FINAL0722_BANK_HE1"/>
    <s v="BELUGA RIVER"/>
    <x v="24"/>
    <x v="1"/>
    <x v="7"/>
    <n v="0"/>
  </r>
  <r>
    <s v="FINAL0722_BANK_HE1"/>
    <s v="BELUGA RIVER"/>
    <x v="24"/>
    <x v="1"/>
    <x v="8"/>
    <n v="0"/>
  </r>
  <r>
    <s v="FINAL0722_BANK_HE1"/>
    <s v="BELUGA RIVER"/>
    <x v="24"/>
    <x v="1"/>
    <x v="9"/>
    <n v="0"/>
  </r>
  <r>
    <s v="FINAL0722_BANK_HE1"/>
    <s v="BELUGA RIVER"/>
    <x v="24"/>
    <x v="1"/>
    <x v="10"/>
    <n v="0"/>
  </r>
  <r>
    <s v="FINAL0722_BANK_HE1"/>
    <s v="BELUGA RIVER"/>
    <x v="24"/>
    <x v="1"/>
    <x v="11"/>
    <n v="0"/>
  </r>
  <r>
    <s v="FINAL0722_BANK_HE1"/>
    <s v="BELUGA RIVER"/>
    <x v="24"/>
    <x v="1"/>
    <x v="12"/>
    <n v="0"/>
  </r>
  <r>
    <s v="FINAL0722_BANK_HE1"/>
    <s v="BELUGA RIVER"/>
    <x v="24"/>
    <x v="1"/>
    <x v="13"/>
    <n v="0"/>
  </r>
  <r>
    <s v="FINAL0722_BANK_HE1"/>
    <s v="BELUGA RIVER"/>
    <x v="24"/>
    <x v="1"/>
    <x v="14"/>
    <n v="0"/>
  </r>
  <r>
    <s v="FINAL0722_BANK_HE1"/>
    <s v="BELUGA RIVER"/>
    <x v="24"/>
    <x v="1"/>
    <x v="15"/>
    <n v="0"/>
  </r>
  <r>
    <s v="FINAL0722_BANK_HE1"/>
    <s v="BELUGA RIVER"/>
    <x v="24"/>
    <x v="1"/>
    <x v="16"/>
    <n v="0"/>
  </r>
  <r>
    <s v="FINAL0722_BANK_HE1"/>
    <s v="BELUGA RIVER"/>
    <x v="24"/>
    <x v="1"/>
    <x v="17"/>
    <n v="0"/>
  </r>
  <r>
    <s v="FINAL0722_BANK_HE1"/>
    <s v="BELUGA RIVER"/>
    <x v="24"/>
    <x v="1"/>
    <x v="18"/>
    <n v="0"/>
  </r>
  <r>
    <s v="FINAL0722_BANK_HE1"/>
    <s v="BELUGA RIVER"/>
    <x v="24"/>
    <x v="1"/>
    <x v="19"/>
    <n v="0"/>
  </r>
  <r>
    <s v="FINAL0722_BANK_HE1"/>
    <s v="BELUGA RIVER"/>
    <x v="24"/>
    <x v="1"/>
    <x v="20"/>
    <n v="0"/>
  </r>
  <r>
    <s v="FINAL0722_BANK_HE1"/>
    <s v="BELUGA RIVER"/>
    <x v="24"/>
    <x v="1"/>
    <x v="21"/>
    <n v="0"/>
  </r>
  <r>
    <s v="FINAL0722_BANK_HE1"/>
    <s v="BELUGA RIVER"/>
    <x v="24"/>
    <x v="1"/>
    <x v="22"/>
    <n v="0"/>
  </r>
  <r>
    <s v="FINAL0722_BANK_HE1"/>
    <s v="BELUGA RIVER"/>
    <x v="24"/>
    <x v="1"/>
    <x v="23"/>
    <n v="0"/>
  </r>
  <r>
    <s v="FINAL0722_BANK_HE1"/>
    <s v="BELUGA RIVER"/>
    <x v="24"/>
    <x v="1"/>
    <x v="24"/>
    <n v="0"/>
  </r>
  <r>
    <s v="FINAL0722_BANK_HE1"/>
    <s v="BELUGA RIVER"/>
    <x v="24"/>
    <x v="1"/>
    <x v="25"/>
    <n v="0"/>
  </r>
  <r>
    <s v="FINAL0722_BANK_HE1"/>
    <s v="BELUGA RIVER"/>
    <x v="24"/>
    <x v="1"/>
    <x v="26"/>
    <n v="0"/>
  </r>
  <r>
    <s v="FINAL0722_BANK_HE1"/>
    <s v="BELUGA RIVER"/>
    <x v="24"/>
    <x v="1"/>
    <x v="27"/>
    <n v="0"/>
  </r>
  <r>
    <s v="FINAL0722_BANK_HE1"/>
    <s v="BELUGA RIVER"/>
    <x v="24"/>
    <x v="1"/>
    <x v="28"/>
    <n v="0"/>
  </r>
  <r>
    <s v="FINAL0722_BANK_HE1"/>
    <s v="BELUGA RIVER"/>
    <x v="24"/>
    <x v="1"/>
    <x v="29"/>
    <n v="0"/>
  </r>
  <r>
    <s v="FINAL0722_BANK_HE1"/>
    <s v="BELUGA RIVER"/>
    <x v="24"/>
    <x v="1"/>
    <x v="30"/>
    <n v="0"/>
  </r>
  <r>
    <s v="FINAL0722_BANK_HE1"/>
    <s v="BELUGA RIVER"/>
    <x v="24"/>
    <x v="1"/>
    <x v="31"/>
    <n v="0"/>
  </r>
  <r>
    <s v="FINAL0722_BANK_HE1"/>
    <s v="BELUGA RIVER"/>
    <x v="24"/>
    <x v="1"/>
    <x v="32"/>
    <n v="0"/>
  </r>
  <r>
    <s v="FINAL0722_BANK_HE1"/>
    <s v="BELUGA RIVER"/>
    <x v="24"/>
    <x v="1"/>
    <x v="33"/>
    <n v="0"/>
  </r>
  <r>
    <s v="FINAL0722_BANK_HE1"/>
    <s v="BELUGA RIVER"/>
    <x v="24"/>
    <x v="1"/>
    <x v="34"/>
    <n v="0"/>
  </r>
  <r>
    <s v="FINAL0722_BANK_HE1"/>
    <s v="BELUGA RIVER"/>
    <x v="24"/>
    <x v="1"/>
    <x v="35"/>
    <n v="0"/>
  </r>
  <r>
    <s v="FINAL0722_BANK_HE1"/>
    <s v="BELUGA RIVER"/>
    <x v="24"/>
    <x v="1"/>
    <x v="36"/>
    <n v="88810.59375"/>
  </r>
  <r>
    <s v="FINAL0722_BANK_HE1"/>
    <s v="BELUGA RIVER"/>
    <x v="24"/>
    <x v="1"/>
    <x v="37"/>
    <n v="86473.609375"/>
  </r>
  <r>
    <s v="FINAL0722_BANK_HE1"/>
    <s v="BELUGA RIVER"/>
    <x v="24"/>
    <x v="1"/>
    <x v="38"/>
    <n v="84198.125"/>
  </r>
  <r>
    <s v="FINAL0722_BANK_HE1"/>
    <s v="BELUGA RIVER"/>
    <x v="24"/>
    <x v="1"/>
    <x v="39"/>
    <n v="81982.515625"/>
  </r>
  <r>
    <s v="FINAL0722_BANK_HE1"/>
    <s v="BELUGA RIVER"/>
    <x v="24"/>
    <x v="1"/>
    <x v="40"/>
    <n v="79825.2109375"/>
  </r>
  <r>
    <s v="FINAL0722_BANK_HE1"/>
    <s v="BELUGA RIVER"/>
    <x v="24"/>
    <x v="1"/>
    <x v="41"/>
    <n v="77724.671875"/>
  </r>
  <r>
    <s v="FINAL0722_BANK_HE1"/>
    <s v="BELUGA RIVER"/>
    <x v="24"/>
    <x v="1"/>
    <x v="42"/>
    <n v="75679.40625"/>
  </r>
  <r>
    <s v="FINAL0722_BANK_HE1"/>
    <s v="BELUGA RIVER"/>
    <x v="24"/>
    <x v="1"/>
    <x v="43"/>
    <n v="73687.9609375"/>
  </r>
  <r>
    <s v="FINAL0722_BANK_HE1"/>
    <s v="BELUGA RIVER"/>
    <x v="24"/>
    <x v="1"/>
    <x v="44"/>
    <n v="71748.9140625"/>
  </r>
  <r>
    <s v="FINAL0722_BANK_HE1"/>
    <s v="BELUGA RIVER"/>
    <x v="24"/>
    <x v="1"/>
    <x v="45"/>
    <n v="69860.8984375"/>
  </r>
  <r>
    <s v="FINAL0722_BANK_HE1"/>
    <s v="BELUGA RIVER"/>
    <x v="24"/>
    <x v="1"/>
    <x v="46"/>
    <n v="68022.5625"/>
  </r>
  <r>
    <s v="FINAL0722_BANK_HE1"/>
    <s v="BELUGA RIVER"/>
    <x v="24"/>
    <x v="1"/>
    <x v="47"/>
    <n v="66232.6015625"/>
  </r>
  <r>
    <s v="FINAL0722_BANK_HE1"/>
    <s v="BELUGA RIVER"/>
    <x v="24"/>
    <x v="1"/>
    <x v="48"/>
    <n v="64489.7421875"/>
  </r>
  <r>
    <s v="FINAL0722_BANK_HE1"/>
    <s v="BELUGA RIVER"/>
    <x v="24"/>
    <x v="1"/>
    <x v="49"/>
    <n v="62792.7421875"/>
  </r>
  <r>
    <s v="FINAL0722_BANK_HE1"/>
    <s v="BELUGA RIVER"/>
    <x v="24"/>
    <x v="1"/>
    <x v="50"/>
    <n v="61140.3984375"/>
  </r>
  <r>
    <s v="FINAL0722_BANK_HE1"/>
    <s v="BELUGA RIVER"/>
    <x v="24"/>
    <x v="1"/>
    <x v="51"/>
    <n v="59531.53515625"/>
  </r>
  <r>
    <s v="FINAL0722_BANK_HE1"/>
    <s v="BELUGA RIVER"/>
    <x v="24"/>
    <x v="1"/>
    <x v="52"/>
    <n v="57965.0078125"/>
  </r>
  <r>
    <s v="FINAL0722_BANK_HE1"/>
    <s v="BELUGA RIVER"/>
    <x v="24"/>
    <x v="1"/>
    <x v="53"/>
    <n v="56439.703125"/>
  </r>
  <r>
    <s v="FINAL0722_BANK_HE1"/>
    <s v="BELUGA RIVER"/>
    <x v="24"/>
    <x v="1"/>
    <x v="54"/>
    <n v="54954.53515625"/>
  </r>
  <r>
    <s v="FINAL0722_BANK_HE1"/>
    <s v="BELUGA RIVER"/>
    <x v="24"/>
    <x v="1"/>
    <x v="55"/>
    <n v="53508.44921875"/>
  </r>
  <r>
    <s v="FINAL0722_BANK_HE1"/>
    <s v="BELUGA RIVER"/>
    <x v="24"/>
    <x v="1"/>
    <x v="56"/>
    <n v="52100.4140625"/>
  </r>
  <r>
    <s v="FINAL0722_BANK_HE1"/>
    <s v="BELUGA RIVER"/>
    <x v="24"/>
    <x v="1"/>
    <x v="57"/>
    <n v="50729.4296875"/>
  </r>
  <r>
    <s v="FINAL0722_BANK_HE1"/>
    <s v="BELUGA RIVER"/>
    <x v="24"/>
    <x v="1"/>
    <x v="58"/>
    <n v="49394.5234375"/>
  </r>
  <r>
    <s v="FINAL0722_BANK_HE1"/>
    <s v="BELUGA RIVER"/>
    <x v="24"/>
    <x v="1"/>
    <x v="59"/>
    <n v="48094.7421875"/>
  </r>
  <r>
    <s v="FINAL0722_BANK_HE1"/>
    <s v="BELUGA RIVER"/>
    <x v="24"/>
    <x v="1"/>
    <x v="60"/>
    <n v="46829.1640625"/>
  </r>
  <r>
    <s v="FINAL0722_BANK_HE1"/>
    <s v="BELUGA RIVER"/>
    <x v="24"/>
    <x v="1"/>
    <x v="61"/>
    <n v="45596.890625"/>
  </r>
  <r>
    <s v="FINAL0722_BANK_HE1"/>
    <s v="BELUGA RIVER"/>
    <x v="24"/>
    <x v="1"/>
    <x v="62"/>
    <n v="44397.04296875"/>
  </r>
  <r>
    <s v="FINAL0722_BANK_HE1"/>
    <s v="BELUGA RIVER"/>
    <x v="24"/>
    <x v="1"/>
    <x v="63"/>
    <n v="43228.76953125"/>
  </r>
  <r>
    <s v="FINAL0722_BANK_HE1"/>
    <s v="BELUGA RIVER"/>
    <x v="24"/>
    <x v="1"/>
    <x v="64"/>
    <n v="42091.23828125"/>
  </r>
  <r>
    <s v="FINAL0722_BANK_HE1"/>
    <s v="BELUGA RIVER"/>
    <x v="24"/>
    <x v="1"/>
    <x v="65"/>
    <n v="40983.640625"/>
  </r>
  <r>
    <s v="FINAL0722_BANK_HE1"/>
    <s v="BELUGA RIVER"/>
    <x v="24"/>
    <x v="1"/>
    <x v="66"/>
    <n v="39905.1875"/>
  </r>
  <r>
    <s v="FINAL0722_BANK_HE1"/>
    <s v="BELUGA RIVER"/>
    <x v="24"/>
    <x v="1"/>
    <x v="67"/>
    <n v="38855.11328125"/>
  </r>
  <r>
    <s v="FINAL0722_BANK_HE1"/>
    <s v="BELUGA RIVER"/>
    <x v="24"/>
    <x v="1"/>
    <x v="68"/>
    <n v="37832.671875"/>
  </r>
  <r>
    <s v="FINAL0722_BANK_HE1"/>
    <s v="BELUGA RIVER"/>
    <x v="24"/>
    <x v="1"/>
    <x v="69"/>
    <n v="36837.1328125"/>
  </r>
  <r>
    <s v="FINAL0722_BANK_HE1"/>
    <s v="BELUGA RIVER"/>
    <x v="24"/>
    <x v="1"/>
    <x v="70"/>
    <n v="35867.79296875"/>
  </r>
  <r>
    <s v="FINAL0722_BANK_HE1"/>
    <s v="BELUGA RIVER"/>
    <x v="24"/>
    <x v="1"/>
    <x v="71"/>
    <n v="34923.95703125"/>
  </r>
  <r>
    <s v="FINAL0722_BANK_HE1"/>
    <s v="BELUGA RIVER"/>
    <x v="24"/>
    <x v="1"/>
    <x v="72"/>
    <n v="34004.9609375"/>
  </r>
  <r>
    <s v="FINAL0722_BANK_HE1"/>
    <s v="BELUGA RIVER"/>
    <x v="24"/>
    <x v="1"/>
    <x v="73"/>
    <n v="33110.14453125"/>
  </r>
  <r>
    <s v="FINAL0722_BANK_HE1"/>
    <s v="BELUGA RIVER"/>
    <x v="24"/>
    <x v="1"/>
    <x v="74"/>
    <n v="32238.875"/>
  </r>
  <r>
    <s v="FINAL0722_BANK_HE1"/>
    <s v="BELUGA RIVER"/>
    <x v="24"/>
    <x v="1"/>
    <x v="75"/>
    <n v="31390.533203125"/>
  </r>
  <r>
    <s v="FINAL0722_BANK_HE1"/>
    <s v="BELUGA RIVER"/>
    <x v="24"/>
    <x v="1"/>
    <x v="76"/>
    <n v="30564.515625"/>
  </r>
  <r>
    <s v="FINAL0722_BANK_HE1"/>
    <s v="BELUGA RIVER"/>
    <x v="24"/>
    <x v="1"/>
    <x v="77"/>
    <n v="29760.232421875"/>
  </r>
  <r>
    <s v="FINAL0722_BANK_HE1"/>
    <s v="BELUGA RIVER"/>
    <x v="24"/>
    <x v="1"/>
    <x v="78"/>
    <n v="28977.11328125"/>
  </r>
  <r>
    <s v="FINAL0722_BANK_HE1"/>
    <s v="BELUGA RIVER"/>
    <x v="24"/>
    <x v="1"/>
    <x v="79"/>
    <n v="28214.6015625"/>
  </r>
  <r>
    <s v="FINAL0722_BANK_HE1"/>
    <s v="BELUGA RIVER"/>
    <x v="24"/>
    <x v="1"/>
    <x v="80"/>
    <n v="27472.15625"/>
  </r>
  <r>
    <s v="FINAL0722_BANK_HE1"/>
    <s v="BELUGA RIVER"/>
    <x v="24"/>
    <x v="1"/>
    <x v="81"/>
    <n v="26749.248046875"/>
  </r>
  <r>
    <s v="FINAL0722_BANK_HE1"/>
    <s v="BELUGA RIVER"/>
    <x v="24"/>
    <x v="1"/>
    <x v="82"/>
    <n v="26045.361328125"/>
  </r>
  <r>
    <s v="FINAL0722_BANK_HE1"/>
    <s v="BELUGA RIVER"/>
    <x v="24"/>
    <x v="1"/>
    <x v="83"/>
    <n v="25359.998046875"/>
  </r>
  <r>
    <s v="FINAL0722_BANK_HE1"/>
    <s v="BELUGA RIVER"/>
    <x v="24"/>
    <x v="1"/>
    <x v="84"/>
    <n v="24692.66796875"/>
  </r>
  <r>
    <s v="FINAL0722_BANK_HE1"/>
    <s v="BELUGA RIVER"/>
    <x v="24"/>
    <x v="1"/>
    <x v="85"/>
    <n v="24042.8984375"/>
  </r>
  <r>
    <s v="FINAL0722_BANK_HE1"/>
    <s v="BELUGA RIVER"/>
    <x v="24"/>
    <x v="1"/>
    <x v="86"/>
    <n v="23410.228515625"/>
  </r>
  <r>
    <s v="FINAL0722_BANK_HE1"/>
    <s v="BELUGA RIVER"/>
    <x v="24"/>
    <x v="1"/>
    <x v="87"/>
    <n v="22794.205078125"/>
  </r>
  <r>
    <s v="FINAL0722_BANK_HE1"/>
    <s v="BELUGA RIVER"/>
    <x v="24"/>
    <x v="1"/>
    <x v="88"/>
    <n v="22194.392578125"/>
  </r>
  <r>
    <s v="FINAL0722_BANK_HE1"/>
    <s v="BELUGA RIVER"/>
    <x v="24"/>
    <x v="1"/>
    <x v="89"/>
    <n v="21610.36328125"/>
  </r>
  <r>
    <s v="FINAL0722_BANK_HE1"/>
    <s v="BELUGA RIVER"/>
    <x v="24"/>
    <x v="1"/>
    <x v="90"/>
    <n v="21041.703125"/>
  </r>
  <r>
    <s v="FINAL0722_BANK_HE1"/>
    <s v="BELUGA RIVER"/>
    <x v="24"/>
    <x v="1"/>
    <x v="91"/>
    <n v="20488.005859375"/>
  </r>
  <r>
    <s v="FINAL0722_BANK_HE1"/>
    <s v="BELUGA RIVER"/>
    <x v="24"/>
    <x v="1"/>
    <x v="92"/>
    <n v="19948.87890625"/>
  </r>
  <r>
    <s v="FINAL0722_BANK_HE1"/>
    <s v="BELUGA RIVER"/>
    <x v="24"/>
    <x v="1"/>
    <x v="93"/>
    <n v="19423.939453125"/>
  </r>
  <r>
    <s v="FINAL0722_BANK_HE1"/>
    <s v="BELUGA RIVER"/>
    <x v="24"/>
    <x v="1"/>
    <x v="94"/>
    <n v="18912.8125"/>
  </r>
  <r>
    <s v="FINAL0722_BANK_HE1"/>
    <s v="BELUGA RIVER"/>
    <x v="24"/>
    <x v="1"/>
    <x v="95"/>
    <n v="18415.13671875"/>
  </r>
  <r>
    <s v="FINAL0722_BANK_HE1"/>
    <s v="BELUGA RIVER"/>
    <x v="24"/>
    <x v="1"/>
    <x v="96"/>
    <n v="17930.556640625"/>
  </r>
  <r>
    <s v="FINAL0722_BANK_HE1"/>
    <s v="BELUGA RIVER"/>
    <x v="24"/>
    <x v="1"/>
    <x v="97"/>
    <n v="17458.7265625"/>
  </r>
  <r>
    <s v="FINAL0722_BANK_HE1"/>
    <s v="BELUGA RIVER"/>
    <x v="24"/>
    <x v="1"/>
    <x v="98"/>
    <n v="16999.3125"/>
  </r>
  <r>
    <s v="FINAL0722_BANK_HE1"/>
    <s v="BELUGA RIVER"/>
    <x v="24"/>
    <x v="1"/>
    <x v="99"/>
    <n v="16551.98828125"/>
  </r>
  <r>
    <s v="FINAL0722_BANK_HE1"/>
    <s v="BELUGA RIVER"/>
    <x v="24"/>
    <x v="1"/>
    <x v="100"/>
    <n v="16116.435546875"/>
  </r>
  <r>
    <s v="FINAL0722_BANK_HE1"/>
    <s v="BELUGA RIVER"/>
    <x v="24"/>
    <x v="1"/>
    <x v="101"/>
    <n v="15692.34375"/>
  </r>
  <r>
    <s v="FINAL0722_BANK_HE1"/>
    <s v="BELUGA RIVER"/>
    <x v="24"/>
    <x v="1"/>
    <x v="102"/>
    <n v="15279.4111328125"/>
  </r>
  <r>
    <s v="FINAL0722_BANK_HE1"/>
    <s v="BELUGA RIVER"/>
    <x v="24"/>
    <x v="1"/>
    <x v="103"/>
    <n v="14877.3447265625"/>
  </r>
  <r>
    <s v="FINAL0722_BANK_HE1"/>
    <s v="BELUGA RIVER"/>
    <x v="24"/>
    <x v="1"/>
    <x v="104"/>
    <n v="14485.8583984375"/>
  </r>
  <r>
    <s v="FINAL0722_BANK_HE1"/>
    <s v="BELUGA RIVER"/>
    <x v="24"/>
    <x v="1"/>
    <x v="105"/>
    <n v="14104.673828125"/>
  </r>
  <r>
    <s v="FINAL0722_BANK_HE1"/>
    <s v="BELUGA RIVER"/>
    <x v="24"/>
    <x v="1"/>
    <x v="106"/>
    <n v="13733.51953125"/>
  </r>
  <r>
    <s v="FINAL0722_BANK_HE1"/>
    <s v="BELUGA RIVER"/>
    <x v="24"/>
    <x v="1"/>
    <x v="107"/>
    <n v="13372.1318359375"/>
  </r>
  <r>
    <s v="FINAL0722_BANK_HE1"/>
    <s v="BELUGA RIVER"/>
    <x v="24"/>
    <x v="1"/>
    <x v="108"/>
    <n v="13020.25390625"/>
  </r>
  <r>
    <s v="FINAL0722_BANK_HE1"/>
    <s v="BELUGA RIVER"/>
    <x v="24"/>
    <x v="1"/>
    <x v="109"/>
    <n v="12677.6357421875"/>
  </r>
  <r>
    <s v="FINAL0722_BANK_HE1"/>
    <s v="BELUGA RIVER"/>
    <x v="24"/>
    <x v="1"/>
    <x v="110"/>
    <n v="12344.033203125"/>
  </r>
  <r>
    <s v="FINAL0722_BANK_HE1"/>
    <s v="BELUGA RIVER"/>
    <x v="24"/>
    <x v="1"/>
    <x v="111"/>
    <n v="12019.208984375"/>
  </r>
  <r>
    <s v="FINAL0722_BANK_HE1"/>
    <s v="BELUGA RIVER"/>
    <x v="24"/>
    <x v="1"/>
    <x v="112"/>
    <n v="11702.9326171875"/>
  </r>
  <r>
    <s v="FINAL0722_BANK_HE1"/>
    <s v="BELUGA RIVER"/>
    <x v="24"/>
    <x v="1"/>
    <x v="113"/>
    <n v="11394.978515625"/>
  </r>
  <r>
    <s v="FINAL0722_BANK_HE1"/>
    <s v="BELUGA RIVER"/>
    <x v="24"/>
    <x v="1"/>
    <x v="114"/>
    <n v="11095.1279296875"/>
  </r>
  <r>
    <s v="FINAL0722_BANK_HE1"/>
    <s v="BELUGA RIVER"/>
    <x v="24"/>
    <x v="1"/>
    <x v="115"/>
    <n v="10803.16796875"/>
  </r>
  <r>
    <s v="FINAL0722_BANK_HE1"/>
    <s v="BELUGA RIVER"/>
    <x v="24"/>
    <x v="1"/>
    <x v="116"/>
    <n v="10518.890625"/>
  </r>
  <r>
    <s v="FINAL0722_BANK_HE1"/>
    <s v="BELUGA RIVER"/>
    <x v="24"/>
    <x v="1"/>
    <x v="117"/>
    <n v="10242.09375"/>
  </r>
  <r>
    <s v="FINAL0722_BANK_HE1"/>
    <s v="BELUGA RIVER"/>
    <x v="24"/>
    <x v="1"/>
    <x v="118"/>
    <n v="3979.25"/>
  </r>
  <r>
    <s v="FINAL0722_BANK_HE1"/>
    <s v="BELUGA RIVER"/>
    <x v="25"/>
    <x v="2"/>
    <x v="0"/>
    <n v="0"/>
  </r>
  <r>
    <s v="FINAL0722_BANK_HE1"/>
    <s v="BELUGA RIVER"/>
    <x v="25"/>
    <x v="2"/>
    <x v="1"/>
    <n v="0"/>
  </r>
  <r>
    <s v="FINAL0722_BANK_HE1"/>
    <s v="BELUGA RIVER"/>
    <x v="25"/>
    <x v="2"/>
    <x v="2"/>
    <n v="0"/>
  </r>
  <r>
    <s v="FINAL0722_BANK_HE1"/>
    <s v="BELUGA RIVER"/>
    <x v="25"/>
    <x v="2"/>
    <x v="3"/>
    <n v="0"/>
  </r>
  <r>
    <s v="FINAL0722_BANK_HE1"/>
    <s v="BELUGA RIVER"/>
    <x v="25"/>
    <x v="2"/>
    <x v="4"/>
    <n v="0"/>
  </r>
  <r>
    <s v="FINAL0722_BANK_HE1"/>
    <s v="BELUGA RIVER"/>
    <x v="25"/>
    <x v="2"/>
    <x v="5"/>
    <n v="0"/>
  </r>
  <r>
    <s v="FINAL0722_BANK_HE1"/>
    <s v="BELUGA RIVER"/>
    <x v="25"/>
    <x v="2"/>
    <x v="6"/>
    <n v="0"/>
  </r>
  <r>
    <s v="FINAL0722_BANK_HE1"/>
    <s v="BELUGA RIVER"/>
    <x v="25"/>
    <x v="2"/>
    <x v="7"/>
    <n v="0"/>
  </r>
  <r>
    <s v="FINAL0722_BANK_HE1"/>
    <s v="BELUGA RIVER"/>
    <x v="25"/>
    <x v="2"/>
    <x v="8"/>
    <n v="0"/>
  </r>
  <r>
    <s v="FINAL0722_BANK_HE1"/>
    <s v="BELUGA RIVER"/>
    <x v="25"/>
    <x v="2"/>
    <x v="9"/>
    <n v="0"/>
  </r>
  <r>
    <s v="FINAL0722_BANK_HE1"/>
    <s v="BELUGA RIVER"/>
    <x v="25"/>
    <x v="2"/>
    <x v="10"/>
    <n v="0"/>
  </r>
  <r>
    <s v="FINAL0722_BANK_HE1"/>
    <s v="BELUGA RIVER"/>
    <x v="25"/>
    <x v="2"/>
    <x v="11"/>
    <n v="0"/>
  </r>
  <r>
    <s v="FINAL0722_BANK_HE1"/>
    <s v="BELUGA RIVER"/>
    <x v="25"/>
    <x v="2"/>
    <x v="12"/>
    <n v="0"/>
  </r>
  <r>
    <s v="FINAL0722_BANK_HE1"/>
    <s v="BELUGA RIVER"/>
    <x v="25"/>
    <x v="2"/>
    <x v="13"/>
    <n v="0"/>
  </r>
  <r>
    <s v="FINAL0722_BANK_HE1"/>
    <s v="BELUGA RIVER"/>
    <x v="25"/>
    <x v="2"/>
    <x v="14"/>
    <n v="0"/>
  </r>
  <r>
    <s v="FINAL0722_BANK_HE1"/>
    <s v="BELUGA RIVER"/>
    <x v="25"/>
    <x v="2"/>
    <x v="15"/>
    <n v="0"/>
  </r>
  <r>
    <s v="FINAL0722_BANK_HE1"/>
    <s v="BELUGA RIVER"/>
    <x v="25"/>
    <x v="2"/>
    <x v="16"/>
    <n v="0"/>
  </r>
  <r>
    <s v="FINAL0722_BANK_HE1"/>
    <s v="BELUGA RIVER"/>
    <x v="25"/>
    <x v="2"/>
    <x v="17"/>
    <n v="0"/>
  </r>
  <r>
    <s v="FINAL0722_BANK_HE1"/>
    <s v="BELUGA RIVER"/>
    <x v="25"/>
    <x v="2"/>
    <x v="18"/>
    <n v="0"/>
  </r>
  <r>
    <s v="FINAL0722_BANK_HE1"/>
    <s v="BELUGA RIVER"/>
    <x v="25"/>
    <x v="2"/>
    <x v="19"/>
    <n v="0"/>
  </r>
  <r>
    <s v="FINAL0722_BANK_HE1"/>
    <s v="BELUGA RIVER"/>
    <x v="25"/>
    <x v="2"/>
    <x v="20"/>
    <n v="0"/>
  </r>
  <r>
    <s v="FINAL0722_BANK_HE1"/>
    <s v="BELUGA RIVER"/>
    <x v="25"/>
    <x v="2"/>
    <x v="21"/>
    <n v="0"/>
  </r>
  <r>
    <s v="FINAL0722_BANK_HE1"/>
    <s v="BELUGA RIVER"/>
    <x v="25"/>
    <x v="2"/>
    <x v="22"/>
    <n v="0"/>
  </r>
  <r>
    <s v="FINAL0722_BANK_HE1"/>
    <s v="BELUGA RIVER"/>
    <x v="25"/>
    <x v="2"/>
    <x v="23"/>
    <n v="0"/>
  </r>
  <r>
    <s v="FINAL0722_BANK_HE1"/>
    <s v="BELUGA RIVER"/>
    <x v="25"/>
    <x v="2"/>
    <x v="24"/>
    <n v="0"/>
  </r>
  <r>
    <s v="FINAL0722_BANK_HE1"/>
    <s v="BELUGA RIVER"/>
    <x v="25"/>
    <x v="2"/>
    <x v="25"/>
    <n v="0"/>
  </r>
  <r>
    <s v="FINAL0722_BANK_HE1"/>
    <s v="BELUGA RIVER"/>
    <x v="25"/>
    <x v="2"/>
    <x v="26"/>
    <n v="0"/>
  </r>
  <r>
    <s v="FINAL0722_BANK_HE1"/>
    <s v="BELUGA RIVER"/>
    <x v="25"/>
    <x v="2"/>
    <x v="27"/>
    <n v="0"/>
  </r>
  <r>
    <s v="FINAL0722_BANK_HE1"/>
    <s v="BELUGA RIVER"/>
    <x v="25"/>
    <x v="2"/>
    <x v="28"/>
    <n v="0"/>
  </r>
  <r>
    <s v="FINAL0722_BANK_HE1"/>
    <s v="BELUGA RIVER"/>
    <x v="25"/>
    <x v="2"/>
    <x v="29"/>
    <n v="0"/>
  </r>
  <r>
    <s v="FINAL0722_BANK_HE1"/>
    <s v="BELUGA RIVER"/>
    <x v="25"/>
    <x v="2"/>
    <x v="30"/>
    <n v="0"/>
  </r>
  <r>
    <s v="FINAL0722_BANK_HE1"/>
    <s v="BELUGA RIVER"/>
    <x v="25"/>
    <x v="2"/>
    <x v="31"/>
    <n v="0"/>
  </r>
  <r>
    <s v="FINAL0722_BANK_HE1"/>
    <s v="BELUGA RIVER"/>
    <x v="25"/>
    <x v="2"/>
    <x v="32"/>
    <n v="0"/>
  </r>
  <r>
    <s v="FINAL0722_BANK_HE1"/>
    <s v="BELUGA RIVER"/>
    <x v="25"/>
    <x v="2"/>
    <x v="33"/>
    <n v="0"/>
  </r>
  <r>
    <s v="FINAL0722_BANK_HE1"/>
    <s v="BELUGA RIVER"/>
    <x v="25"/>
    <x v="2"/>
    <x v="34"/>
    <n v="0"/>
  </r>
  <r>
    <s v="FINAL0722_BANK_HE1"/>
    <s v="BELUGA RIVER"/>
    <x v="25"/>
    <x v="2"/>
    <x v="35"/>
    <n v="0"/>
  </r>
  <r>
    <s v="FINAL0722_BANK_HE1"/>
    <s v="BELUGA RIVER"/>
    <x v="25"/>
    <x v="2"/>
    <x v="36"/>
    <n v="0"/>
  </r>
  <r>
    <s v="FINAL0722_BANK_HE1"/>
    <s v="BELUGA RIVER"/>
    <x v="25"/>
    <x v="2"/>
    <x v="37"/>
    <n v="0"/>
  </r>
  <r>
    <s v="FINAL0722_BANK_HE1"/>
    <s v="BELUGA RIVER"/>
    <x v="25"/>
    <x v="2"/>
    <x v="38"/>
    <n v="0"/>
  </r>
  <r>
    <s v="FINAL0722_BANK_HE1"/>
    <s v="BELUGA RIVER"/>
    <x v="25"/>
    <x v="2"/>
    <x v="39"/>
    <n v="0"/>
  </r>
  <r>
    <s v="FINAL0722_BANK_HE1"/>
    <s v="BELUGA RIVER"/>
    <x v="25"/>
    <x v="2"/>
    <x v="40"/>
    <n v="0"/>
  </r>
  <r>
    <s v="FINAL0722_BANK_HE1"/>
    <s v="BELUGA RIVER"/>
    <x v="25"/>
    <x v="2"/>
    <x v="41"/>
    <n v="0"/>
  </r>
  <r>
    <s v="FINAL0722_BANK_HE1"/>
    <s v="BELUGA RIVER"/>
    <x v="25"/>
    <x v="2"/>
    <x v="42"/>
    <n v="0"/>
  </r>
  <r>
    <s v="FINAL0722_BANK_HE1"/>
    <s v="BELUGA RIVER"/>
    <x v="25"/>
    <x v="2"/>
    <x v="43"/>
    <n v="0"/>
  </r>
  <r>
    <s v="FINAL0722_BANK_HE1"/>
    <s v="BELUGA RIVER"/>
    <x v="25"/>
    <x v="2"/>
    <x v="44"/>
    <n v="0"/>
  </r>
  <r>
    <s v="FINAL0722_BANK_HE1"/>
    <s v="BELUGA RIVER"/>
    <x v="25"/>
    <x v="2"/>
    <x v="45"/>
    <n v="0"/>
  </r>
  <r>
    <s v="FINAL0722_BANK_HE1"/>
    <s v="BELUGA RIVER"/>
    <x v="25"/>
    <x v="2"/>
    <x v="46"/>
    <n v="0"/>
  </r>
  <r>
    <s v="FINAL0722_BANK_HE1"/>
    <s v="BELUGA RIVER"/>
    <x v="25"/>
    <x v="2"/>
    <x v="47"/>
    <n v="0"/>
  </r>
  <r>
    <s v="FINAL0722_BANK_HE1"/>
    <s v="BELUGA RIVER"/>
    <x v="25"/>
    <x v="2"/>
    <x v="48"/>
    <n v="0"/>
  </r>
  <r>
    <s v="FINAL0722_BANK_HE1"/>
    <s v="BELUGA RIVER"/>
    <x v="25"/>
    <x v="2"/>
    <x v="49"/>
    <n v="0"/>
  </r>
  <r>
    <s v="FINAL0722_BANK_HE1"/>
    <s v="BELUGA RIVER"/>
    <x v="25"/>
    <x v="2"/>
    <x v="50"/>
    <n v="0"/>
  </r>
  <r>
    <s v="FINAL0722_BANK_HE1"/>
    <s v="BELUGA RIVER"/>
    <x v="25"/>
    <x v="2"/>
    <x v="51"/>
    <n v="0"/>
  </r>
  <r>
    <s v="FINAL0722_BANK_HE1"/>
    <s v="BELUGA RIVER"/>
    <x v="25"/>
    <x v="2"/>
    <x v="52"/>
    <n v="0"/>
  </r>
  <r>
    <s v="FINAL0722_BANK_HE1"/>
    <s v="BELUGA RIVER"/>
    <x v="25"/>
    <x v="2"/>
    <x v="53"/>
    <n v="0"/>
  </r>
  <r>
    <s v="FINAL0722_BANK_HE1"/>
    <s v="BELUGA RIVER"/>
    <x v="25"/>
    <x v="2"/>
    <x v="54"/>
    <n v="0"/>
  </r>
  <r>
    <s v="FINAL0722_BANK_HE1"/>
    <s v="BELUGA RIVER"/>
    <x v="25"/>
    <x v="2"/>
    <x v="55"/>
    <n v="0"/>
  </r>
  <r>
    <s v="FINAL0722_BANK_HE1"/>
    <s v="BELUGA RIVER"/>
    <x v="25"/>
    <x v="2"/>
    <x v="56"/>
    <n v="0"/>
  </r>
  <r>
    <s v="FINAL0722_BANK_HE1"/>
    <s v="BELUGA RIVER"/>
    <x v="25"/>
    <x v="2"/>
    <x v="57"/>
    <n v="0"/>
  </r>
  <r>
    <s v="FINAL0722_BANK_HE1"/>
    <s v="BELUGA RIVER"/>
    <x v="25"/>
    <x v="2"/>
    <x v="58"/>
    <n v="0"/>
  </r>
  <r>
    <s v="FINAL0722_BANK_HE1"/>
    <s v="BELUGA RIVER"/>
    <x v="25"/>
    <x v="2"/>
    <x v="59"/>
    <n v="0"/>
  </r>
  <r>
    <s v="FINAL0722_BANK_HE1"/>
    <s v="BELUGA RIVER"/>
    <x v="25"/>
    <x v="2"/>
    <x v="60"/>
    <n v="0"/>
  </r>
  <r>
    <s v="FINAL0722_BANK_HE1"/>
    <s v="BELUGA RIVER"/>
    <x v="25"/>
    <x v="2"/>
    <x v="61"/>
    <n v="0"/>
  </r>
  <r>
    <s v="FINAL0722_BANK_HE1"/>
    <s v="BELUGA RIVER"/>
    <x v="25"/>
    <x v="2"/>
    <x v="62"/>
    <n v="0"/>
  </r>
  <r>
    <s v="FINAL0722_BANK_HE1"/>
    <s v="BELUGA RIVER"/>
    <x v="25"/>
    <x v="2"/>
    <x v="63"/>
    <n v="0"/>
  </r>
  <r>
    <s v="FINAL0722_BANK_HE1"/>
    <s v="BELUGA RIVER"/>
    <x v="25"/>
    <x v="2"/>
    <x v="64"/>
    <n v="0"/>
  </r>
  <r>
    <s v="FINAL0722_BANK_HE1"/>
    <s v="BELUGA RIVER"/>
    <x v="25"/>
    <x v="2"/>
    <x v="65"/>
    <n v="0"/>
  </r>
  <r>
    <s v="FINAL0722_BANK_HE1"/>
    <s v="BELUGA RIVER"/>
    <x v="25"/>
    <x v="2"/>
    <x v="66"/>
    <n v="0"/>
  </r>
  <r>
    <s v="FINAL0722_BANK_HE1"/>
    <s v="BELUGA RIVER"/>
    <x v="25"/>
    <x v="2"/>
    <x v="67"/>
    <n v="0"/>
  </r>
  <r>
    <s v="FINAL0722_BANK_HE1"/>
    <s v="BELUGA RIVER"/>
    <x v="25"/>
    <x v="2"/>
    <x v="68"/>
    <n v="0"/>
  </r>
  <r>
    <s v="FINAL0722_BANK_HE1"/>
    <s v="BELUGA RIVER"/>
    <x v="25"/>
    <x v="2"/>
    <x v="69"/>
    <n v="0"/>
  </r>
  <r>
    <s v="FINAL0722_BANK_HE1"/>
    <s v="BELUGA RIVER"/>
    <x v="25"/>
    <x v="2"/>
    <x v="70"/>
    <n v="0"/>
  </r>
  <r>
    <s v="FINAL0722_BANK_HE1"/>
    <s v="BELUGA RIVER"/>
    <x v="25"/>
    <x v="2"/>
    <x v="71"/>
    <n v="0"/>
  </r>
  <r>
    <s v="FINAL0722_BANK_HE1"/>
    <s v="BELUGA RIVER"/>
    <x v="25"/>
    <x v="2"/>
    <x v="72"/>
    <n v="0"/>
  </r>
  <r>
    <s v="FINAL0722_BANK_HE1"/>
    <s v="BELUGA RIVER"/>
    <x v="25"/>
    <x v="2"/>
    <x v="73"/>
    <n v="0"/>
  </r>
  <r>
    <s v="FINAL0722_BANK_HE1"/>
    <s v="BELUGA RIVER"/>
    <x v="25"/>
    <x v="2"/>
    <x v="74"/>
    <n v="0"/>
  </r>
  <r>
    <s v="FINAL0722_BANK_HE1"/>
    <s v="BELUGA RIVER"/>
    <x v="25"/>
    <x v="2"/>
    <x v="75"/>
    <n v="0"/>
  </r>
  <r>
    <s v="FINAL0722_BANK_HE1"/>
    <s v="BELUGA RIVER"/>
    <x v="25"/>
    <x v="2"/>
    <x v="76"/>
    <n v="0"/>
  </r>
  <r>
    <s v="FINAL0722_BANK_HE1"/>
    <s v="BELUGA RIVER"/>
    <x v="25"/>
    <x v="2"/>
    <x v="77"/>
    <n v="119062.0625"/>
  </r>
  <r>
    <s v="FINAL0722_BANK_HE1"/>
    <s v="BELUGA RIVER"/>
    <x v="25"/>
    <x v="2"/>
    <x v="78"/>
    <n v="117205.7109375"/>
  </r>
  <r>
    <s v="FINAL0722_BANK_HE1"/>
    <s v="BELUGA RIVER"/>
    <x v="25"/>
    <x v="2"/>
    <x v="79"/>
    <n v="115378.3046875"/>
  </r>
  <r>
    <s v="FINAL0722_BANK_HE1"/>
    <s v="BELUGA RIVER"/>
    <x v="25"/>
    <x v="2"/>
    <x v="80"/>
    <n v="113579.390625"/>
  </r>
  <r>
    <s v="FINAL0722_BANK_HE1"/>
    <s v="BELUGA RIVER"/>
    <x v="25"/>
    <x v="2"/>
    <x v="81"/>
    <n v="111808.5234375"/>
  </r>
  <r>
    <s v="FINAL0722_BANK_HE1"/>
    <s v="BELUGA RIVER"/>
    <x v="25"/>
    <x v="2"/>
    <x v="82"/>
    <n v="110065.265625"/>
  </r>
  <r>
    <s v="FINAL0722_BANK_HE1"/>
    <s v="BELUGA RIVER"/>
    <x v="25"/>
    <x v="2"/>
    <x v="83"/>
    <n v="108349.1875"/>
  </r>
  <r>
    <s v="FINAL0722_BANK_HE1"/>
    <s v="BELUGA RIVER"/>
    <x v="25"/>
    <x v="2"/>
    <x v="84"/>
    <n v="106659.8671875"/>
  </r>
  <r>
    <s v="FINAL0722_BANK_HE1"/>
    <s v="BELUGA RIVER"/>
    <x v="25"/>
    <x v="2"/>
    <x v="85"/>
    <n v="104996.8828125"/>
  </r>
  <r>
    <s v="FINAL0722_BANK_HE1"/>
    <s v="BELUGA RIVER"/>
    <x v="25"/>
    <x v="2"/>
    <x v="86"/>
    <n v="103359.828125"/>
  </r>
  <r>
    <s v="FINAL0722_BANK_HE1"/>
    <s v="BELUGA RIVER"/>
    <x v="25"/>
    <x v="2"/>
    <x v="87"/>
    <n v="101748.296875"/>
  </r>
  <r>
    <s v="FINAL0722_BANK_HE1"/>
    <s v="BELUGA RIVER"/>
    <x v="25"/>
    <x v="2"/>
    <x v="88"/>
    <n v="100161.890625"/>
  </r>
  <r>
    <s v="FINAL0722_BANK_HE1"/>
    <s v="BELUGA RIVER"/>
    <x v="25"/>
    <x v="2"/>
    <x v="89"/>
    <n v="98600.21875"/>
  </r>
  <r>
    <s v="FINAL0722_BANK_HE1"/>
    <s v="BELUGA RIVER"/>
    <x v="25"/>
    <x v="2"/>
    <x v="90"/>
    <n v="97062.8984375"/>
  </r>
  <r>
    <s v="FINAL0722_BANK_HE1"/>
    <s v="BELUGA RIVER"/>
    <x v="25"/>
    <x v="2"/>
    <x v="91"/>
    <n v="95549.546875"/>
  </r>
  <r>
    <s v="FINAL0722_BANK_HE1"/>
    <s v="BELUGA RIVER"/>
    <x v="25"/>
    <x v="2"/>
    <x v="92"/>
    <n v="94059.7890625"/>
  </r>
  <r>
    <s v="FINAL0722_BANK_HE1"/>
    <s v="BELUGA RIVER"/>
    <x v="25"/>
    <x v="2"/>
    <x v="93"/>
    <n v="92593.2578125"/>
  </r>
  <r>
    <s v="FINAL0722_BANK_HE1"/>
    <s v="BELUGA RIVER"/>
    <x v="25"/>
    <x v="2"/>
    <x v="94"/>
    <n v="91149.59375"/>
  </r>
  <r>
    <s v="FINAL0722_BANK_HE1"/>
    <s v="BELUGA RIVER"/>
    <x v="25"/>
    <x v="2"/>
    <x v="95"/>
    <n v="89728.4375"/>
  </r>
  <r>
    <s v="FINAL0722_BANK_HE1"/>
    <s v="BELUGA RIVER"/>
    <x v="25"/>
    <x v="2"/>
    <x v="96"/>
    <n v="88329.4375"/>
  </r>
  <r>
    <s v="FINAL0722_BANK_HE1"/>
    <s v="BELUGA RIVER"/>
    <x v="25"/>
    <x v="2"/>
    <x v="97"/>
    <n v="86952.25"/>
  </r>
  <r>
    <s v="FINAL0722_BANK_HE1"/>
    <s v="BELUGA RIVER"/>
    <x v="25"/>
    <x v="2"/>
    <x v="98"/>
    <n v="85596.5390625"/>
  </r>
  <r>
    <s v="FINAL0722_BANK_HE1"/>
    <s v="BELUGA RIVER"/>
    <x v="25"/>
    <x v="2"/>
    <x v="99"/>
    <n v="84261.9609375"/>
  </r>
  <r>
    <s v="FINAL0722_BANK_HE1"/>
    <s v="BELUGA RIVER"/>
    <x v="25"/>
    <x v="2"/>
    <x v="100"/>
    <n v="82948.1953125"/>
  </r>
  <r>
    <s v="FINAL0722_BANK_HE1"/>
    <s v="BELUGA RIVER"/>
    <x v="25"/>
    <x v="2"/>
    <x v="101"/>
    <n v="81654.9140625"/>
  </r>
  <r>
    <s v="FINAL0722_BANK_HE1"/>
    <s v="BELUGA RIVER"/>
    <x v="25"/>
    <x v="2"/>
    <x v="102"/>
    <n v="80381.796875"/>
  </r>
  <r>
    <s v="FINAL0722_BANK_HE1"/>
    <s v="BELUGA RIVER"/>
    <x v="25"/>
    <x v="2"/>
    <x v="103"/>
    <n v="79128.5234375"/>
  </r>
  <r>
    <s v="FINAL0722_BANK_HE1"/>
    <s v="BELUGA RIVER"/>
    <x v="25"/>
    <x v="2"/>
    <x v="104"/>
    <n v="77894.796875"/>
  </r>
  <r>
    <s v="FINAL0722_BANK_HE1"/>
    <s v="BELUGA RIVER"/>
    <x v="25"/>
    <x v="2"/>
    <x v="105"/>
    <n v="76680.3046875"/>
  </r>
  <r>
    <s v="FINAL0722_BANK_HE1"/>
    <s v="BELUGA RIVER"/>
    <x v="25"/>
    <x v="2"/>
    <x v="106"/>
    <n v="75484.75"/>
  </r>
  <r>
    <s v="FINAL0722_BANK_HE1"/>
    <s v="BELUGA RIVER"/>
    <x v="25"/>
    <x v="2"/>
    <x v="107"/>
    <n v="74307.8359375"/>
  </r>
  <r>
    <s v="FINAL0722_BANK_HE1"/>
    <s v="BELUGA RIVER"/>
    <x v="25"/>
    <x v="2"/>
    <x v="108"/>
    <n v="73149.265625"/>
  </r>
  <r>
    <s v="FINAL0722_BANK_HE1"/>
    <s v="BELUGA RIVER"/>
    <x v="25"/>
    <x v="2"/>
    <x v="109"/>
    <n v="72008.765625"/>
  </r>
  <r>
    <s v="FINAL0722_BANK_HE1"/>
    <s v="BELUGA RIVER"/>
    <x v="25"/>
    <x v="2"/>
    <x v="110"/>
    <n v="70886.046875"/>
  </r>
  <r>
    <s v="FINAL0722_BANK_HE1"/>
    <s v="BELUGA RIVER"/>
    <x v="25"/>
    <x v="2"/>
    <x v="111"/>
    <n v="69780.828125"/>
  </r>
  <r>
    <s v="FINAL0722_BANK_HE1"/>
    <s v="BELUGA RIVER"/>
    <x v="25"/>
    <x v="2"/>
    <x v="112"/>
    <n v="68692.84375"/>
  </r>
  <r>
    <s v="FINAL0722_BANK_HE1"/>
    <s v="BELUGA RIVER"/>
    <x v="25"/>
    <x v="2"/>
    <x v="113"/>
    <n v="67621.8203125"/>
  </r>
  <r>
    <s v="FINAL0722_BANK_HE1"/>
    <s v="BELUGA RIVER"/>
    <x v="25"/>
    <x v="2"/>
    <x v="114"/>
    <n v="66567.5"/>
  </r>
  <r>
    <s v="FINAL0722_BANK_HE1"/>
    <s v="BELUGA RIVER"/>
    <x v="25"/>
    <x v="2"/>
    <x v="115"/>
    <n v="65529.6171875"/>
  </r>
  <r>
    <s v="FINAL0722_BANK_HE1"/>
    <s v="BELUGA RIVER"/>
    <x v="25"/>
    <x v="2"/>
    <x v="116"/>
    <n v="64507.9140625"/>
  </r>
  <r>
    <s v="FINAL0722_BANK_HE1"/>
    <s v="BELUGA RIVER"/>
    <x v="25"/>
    <x v="2"/>
    <x v="117"/>
    <n v="63502.140625"/>
  </r>
  <r>
    <s v="FINAL0722_BANK_HE1"/>
    <s v="BELUGA RIVER"/>
    <x v="25"/>
    <x v="2"/>
    <x v="118"/>
    <n v="62512.05078125"/>
  </r>
  <r>
    <s v="FINAL0722_BANK_HE1"/>
    <s v="BELUGA RIVER"/>
    <x v="25"/>
    <x v="2"/>
    <x v="119"/>
    <n v="61537.3984375"/>
  </r>
  <r>
    <s v="FINAL0722_BANK_HE1"/>
    <s v="BELUGA RIVER"/>
    <x v="25"/>
    <x v="2"/>
    <x v="120"/>
    <n v="60577.94140625"/>
  </r>
  <r>
    <s v="FINAL0722_BANK_HE1"/>
    <s v="BELUGA RIVER"/>
    <x v="25"/>
    <x v="2"/>
    <x v="121"/>
    <n v="59633.44140625"/>
  </r>
  <r>
    <s v="FINAL0722_BANK_HE1"/>
    <s v="BELUGA RIVER"/>
    <x v="25"/>
    <x v="2"/>
    <x v="122"/>
    <n v="58703.66796875"/>
  </r>
  <r>
    <s v="FINAL0722_BANK_HE1"/>
    <s v="BELUGA RIVER"/>
    <x v="25"/>
    <x v="2"/>
    <x v="123"/>
    <n v="57788.390625"/>
  </r>
  <r>
    <s v="FINAL0722_BANK_HE1"/>
    <s v="BELUGA RIVER"/>
    <x v="25"/>
    <x v="2"/>
    <x v="124"/>
    <n v="56887.38671875"/>
  </r>
  <r>
    <s v="FINAL0722_BANK_HE1"/>
    <s v="BELUGA RIVER"/>
    <x v="25"/>
    <x v="2"/>
    <x v="125"/>
    <n v="56000.4296875"/>
  </r>
  <r>
    <s v="FINAL0722_BANK_HE1"/>
    <s v="BELUGA RIVER"/>
    <x v="25"/>
    <x v="2"/>
    <x v="126"/>
    <n v="55127.30078125"/>
  </r>
  <r>
    <s v="FINAL0722_BANK_HE1"/>
    <s v="BELUGA RIVER"/>
    <x v="25"/>
    <x v="2"/>
    <x v="127"/>
    <n v="54267.78515625"/>
  </r>
  <r>
    <s v="FINAL0722_BANK_HE1"/>
    <s v="BELUGA RIVER"/>
    <x v="25"/>
    <x v="2"/>
    <x v="128"/>
    <n v="53421.671875"/>
  </r>
  <r>
    <s v="FINAL0722_BANK_HE1"/>
    <s v="BELUGA RIVER"/>
    <x v="25"/>
    <x v="2"/>
    <x v="129"/>
    <n v="52588.75"/>
  </r>
  <r>
    <s v="FINAL0722_BANK_HE1"/>
    <s v="BELUGA RIVER"/>
    <x v="25"/>
    <x v="2"/>
    <x v="130"/>
    <n v="51768.81640625"/>
  </r>
  <r>
    <s v="FINAL0722_BANK_HE1"/>
    <s v="BELUGA RIVER"/>
    <x v="25"/>
    <x v="2"/>
    <x v="131"/>
    <n v="50961.6640625"/>
  </r>
  <r>
    <s v="FINAL0722_BANK_HE1"/>
    <s v="BELUGA RIVER"/>
    <x v="25"/>
    <x v="2"/>
    <x v="132"/>
    <n v="50167.09765625"/>
  </r>
  <r>
    <s v="FINAL0722_BANK_HE1"/>
    <s v="BELUGA RIVER"/>
    <x v="25"/>
    <x v="2"/>
    <x v="133"/>
    <n v="49384.91796875"/>
  </r>
  <r>
    <s v="FINAL0722_BANK_HE1"/>
    <s v="BELUGA RIVER"/>
    <x v="25"/>
    <x v="2"/>
    <x v="134"/>
    <n v="48614.93359375"/>
  </r>
  <r>
    <s v="FINAL0722_BANK_HE1"/>
    <s v="BELUGA RIVER"/>
    <x v="25"/>
    <x v="2"/>
    <x v="135"/>
    <n v="47856.95703125"/>
  </r>
  <r>
    <s v="FINAL0722_BANK_HE1"/>
    <s v="BELUGA RIVER"/>
    <x v="25"/>
    <x v="2"/>
    <x v="136"/>
    <n v="47110.796875"/>
  </r>
  <r>
    <s v="FINAL0722_BANK_HE1"/>
    <s v="BELUGA RIVER"/>
    <x v="25"/>
    <x v="2"/>
    <x v="137"/>
    <n v="46376.26953125"/>
  </r>
  <r>
    <s v="FINAL0722_BANK_HE1"/>
    <s v="BELUGA RIVER"/>
    <x v="25"/>
    <x v="2"/>
    <x v="138"/>
    <n v="45653.1953125"/>
  </r>
  <r>
    <s v="FINAL0722_BANK_HE1"/>
    <s v="BELUGA RIVER"/>
    <x v="25"/>
    <x v="2"/>
    <x v="139"/>
    <n v="44941.39453125"/>
  </r>
  <r>
    <s v="FINAL0722_BANK_HE1"/>
    <s v="BELUGA RIVER"/>
    <x v="25"/>
    <x v="2"/>
    <x v="140"/>
    <n v="44240.69140625"/>
  </r>
  <r>
    <s v="FINAL0722_BANK_HE1"/>
    <s v="BELUGA RIVER"/>
    <x v="25"/>
    <x v="2"/>
    <x v="141"/>
    <n v="43550.9140625"/>
  </r>
  <r>
    <s v="FINAL0722_BANK_HE1"/>
    <s v="BELUGA RIVER"/>
    <x v="25"/>
    <x v="2"/>
    <x v="142"/>
    <n v="42871.890625"/>
  </r>
  <r>
    <s v="FINAL0722_BANK_HE1"/>
    <s v="BELUGA RIVER"/>
    <x v="25"/>
    <x v="2"/>
    <x v="143"/>
    <n v="42203.45703125"/>
  </r>
  <r>
    <s v="FINAL0722_BANK_HE1"/>
    <s v="BELUGA RIVER"/>
    <x v="25"/>
    <x v="2"/>
    <x v="144"/>
    <n v="41545.4453125"/>
  </r>
  <r>
    <s v="FINAL0722_BANK_HE1"/>
    <s v="BELUGA RIVER"/>
    <x v="25"/>
    <x v="2"/>
    <x v="145"/>
    <n v="40897.69140625"/>
  </r>
  <r>
    <s v="FINAL0722_BANK_HE1"/>
    <s v="BELUGA RIVER"/>
    <x v="25"/>
    <x v="2"/>
    <x v="146"/>
    <n v="40260.03515625"/>
  </r>
  <r>
    <s v="FINAL0722_BANK_HE1"/>
    <s v="BELUGA RIVER"/>
    <x v="25"/>
    <x v="2"/>
    <x v="147"/>
    <n v="39632.32421875"/>
  </r>
  <r>
    <s v="FINAL0722_BANK_HE1"/>
    <s v="BELUGA RIVER"/>
    <x v="25"/>
    <x v="2"/>
    <x v="148"/>
    <n v="39014.3984375"/>
  </r>
  <r>
    <s v="FINAL0722_BANK_HE1"/>
    <s v="BELUGA RIVER"/>
    <x v="25"/>
    <x v="2"/>
    <x v="149"/>
    <n v="38406.10546875"/>
  </r>
  <r>
    <s v="FINAL0722_BANK_HE1"/>
    <s v="BELUGA RIVER"/>
    <x v="25"/>
    <x v="2"/>
    <x v="150"/>
    <n v="37807.296875"/>
  </r>
  <r>
    <s v="FINAL0722_BANK_HE1"/>
    <s v="BELUGA RIVER"/>
    <x v="25"/>
    <x v="2"/>
    <x v="151"/>
    <n v="37217.82421875"/>
  </r>
  <r>
    <s v="FINAL0722_BANK_HE1"/>
    <s v="BELUGA RIVER"/>
    <x v="25"/>
    <x v="2"/>
    <x v="152"/>
    <n v="36637.54296875"/>
  </r>
  <r>
    <s v="FINAL0722_BANK_HE1"/>
    <s v="BELUGA RIVER"/>
    <x v="25"/>
    <x v="2"/>
    <x v="153"/>
    <n v="36066.30859375"/>
  </r>
  <r>
    <s v="FINAL0722_BANK_HE1"/>
    <s v="BELUGA RIVER"/>
    <x v="25"/>
    <x v="2"/>
    <x v="154"/>
    <n v="35503.98046875"/>
  </r>
  <r>
    <s v="FINAL0722_BANK_HE1"/>
    <s v="BELUGA RIVER"/>
    <x v="25"/>
    <x v="2"/>
    <x v="155"/>
    <n v="34950.421875"/>
  </r>
  <r>
    <s v="FINAL0722_BANK_HE1"/>
    <s v="BELUGA RIVER"/>
    <x v="25"/>
    <x v="2"/>
    <x v="156"/>
    <n v="34405.4921875"/>
  </r>
  <r>
    <s v="FINAL0722_BANK_HE1"/>
    <s v="BELUGA RIVER"/>
    <x v="25"/>
    <x v="2"/>
    <x v="157"/>
    <n v="33869.05859375"/>
  </r>
  <r>
    <s v="FINAL0722_BANK_HE1"/>
    <s v="BELUGA RIVER"/>
    <x v="25"/>
    <x v="2"/>
    <x v="158"/>
    <n v="33340.9921875"/>
  </r>
  <r>
    <s v="FINAL0722_BANK_HE1"/>
    <s v="BELUGA RIVER"/>
    <x v="25"/>
    <x v="2"/>
    <x v="159"/>
    <n v="32821.15625"/>
  </r>
  <r>
    <s v="FINAL0722_BANK_HE1"/>
    <s v="BELUGA RIVER"/>
    <x v="25"/>
    <x v="2"/>
    <x v="160"/>
    <n v="32309.42578125"/>
  </r>
  <r>
    <s v="FINAL0722_BANK_HE1"/>
    <s v="BELUGA RIVER"/>
    <x v="25"/>
    <x v="2"/>
    <x v="161"/>
    <n v="31805.673828125"/>
  </r>
  <r>
    <s v="FINAL0722_BANK_HE1"/>
    <s v="BELUGA RIVER"/>
    <x v="26"/>
    <x v="2"/>
    <x v="0"/>
    <n v="0"/>
  </r>
  <r>
    <s v="FINAL0722_BANK_HE1"/>
    <s v="BELUGA RIVER"/>
    <x v="26"/>
    <x v="2"/>
    <x v="1"/>
    <n v="0"/>
  </r>
  <r>
    <s v="FINAL0722_BANK_HE1"/>
    <s v="BELUGA RIVER"/>
    <x v="26"/>
    <x v="2"/>
    <x v="2"/>
    <n v="0"/>
  </r>
  <r>
    <s v="FINAL0722_BANK_HE1"/>
    <s v="BELUGA RIVER"/>
    <x v="26"/>
    <x v="2"/>
    <x v="3"/>
    <n v="0"/>
  </r>
  <r>
    <s v="FINAL0722_BANK_HE1"/>
    <s v="BELUGA RIVER"/>
    <x v="26"/>
    <x v="2"/>
    <x v="4"/>
    <n v="0"/>
  </r>
  <r>
    <s v="FINAL0722_BANK_HE1"/>
    <s v="BELUGA RIVER"/>
    <x v="26"/>
    <x v="2"/>
    <x v="5"/>
    <n v="0"/>
  </r>
  <r>
    <s v="FINAL0722_BANK_HE1"/>
    <s v="BELUGA RIVER"/>
    <x v="26"/>
    <x v="2"/>
    <x v="6"/>
    <n v="0"/>
  </r>
  <r>
    <s v="FINAL0722_BANK_HE1"/>
    <s v="BELUGA RIVER"/>
    <x v="26"/>
    <x v="2"/>
    <x v="7"/>
    <n v="0"/>
  </r>
  <r>
    <s v="FINAL0722_BANK_HE1"/>
    <s v="BELUGA RIVER"/>
    <x v="26"/>
    <x v="2"/>
    <x v="8"/>
    <n v="0"/>
  </r>
  <r>
    <s v="FINAL0722_BANK_HE1"/>
    <s v="BELUGA RIVER"/>
    <x v="26"/>
    <x v="2"/>
    <x v="9"/>
    <n v="0"/>
  </r>
  <r>
    <s v="FINAL0722_BANK_HE1"/>
    <s v="BELUGA RIVER"/>
    <x v="26"/>
    <x v="2"/>
    <x v="10"/>
    <n v="0"/>
  </r>
  <r>
    <s v="FINAL0722_BANK_HE1"/>
    <s v="BELUGA RIVER"/>
    <x v="26"/>
    <x v="2"/>
    <x v="11"/>
    <n v="0"/>
  </r>
  <r>
    <s v="FINAL0722_BANK_HE1"/>
    <s v="BELUGA RIVER"/>
    <x v="26"/>
    <x v="2"/>
    <x v="12"/>
    <n v="0"/>
  </r>
  <r>
    <s v="FINAL0722_BANK_HE1"/>
    <s v="BELUGA RIVER"/>
    <x v="26"/>
    <x v="2"/>
    <x v="13"/>
    <n v="0"/>
  </r>
  <r>
    <s v="FINAL0722_BANK_HE1"/>
    <s v="BELUGA RIVER"/>
    <x v="26"/>
    <x v="2"/>
    <x v="14"/>
    <n v="0"/>
  </r>
  <r>
    <s v="FINAL0722_BANK_HE1"/>
    <s v="BELUGA RIVER"/>
    <x v="26"/>
    <x v="2"/>
    <x v="15"/>
    <n v="0"/>
  </r>
  <r>
    <s v="FINAL0722_BANK_HE1"/>
    <s v="BELUGA RIVER"/>
    <x v="26"/>
    <x v="2"/>
    <x v="16"/>
    <n v="0"/>
  </r>
  <r>
    <s v="FINAL0722_BANK_HE1"/>
    <s v="BELUGA RIVER"/>
    <x v="26"/>
    <x v="2"/>
    <x v="17"/>
    <n v="0"/>
  </r>
  <r>
    <s v="FINAL0722_BANK_HE1"/>
    <s v="BELUGA RIVER"/>
    <x v="26"/>
    <x v="2"/>
    <x v="18"/>
    <n v="0"/>
  </r>
  <r>
    <s v="FINAL0722_BANK_HE1"/>
    <s v="BELUGA RIVER"/>
    <x v="26"/>
    <x v="2"/>
    <x v="19"/>
    <n v="0"/>
  </r>
  <r>
    <s v="FINAL0722_BANK_HE1"/>
    <s v="BELUGA RIVER"/>
    <x v="26"/>
    <x v="2"/>
    <x v="20"/>
    <n v="0"/>
  </r>
  <r>
    <s v="FINAL0722_BANK_HE1"/>
    <s v="BELUGA RIVER"/>
    <x v="26"/>
    <x v="2"/>
    <x v="21"/>
    <n v="0"/>
  </r>
  <r>
    <s v="FINAL0722_BANK_HE1"/>
    <s v="BELUGA RIVER"/>
    <x v="26"/>
    <x v="2"/>
    <x v="22"/>
    <n v="0"/>
  </r>
  <r>
    <s v="FINAL0722_BANK_HE1"/>
    <s v="BELUGA RIVER"/>
    <x v="26"/>
    <x v="2"/>
    <x v="23"/>
    <n v="0"/>
  </r>
  <r>
    <s v="FINAL0722_BANK_HE1"/>
    <s v="BELUGA RIVER"/>
    <x v="26"/>
    <x v="2"/>
    <x v="24"/>
    <n v="0"/>
  </r>
  <r>
    <s v="FINAL0722_BANK_HE1"/>
    <s v="BELUGA RIVER"/>
    <x v="26"/>
    <x v="2"/>
    <x v="25"/>
    <n v="0"/>
  </r>
  <r>
    <s v="FINAL0722_BANK_HE1"/>
    <s v="BELUGA RIVER"/>
    <x v="26"/>
    <x v="2"/>
    <x v="26"/>
    <n v="0"/>
  </r>
  <r>
    <s v="FINAL0722_BANK_HE1"/>
    <s v="BELUGA RIVER"/>
    <x v="26"/>
    <x v="2"/>
    <x v="27"/>
    <n v="0"/>
  </r>
  <r>
    <s v="FINAL0722_BANK_HE1"/>
    <s v="BELUGA RIVER"/>
    <x v="26"/>
    <x v="2"/>
    <x v="28"/>
    <n v="0"/>
  </r>
  <r>
    <s v="FINAL0722_BANK_HE1"/>
    <s v="BELUGA RIVER"/>
    <x v="26"/>
    <x v="2"/>
    <x v="29"/>
    <n v="0"/>
  </r>
  <r>
    <s v="FINAL0722_BANK_HE1"/>
    <s v="BELUGA RIVER"/>
    <x v="26"/>
    <x v="2"/>
    <x v="30"/>
    <n v="0"/>
  </r>
  <r>
    <s v="FINAL0722_BANK_HE1"/>
    <s v="BELUGA RIVER"/>
    <x v="26"/>
    <x v="2"/>
    <x v="31"/>
    <n v="0"/>
  </r>
  <r>
    <s v="FINAL0722_BANK_HE1"/>
    <s v="BELUGA RIVER"/>
    <x v="26"/>
    <x v="2"/>
    <x v="32"/>
    <n v="0"/>
  </r>
  <r>
    <s v="FINAL0722_BANK_HE1"/>
    <s v="BELUGA RIVER"/>
    <x v="26"/>
    <x v="2"/>
    <x v="33"/>
    <n v="0"/>
  </r>
  <r>
    <s v="FINAL0722_BANK_HE1"/>
    <s v="BELUGA RIVER"/>
    <x v="26"/>
    <x v="2"/>
    <x v="34"/>
    <n v="0"/>
  </r>
  <r>
    <s v="FINAL0722_BANK_HE1"/>
    <s v="BELUGA RIVER"/>
    <x v="26"/>
    <x v="2"/>
    <x v="35"/>
    <n v="0"/>
  </r>
  <r>
    <s v="FINAL0722_BANK_HE1"/>
    <s v="BELUGA RIVER"/>
    <x v="26"/>
    <x v="2"/>
    <x v="36"/>
    <n v="0"/>
  </r>
  <r>
    <s v="FINAL0722_BANK_HE1"/>
    <s v="BELUGA RIVER"/>
    <x v="26"/>
    <x v="2"/>
    <x v="37"/>
    <n v="0"/>
  </r>
  <r>
    <s v="FINAL0722_BANK_HE1"/>
    <s v="BELUGA RIVER"/>
    <x v="26"/>
    <x v="2"/>
    <x v="38"/>
    <n v="0"/>
  </r>
  <r>
    <s v="FINAL0722_BANK_HE1"/>
    <s v="BELUGA RIVER"/>
    <x v="26"/>
    <x v="2"/>
    <x v="39"/>
    <n v="0"/>
  </r>
  <r>
    <s v="FINAL0722_BANK_HE1"/>
    <s v="BELUGA RIVER"/>
    <x v="26"/>
    <x v="2"/>
    <x v="40"/>
    <n v="0"/>
  </r>
  <r>
    <s v="FINAL0722_BANK_HE1"/>
    <s v="BELUGA RIVER"/>
    <x v="26"/>
    <x v="2"/>
    <x v="41"/>
    <n v="0"/>
  </r>
  <r>
    <s v="FINAL0722_BANK_HE1"/>
    <s v="BELUGA RIVER"/>
    <x v="26"/>
    <x v="2"/>
    <x v="42"/>
    <n v="0"/>
  </r>
  <r>
    <s v="FINAL0722_BANK_HE1"/>
    <s v="BELUGA RIVER"/>
    <x v="26"/>
    <x v="2"/>
    <x v="43"/>
    <n v="0"/>
  </r>
  <r>
    <s v="FINAL0722_BANK_HE1"/>
    <s v="BELUGA RIVER"/>
    <x v="26"/>
    <x v="2"/>
    <x v="44"/>
    <n v="0"/>
  </r>
  <r>
    <s v="FINAL0722_BANK_HE1"/>
    <s v="BELUGA RIVER"/>
    <x v="26"/>
    <x v="2"/>
    <x v="45"/>
    <n v="0"/>
  </r>
  <r>
    <s v="FINAL0722_BANK_HE1"/>
    <s v="BELUGA RIVER"/>
    <x v="26"/>
    <x v="2"/>
    <x v="46"/>
    <n v="0"/>
  </r>
  <r>
    <s v="FINAL0722_BANK_HE1"/>
    <s v="BELUGA RIVER"/>
    <x v="26"/>
    <x v="2"/>
    <x v="47"/>
    <n v="0"/>
  </r>
  <r>
    <s v="FINAL0722_BANK_HE1"/>
    <s v="BELUGA RIVER"/>
    <x v="26"/>
    <x v="2"/>
    <x v="48"/>
    <n v="0"/>
  </r>
  <r>
    <s v="FINAL0722_BANK_HE1"/>
    <s v="BELUGA RIVER"/>
    <x v="26"/>
    <x v="2"/>
    <x v="49"/>
    <n v="0"/>
  </r>
  <r>
    <s v="FINAL0722_BANK_HE1"/>
    <s v="BELUGA RIVER"/>
    <x v="26"/>
    <x v="2"/>
    <x v="50"/>
    <n v="0"/>
  </r>
  <r>
    <s v="FINAL0722_BANK_HE1"/>
    <s v="BELUGA RIVER"/>
    <x v="26"/>
    <x v="2"/>
    <x v="51"/>
    <n v="0"/>
  </r>
  <r>
    <s v="FINAL0722_BANK_HE1"/>
    <s v="BELUGA RIVER"/>
    <x v="26"/>
    <x v="2"/>
    <x v="52"/>
    <n v="0"/>
  </r>
  <r>
    <s v="FINAL0722_BANK_HE1"/>
    <s v="BELUGA RIVER"/>
    <x v="26"/>
    <x v="2"/>
    <x v="53"/>
    <n v="0"/>
  </r>
  <r>
    <s v="FINAL0722_BANK_HE1"/>
    <s v="BELUGA RIVER"/>
    <x v="26"/>
    <x v="2"/>
    <x v="54"/>
    <n v="0"/>
  </r>
  <r>
    <s v="FINAL0722_BANK_HE1"/>
    <s v="BELUGA RIVER"/>
    <x v="26"/>
    <x v="2"/>
    <x v="55"/>
    <n v="0"/>
  </r>
  <r>
    <s v="FINAL0722_BANK_HE1"/>
    <s v="BELUGA RIVER"/>
    <x v="26"/>
    <x v="2"/>
    <x v="56"/>
    <n v="0"/>
  </r>
  <r>
    <s v="FINAL0722_BANK_HE1"/>
    <s v="BELUGA RIVER"/>
    <x v="26"/>
    <x v="2"/>
    <x v="57"/>
    <n v="0"/>
  </r>
  <r>
    <s v="FINAL0722_BANK_HE1"/>
    <s v="BELUGA RIVER"/>
    <x v="26"/>
    <x v="2"/>
    <x v="58"/>
    <n v="0"/>
  </r>
  <r>
    <s v="FINAL0722_BANK_HE1"/>
    <s v="BELUGA RIVER"/>
    <x v="26"/>
    <x v="2"/>
    <x v="59"/>
    <n v="0"/>
  </r>
  <r>
    <s v="FINAL0722_BANK_HE1"/>
    <s v="BELUGA RIVER"/>
    <x v="26"/>
    <x v="2"/>
    <x v="60"/>
    <n v="0"/>
  </r>
  <r>
    <s v="FINAL0722_BANK_HE1"/>
    <s v="BELUGA RIVER"/>
    <x v="26"/>
    <x v="2"/>
    <x v="61"/>
    <n v="0"/>
  </r>
  <r>
    <s v="FINAL0722_BANK_HE1"/>
    <s v="BELUGA RIVER"/>
    <x v="26"/>
    <x v="2"/>
    <x v="62"/>
    <n v="0"/>
  </r>
  <r>
    <s v="FINAL0722_BANK_HE1"/>
    <s v="BELUGA RIVER"/>
    <x v="26"/>
    <x v="2"/>
    <x v="63"/>
    <n v="0"/>
  </r>
  <r>
    <s v="FINAL0722_BANK_HE1"/>
    <s v="BELUGA RIVER"/>
    <x v="26"/>
    <x v="2"/>
    <x v="64"/>
    <n v="0"/>
  </r>
  <r>
    <s v="FINAL0722_BANK_HE1"/>
    <s v="BELUGA RIVER"/>
    <x v="26"/>
    <x v="2"/>
    <x v="65"/>
    <n v="0"/>
  </r>
  <r>
    <s v="FINAL0722_BANK_HE1"/>
    <s v="BELUGA RIVER"/>
    <x v="26"/>
    <x v="2"/>
    <x v="66"/>
    <n v="0"/>
  </r>
  <r>
    <s v="FINAL0722_BANK_HE1"/>
    <s v="BELUGA RIVER"/>
    <x v="26"/>
    <x v="2"/>
    <x v="67"/>
    <n v="0"/>
  </r>
  <r>
    <s v="FINAL0722_BANK_HE1"/>
    <s v="BELUGA RIVER"/>
    <x v="26"/>
    <x v="2"/>
    <x v="68"/>
    <n v="0"/>
  </r>
  <r>
    <s v="FINAL0722_BANK_HE1"/>
    <s v="BELUGA RIVER"/>
    <x v="26"/>
    <x v="2"/>
    <x v="69"/>
    <n v="0"/>
  </r>
  <r>
    <s v="FINAL0722_BANK_HE1"/>
    <s v="BELUGA RIVER"/>
    <x v="26"/>
    <x v="2"/>
    <x v="70"/>
    <n v="0"/>
  </r>
  <r>
    <s v="FINAL0722_BANK_HE1"/>
    <s v="BELUGA RIVER"/>
    <x v="26"/>
    <x v="2"/>
    <x v="71"/>
    <n v="0"/>
  </r>
  <r>
    <s v="FINAL0722_BANK_HE1"/>
    <s v="BELUGA RIVER"/>
    <x v="26"/>
    <x v="2"/>
    <x v="72"/>
    <n v="0"/>
  </r>
  <r>
    <s v="FINAL0722_BANK_HE1"/>
    <s v="BELUGA RIVER"/>
    <x v="26"/>
    <x v="2"/>
    <x v="73"/>
    <n v="0"/>
  </r>
  <r>
    <s v="FINAL0722_BANK_HE1"/>
    <s v="BELUGA RIVER"/>
    <x v="26"/>
    <x v="2"/>
    <x v="74"/>
    <n v="0"/>
  </r>
  <r>
    <s v="FINAL0722_BANK_HE1"/>
    <s v="BELUGA RIVER"/>
    <x v="26"/>
    <x v="2"/>
    <x v="75"/>
    <n v="0"/>
  </r>
  <r>
    <s v="FINAL0722_BANK_HE1"/>
    <s v="BELUGA RIVER"/>
    <x v="26"/>
    <x v="2"/>
    <x v="76"/>
    <n v="0"/>
  </r>
  <r>
    <s v="FINAL0722_BANK_HE1"/>
    <s v="BELUGA RIVER"/>
    <x v="26"/>
    <x v="2"/>
    <x v="77"/>
    <n v="0"/>
  </r>
  <r>
    <s v="FINAL0722_BANK_HE1"/>
    <s v="BELUGA RIVER"/>
    <x v="26"/>
    <x v="2"/>
    <x v="78"/>
    <n v="119062.0625"/>
  </r>
  <r>
    <s v="FINAL0722_BANK_HE1"/>
    <s v="BELUGA RIVER"/>
    <x v="26"/>
    <x v="2"/>
    <x v="79"/>
    <n v="117205.7109375"/>
  </r>
  <r>
    <s v="FINAL0722_BANK_HE1"/>
    <s v="BELUGA RIVER"/>
    <x v="26"/>
    <x v="2"/>
    <x v="80"/>
    <n v="115378.3046875"/>
  </r>
  <r>
    <s v="FINAL0722_BANK_HE1"/>
    <s v="BELUGA RIVER"/>
    <x v="26"/>
    <x v="2"/>
    <x v="81"/>
    <n v="113579.390625"/>
  </r>
  <r>
    <s v="FINAL0722_BANK_HE1"/>
    <s v="BELUGA RIVER"/>
    <x v="26"/>
    <x v="2"/>
    <x v="82"/>
    <n v="111808.5234375"/>
  </r>
  <r>
    <s v="FINAL0722_BANK_HE1"/>
    <s v="BELUGA RIVER"/>
    <x v="26"/>
    <x v="2"/>
    <x v="83"/>
    <n v="110065.265625"/>
  </r>
  <r>
    <s v="FINAL0722_BANK_HE1"/>
    <s v="BELUGA RIVER"/>
    <x v="26"/>
    <x v="2"/>
    <x v="84"/>
    <n v="108349.1875"/>
  </r>
  <r>
    <s v="FINAL0722_BANK_HE1"/>
    <s v="BELUGA RIVER"/>
    <x v="26"/>
    <x v="2"/>
    <x v="85"/>
    <n v="106659.8671875"/>
  </r>
  <r>
    <s v="FINAL0722_BANK_HE1"/>
    <s v="BELUGA RIVER"/>
    <x v="26"/>
    <x v="2"/>
    <x v="86"/>
    <n v="104996.8828125"/>
  </r>
  <r>
    <s v="FINAL0722_BANK_HE1"/>
    <s v="BELUGA RIVER"/>
    <x v="26"/>
    <x v="2"/>
    <x v="87"/>
    <n v="103359.828125"/>
  </r>
  <r>
    <s v="FINAL0722_BANK_HE1"/>
    <s v="BELUGA RIVER"/>
    <x v="26"/>
    <x v="2"/>
    <x v="88"/>
    <n v="101748.296875"/>
  </r>
  <r>
    <s v="FINAL0722_BANK_HE1"/>
    <s v="BELUGA RIVER"/>
    <x v="26"/>
    <x v="2"/>
    <x v="89"/>
    <n v="100161.890625"/>
  </r>
  <r>
    <s v="FINAL0722_BANK_HE1"/>
    <s v="BELUGA RIVER"/>
    <x v="26"/>
    <x v="2"/>
    <x v="90"/>
    <n v="98600.21875"/>
  </r>
  <r>
    <s v="FINAL0722_BANK_HE1"/>
    <s v="BELUGA RIVER"/>
    <x v="26"/>
    <x v="2"/>
    <x v="91"/>
    <n v="97062.8984375"/>
  </r>
  <r>
    <s v="FINAL0722_BANK_HE1"/>
    <s v="BELUGA RIVER"/>
    <x v="26"/>
    <x v="2"/>
    <x v="92"/>
    <n v="95549.546875"/>
  </r>
  <r>
    <s v="FINAL0722_BANK_HE1"/>
    <s v="BELUGA RIVER"/>
    <x v="26"/>
    <x v="2"/>
    <x v="93"/>
    <n v="94059.7890625"/>
  </r>
  <r>
    <s v="FINAL0722_BANK_HE1"/>
    <s v="BELUGA RIVER"/>
    <x v="26"/>
    <x v="2"/>
    <x v="94"/>
    <n v="92593.2578125"/>
  </r>
  <r>
    <s v="FINAL0722_BANK_HE1"/>
    <s v="BELUGA RIVER"/>
    <x v="26"/>
    <x v="2"/>
    <x v="95"/>
    <n v="91149.59375"/>
  </r>
  <r>
    <s v="FINAL0722_BANK_HE1"/>
    <s v="BELUGA RIVER"/>
    <x v="26"/>
    <x v="2"/>
    <x v="96"/>
    <n v="89728.4375"/>
  </r>
  <r>
    <s v="FINAL0722_BANK_HE1"/>
    <s v="BELUGA RIVER"/>
    <x v="26"/>
    <x v="2"/>
    <x v="97"/>
    <n v="88329.4375"/>
  </r>
  <r>
    <s v="FINAL0722_BANK_HE1"/>
    <s v="BELUGA RIVER"/>
    <x v="26"/>
    <x v="2"/>
    <x v="98"/>
    <n v="86952.25"/>
  </r>
  <r>
    <s v="FINAL0722_BANK_HE1"/>
    <s v="BELUGA RIVER"/>
    <x v="26"/>
    <x v="2"/>
    <x v="99"/>
    <n v="85596.5390625"/>
  </r>
  <r>
    <s v="FINAL0722_BANK_HE1"/>
    <s v="BELUGA RIVER"/>
    <x v="26"/>
    <x v="2"/>
    <x v="100"/>
    <n v="84261.9609375"/>
  </r>
  <r>
    <s v="FINAL0722_BANK_HE1"/>
    <s v="BELUGA RIVER"/>
    <x v="26"/>
    <x v="2"/>
    <x v="101"/>
    <n v="82948.1953125"/>
  </r>
  <r>
    <s v="FINAL0722_BANK_HE1"/>
    <s v="BELUGA RIVER"/>
    <x v="26"/>
    <x v="2"/>
    <x v="102"/>
    <n v="81654.9140625"/>
  </r>
  <r>
    <s v="FINAL0722_BANK_HE1"/>
    <s v="BELUGA RIVER"/>
    <x v="26"/>
    <x v="2"/>
    <x v="103"/>
    <n v="80381.796875"/>
  </r>
  <r>
    <s v="FINAL0722_BANK_HE1"/>
    <s v="BELUGA RIVER"/>
    <x v="26"/>
    <x v="2"/>
    <x v="104"/>
    <n v="79128.5234375"/>
  </r>
  <r>
    <s v="FINAL0722_BANK_HE1"/>
    <s v="BELUGA RIVER"/>
    <x v="26"/>
    <x v="2"/>
    <x v="105"/>
    <n v="77894.796875"/>
  </r>
  <r>
    <s v="FINAL0722_BANK_HE1"/>
    <s v="BELUGA RIVER"/>
    <x v="26"/>
    <x v="2"/>
    <x v="106"/>
    <n v="76680.3046875"/>
  </r>
  <r>
    <s v="FINAL0722_BANK_HE1"/>
    <s v="BELUGA RIVER"/>
    <x v="26"/>
    <x v="2"/>
    <x v="107"/>
    <n v="75484.75"/>
  </r>
  <r>
    <s v="FINAL0722_BANK_HE1"/>
    <s v="BELUGA RIVER"/>
    <x v="26"/>
    <x v="2"/>
    <x v="108"/>
    <n v="74307.8359375"/>
  </r>
  <r>
    <s v="FINAL0722_BANK_HE1"/>
    <s v="BELUGA RIVER"/>
    <x v="26"/>
    <x v="2"/>
    <x v="109"/>
    <n v="73149.265625"/>
  </r>
  <r>
    <s v="FINAL0722_BANK_HE1"/>
    <s v="BELUGA RIVER"/>
    <x v="26"/>
    <x v="2"/>
    <x v="110"/>
    <n v="72008.765625"/>
  </r>
  <r>
    <s v="FINAL0722_BANK_HE1"/>
    <s v="BELUGA RIVER"/>
    <x v="26"/>
    <x v="2"/>
    <x v="111"/>
    <n v="70886.046875"/>
  </r>
  <r>
    <s v="FINAL0722_BANK_HE1"/>
    <s v="BELUGA RIVER"/>
    <x v="26"/>
    <x v="2"/>
    <x v="112"/>
    <n v="69780.828125"/>
  </r>
  <r>
    <s v="FINAL0722_BANK_HE1"/>
    <s v="BELUGA RIVER"/>
    <x v="26"/>
    <x v="2"/>
    <x v="113"/>
    <n v="68692.84375"/>
  </r>
  <r>
    <s v="FINAL0722_BANK_HE1"/>
    <s v="BELUGA RIVER"/>
    <x v="26"/>
    <x v="2"/>
    <x v="114"/>
    <n v="67621.8203125"/>
  </r>
  <r>
    <s v="FINAL0722_BANK_HE1"/>
    <s v="BELUGA RIVER"/>
    <x v="26"/>
    <x v="2"/>
    <x v="115"/>
    <n v="66567.5"/>
  </r>
  <r>
    <s v="FINAL0722_BANK_HE1"/>
    <s v="BELUGA RIVER"/>
    <x v="26"/>
    <x v="2"/>
    <x v="116"/>
    <n v="65529.6171875"/>
  </r>
  <r>
    <s v="FINAL0722_BANK_HE1"/>
    <s v="BELUGA RIVER"/>
    <x v="26"/>
    <x v="2"/>
    <x v="117"/>
    <n v="64507.9140625"/>
  </r>
  <r>
    <s v="FINAL0722_BANK_HE1"/>
    <s v="BELUGA RIVER"/>
    <x v="26"/>
    <x v="2"/>
    <x v="118"/>
    <n v="63502.140625"/>
  </r>
  <r>
    <s v="FINAL0722_BANK_HE1"/>
    <s v="BELUGA RIVER"/>
    <x v="26"/>
    <x v="2"/>
    <x v="119"/>
    <n v="62512.05078125"/>
  </r>
  <r>
    <s v="FINAL0722_BANK_HE1"/>
    <s v="BELUGA RIVER"/>
    <x v="26"/>
    <x v="2"/>
    <x v="120"/>
    <n v="61537.3984375"/>
  </r>
  <r>
    <s v="FINAL0722_BANK_HE1"/>
    <s v="BELUGA RIVER"/>
    <x v="26"/>
    <x v="2"/>
    <x v="121"/>
    <n v="60577.94140625"/>
  </r>
  <r>
    <s v="FINAL0722_BANK_HE1"/>
    <s v="BELUGA RIVER"/>
    <x v="26"/>
    <x v="2"/>
    <x v="122"/>
    <n v="59633.44140625"/>
  </r>
  <r>
    <s v="FINAL0722_BANK_HE1"/>
    <s v="BELUGA RIVER"/>
    <x v="26"/>
    <x v="2"/>
    <x v="123"/>
    <n v="58703.66796875"/>
  </r>
  <r>
    <s v="FINAL0722_BANK_HE1"/>
    <s v="BELUGA RIVER"/>
    <x v="26"/>
    <x v="2"/>
    <x v="124"/>
    <n v="57788.390625"/>
  </r>
  <r>
    <s v="FINAL0722_BANK_HE1"/>
    <s v="BELUGA RIVER"/>
    <x v="26"/>
    <x v="2"/>
    <x v="125"/>
    <n v="56887.38671875"/>
  </r>
  <r>
    <s v="FINAL0722_BANK_HE1"/>
    <s v="BELUGA RIVER"/>
    <x v="26"/>
    <x v="2"/>
    <x v="126"/>
    <n v="56000.4296875"/>
  </r>
  <r>
    <s v="FINAL0722_BANK_HE1"/>
    <s v="BELUGA RIVER"/>
    <x v="26"/>
    <x v="2"/>
    <x v="127"/>
    <n v="55127.30078125"/>
  </r>
  <r>
    <s v="FINAL0722_BANK_HE1"/>
    <s v="BELUGA RIVER"/>
    <x v="26"/>
    <x v="2"/>
    <x v="128"/>
    <n v="54267.78515625"/>
  </r>
  <r>
    <s v="FINAL0722_BANK_HE1"/>
    <s v="BELUGA RIVER"/>
    <x v="26"/>
    <x v="2"/>
    <x v="129"/>
    <n v="53421.671875"/>
  </r>
  <r>
    <s v="FINAL0722_BANK_HE1"/>
    <s v="BELUGA RIVER"/>
    <x v="26"/>
    <x v="2"/>
    <x v="130"/>
    <n v="52588.75"/>
  </r>
  <r>
    <s v="FINAL0722_BANK_HE1"/>
    <s v="BELUGA RIVER"/>
    <x v="26"/>
    <x v="2"/>
    <x v="131"/>
    <n v="51768.81640625"/>
  </r>
  <r>
    <s v="FINAL0722_BANK_HE1"/>
    <s v="BELUGA RIVER"/>
    <x v="26"/>
    <x v="2"/>
    <x v="132"/>
    <n v="50961.6640625"/>
  </r>
  <r>
    <s v="FINAL0722_BANK_HE1"/>
    <s v="BELUGA RIVER"/>
    <x v="26"/>
    <x v="2"/>
    <x v="133"/>
    <n v="50167.09765625"/>
  </r>
  <r>
    <s v="FINAL0722_BANK_HE1"/>
    <s v="BELUGA RIVER"/>
    <x v="26"/>
    <x v="2"/>
    <x v="134"/>
    <n v="49384.91796875"/>
  </r>
  <r>
    <s v="FINAL0722_BANK_HE1"/>
    <s v="BELUGA RIVER"/>
    <x v="26"/>
    <x v="2"/>
    <x v="135"/>
    <n v="48614.93359375"/>
  </r>
  <r>
    <s v="FINAL0722_BANK_HE1"/>
    <s v="BELUGA RIVER"/>
    <x v="26"/>
    <x v="2"/>
    <x v="136"/>
    <n v="47856.95703125"/>
  </r>
  <r>
    <s v="FINAL0722_BANK_HE1"/>
    <s v="BELUGA RIVER"/>
    <x v="26"/>
    <x v="2"/>
    <x v="137"/>
    <n v="47110.796875"/>
  </r>
  <r>
    <s v="FINAL0722_BANK_HE1"/>
    <s v="BELUGA RIVER"/>
    <x v="26"/>
    <x v="2"/>
    <x v="138"/>
    <n v="46376.26953125"/>
  </r>
  <r>
    <s v="FINAL0722_BANK_HE1"/>
    <s v="BELUGA RIVER"/>
    <x v="26"/>
    <x v="2"/>
    <x v="139"/>
    <n v="45653.1953125"/>
  </r>
  <r>
    <s v="FINAL0722_BANK_HE1"/>
    <s v="BELUGA RIVER"/>
    <x v="26"/>
    <x v="2"/>
    <x v="140"/>
    <n v="44941.39453125"/>
  </r>
  <r>
    <s v="FINAL0722_BANK_HE1"/>
    <s v="BELUGA RIVER"/>
    <x v="26"/>
    <x v="2"/>
    <x v="141"/>
    <n v="44240.69140625"/>
  </r>
  <r>
    <s v="FINAL0722_BANK_HE1"/>
    <s v="BELUGA RIVER"/>
    <x v="26"/>
    <x v="2"/>
    <x v="142"/>
    <n v="43550.9140625"/>
  </r>
  <r>
    <s v="FINAL0722_BANK_HE1"/>
    <s v="BELUGA RIVER"/>
    <x v="26"/>
    <x v="2"/>
    <x v="143"/>
    <n v="42871.890625"/>
  </r>
  <r>
    <s v="FINAL0722_BANK_HE1"/>
    <s v="BELUGA RIVER"/>
    <x v="26"/>
    <x v="2"/>
    <x v="144"/>
    <n v="42203.45703125"/>
  </r>
  <r>
    <s v="FINAL0722_BANK_HE1"/>
    <s v="BELUGA RIVER"/>
    <x v="26"/>
    <x v="2"/>
    <x v="145"/>
    <n v="41545.4453125"/>
  </r>
  <r>
    <s v="FINAL0722_BANK_HE1"/>
    <s v="BELUGA RIVER"/>
    <x v="26"/>
    <x v="2"/>
    <x v="146"/>
    <n v="40897.69140625"/>
  </r>
  <r>
    <s v="FINAL0722_BANK_HE1"/>
    <s v="BELUGA RIVER"/>
    <x v="26"/>
    <x v="2"/>
    <x v="147"/>
    <n v="40260.03515625"/>
  </r>
  <r>
    <s v="FINAL0722_BANK_HE1"/>
    <s v="BELUGA RIVER"/>
    <x v="26"/>
    <x v="2"/>
    <x v="148"/>
    <n v="39632.32421875"/>
  </r>
  <r>
    <s v="FINAL0722_BANK_HE1"/>
    <s v="BELUGA RIVER"/>
    <x v="26"/>
    <x v="2"/>
    <x v="149"/>
    <n v="39014.3984375"/>
  </r>
  <r>
    <s v="FINAL0722_BANK_HE1"/>
    <s v="BELUGA RIVER"/>
    <x v="26"/>
    <x v="2"/>
    <x v="150"/>
    <n v="38406.10546875"/>
  </r>
  <r>
    <s v="FINAL0722_BANK_HE1"/>
    <s v="BELUGA RIVER"/>
    <x v="26"/>
    <x v="2"/>
    <x v="151"/>
    <n v="37807.296875"/>
  </r>
  <r>
    <s v="FINAL0722_BANK_HE1"/>
    <s v="BELUGA RIVER"/>
    <x v="26"/>
    <x v="2"/>
    <x v="152"/>
    <n v="37217.82421875"/>
  </r>
  <r>
    <s v="FINAL0722_BANK_HE1"/>
    <s v="BELUGA RIVER"/>
    <x v="26"/>
    <x v="2"/>
    <x v="153"/>
    <n v="36637.54296875"/>
  </r>
  <r>
    <s v="FINAL0722_BANK_HE1"/>
    <s v="BELUGA RIVER"/>
    <x v="26"/>
    <x v="2"/>
    <x v="154"/>
    <n v="36066.30859375"/>
  </r>
  <r>
    <s v="FINAL0722_BANK_HE1"/>
    <s v="BELUGA RIVER"/>
    <x v="26"/>
    <x v="2"/>
    <x v="155"/>
    <n v="35503.98046875"/>
  </r>
  <r>
    <s v="FINAL0722_BANK_HE1"/>
    <s v="BELUGA RIVER"/>
    <x v="26"/>
    <x v="2"/>
    <x v="156"/>
    <n v="34950.421875"/>
  </r>
  <r>
    <s v="FINAL0722_BANK_HE1"/>
    <s v="BELUGA RIVER"/>
    <x v="26"/>
    <x v="2"/>
    <x v="157"/>
    <n v="34405.4921875"/>
  </r>
  <r>
    <s v="FINAL0722_BANK_HE1"/>
    <s v="BELUGA RIVER"/>
    <x v="26"/>
    <x v="2"/>
    <x v="158"/>
    <n v="33869.05859375"/>
  </r>
  <r>
    <s v="FINAL0722_BANK_HE1"/>
    <s v="BELUGA RIVER"/>
    <x v="26"/>
    <x v="2"/>
    <x v="159"/>
    <n v="33340.9921875"/>
  </r>
  <r>
    <s v="FINAL0722_BANK_HE1"/>
    <s v="BELUGA RIVER"/>
    <x v="26"/>
    <x v="2"/>
    <x v="160"/>
    <n v="32821.15625"/>
  </r>
  <r>
    <s v="FINAL0722_BANK_HE1"/>
    <s v="BELUGA RIVER"/>
    <x v="26"/>
    <x v="2"/>
    <x v="161"/>
    <n v="32309.42578125"/>
  </r>
  <r>
    <s v="FINAL0722_BANK_HE1"/>
    <s v="BELUGA RIVER"/>
    <x v="27"/>
    <x v="2"/>
    <x v="0"/>
    <n v="0"/>
  </r>
  <r>
    <s v="FINAL0722_BANK_HE1"/>
    <s v="BELUGA RIVER"/>
    <x v="27"/>
    <x v="2"/>
    <x v="1"/>
    <n v="0"/>
  </r>
  <r>
    <s v="FINAL0722_BANK_HE1"/>
    <s v="BELUGA RIVER"/>
    <x v="27"/>
    <x v="2"/>
    <x v="2"/>
    <n v="0"/>
  </r>
  <r>
    <s v="FINAL0722_BANK_HE1"/>
    <s v="BELUGA RIVER"/>
    <x v="27"/>
    <x v="2"/>
    <x v="3"/>
    <n v="0"/>
  </r>
  <r>
    <s v="FINAL0722_BANK_HE1"/>
    <s v="BELUGA RIVER"/>
    <x v="27"/>
    <x v="2"/>
    <x v="4"/>
    <n v="0"/>
  </r>
  <r>
    <s v="FINAL0722_BANK_HE1"/>
    <s v="BELUGA RIVER"/>
    <x v="27"/>
    <x v="2"/>
    <x v="5"/>
    <n v="0"/>
  </r>
  <r>
    <s v="FINAL0722_BANK_HE1"/>
    <s v="BELUGA RIVER"/>
    <x v="27"/>
    <x v="2"/>
    <x v="6"/>
    <n v="0"/>
  </r>
  <r>
    <s v="FINAL0722_BANK_HE1"/>
    <s v="BELUGA RIVER"/>
    <x v="27"/>
    <x v="2"/>
    <x v="7"/>
    <n v="0"/>
  </r>
  <r>
    <s v="FINAL0722_BANK_HE1"/>
    <s v="BELUGA RIVER"/>
    <x v="27"/>
    <x v="2"/>
    <x v="8"/>
    <n v="0"/>
  </r>
  <r>
    <s v="FINAL0722_BANK_HE1"/>
    <s v="BELUGA RIVER"/>
    <x v="27"/>
    <x v="2"/>
    <x v="9"/>
    <n v="0"/>
  </r>
  <r>
    <s v="FINAL0722_BANK_HE1"/>
    <s v="BELUGA RIVER"/>
    <x v="27"/>
    <x v="2"/>
    <x v="10"/>
    <n v="0"/>
  </r>
  <r>
    <s v="FINAL0722_BANK_HE1"/>
    <s v="BELUGA RIVER"/>
    <x v="27"/>
    <x v="2"/>
    <x v="11"/>
    <n v="0"/>
  </r>
  <r>
    <s v="FINAL0722_BANK_HE1"/>
    <s v="BELUGA RIVER"/>
    <x v="27"/>
    <x v="2"/>
    <x v="12"/>
    <n v="0"/>
  </r>
  <r>
    <s v="FINAL0722_BANK_HE1"/>
    <s v="BELUGA RIVER"/>
    <x v="27"/>
    <x v="2"/>
    <x v="13"/>
    <n v="0"/>
  </r>
  <r>
    <s v="FINAL0722_BANK_HE1"/>
    <s v="BELUGA RIVER"/>
    <x v="27"/>
    <x v="2"/>
    <x v="14"/>
    <n v="0"/>
  </r>
  <r>
    <s v="FINAL0722_BANK_HE1"/>
    <s v="BELUGA RIVER"/>
    <x v="27"/>
    <x v="2"/>
    <x v="15"/>
    <n v="0"/>
  </r>
  <r>
    <s v="FINAL0722_BANK_HE1"/>
    <s v="BELUGA RIVER"/>
    <x v="27"/>
    <x v="2"/>
    <x v="16"/>
    <n v="0"/>
  </r>
  <r>
    <s v="FINAL0722_BANK_HE1"/>
    <s v="BELUGA RIVER"/>
    <x v="27"/>
    <x v="2"/>
    <x v="17"/>
    <n v="0"/>
  </r>
  <r>
    <s v="FINAL0722_BANK_HE1"/>
    <s v="BELUGA RIVER"/>
    <x v="27"/>
    <x v="2"/>
    <x v="18"/>
    <n v="0"/>
  </r>
  <r>
    <s v="FINAL0722_BANK_HE1"/>
    <s v="BELUGA RIVER"/>
    <x v="27"/>
    <x v="2"/>
    <x v="19"/>
    <n v="0"/>
  </r>
  <r>
    <s v="FINAL0722_BANK_HE1"/>
    <s v="BELUGA RIVER"/>
    <x v="27"/>
    <x v="2"/>
    <x v="20"/>
    <n v="0"/>
  </r>
  <r>
    <s v="FINAL0722_BANK_HE1"/>
    <s v="BELUGA RIVER"/>
    <x v="27"/>
    <x v="2"/>
    <x v="21"/>
    <n v="0"/>
  </r>
  <r>
    <s v="FINAL0722_BANK_HE1"/>
    <s v="BELUGA RIVER"/>
    <x v="27"/>
    <x v="2"/>
    <x v="22"/>
    <n v="0"/>
  </r>
  <r>
    <s v="FINAL0722_BANK_HE1"/>
    <s v="BELUGA RIVER"/>
    <x v="27"/>
    <x v="2"/>
    <x v="23"/>
    <n v="0"/>
  </r>
  <r>
    <s v="FINAL0722_BANK_HE1"/>
    <s v="BELUGA RIVER"/>
    <x v="27"/>
    <x v="2"/>
    <x v="24"/>
    <n v="0"/>
  </r>
  <r>
    <s v="FINAL0722_BANK_HE1"/>
    <s v="BELUGA RIVER"/>
    <x v="27"/>
    <x v="2"/>
    <x v="25"/>
    <n v="0"/>
  </r>
  <r>
    <s v="FINAL0722_BANK_HE1"/>
    <s v="BELUGA RIVER"/>
    <x v="27"/>
    <x v="2"/>
    <x v="26"/>
    <n v="0"/>
  </r>
  <r>
    <s v="FINAL0722_BANK_HE1"/>
    <s v="BELUGA RIVER"/>
    <x v="27"/>
    <x v="2"/>
    <x v="27"/>
    <n v="0"/>
  </r>
  <r>
    <s v="FINAL0722_BANK_HE1"/>
    <s v="BELUGA RIVER"/>
    <x v="27"/>
    <x v="2"/>
    <x v="28"/>
    <n v="0"/>
  </r>
  <r>
    <s v="FINAL0722_BANK_HE1"/>
    <s v="BELUGA RIVER"/>
    <x v="27"/>
    <x v="2"/>
    <x v="29"/>
    <n v="0"/>
  </r>
  <r>
    <s v="FINAL0722_BANK_HE1"/>
    <s v="BELUGA RIVER"/>
    <x v="27"/>
    <x v="2"/>
    <x v="30"/>
    <n v="0"/>
  </r>
  <r>
    <s v="FINAL0722_BANK_HE1"/>
    <s v="BELUGA RIVER"/>
    <x v="27"/>
    <x v="2"/>
    <x v="31"/>
    <n v="0"/>
  </r>
  <r>
    <s v="FINAL0722_BANK_HE1"/>
    <s v="BELUGA RIVER"/>
    <x v="27"/>
    <x v="2"/>
    <x v="32"/>
    <n v="0"/>
  </r>
  <r>
    <s v="FINAL0722_BANK_HE1"/>
    <s v="BELUGA RIVER"/>
    <x v="27"/>
    <x v="2"/>
    <x v="33"/>
    <n v="0"/>
  </r>
  <r>
    <s v="FINAL0722_BANK_HE1"/>
    <s v="BELUGA RIVER"/>
    <x v="27"/>
    <x v="2"/>
    <x v="34"/>
    <n v="0"/>
  </r>
  <r>
    <s v="FINAL0722_BANK_HE1"/>
    <s v="BELUGA RIVER"/>
    <x v="27"/>
    <x v="2"/>
    <x v="35"/>
    <n v="0"/>
  </r>
  <r>
    <s v="FINAL0722_BANK_HE1"/>
    <s v="BELUGA RIVER"/>
    <x v="27"/>
    <x v="2"/>
    <x v="36"/>
    <n v="0"/>
  </r>
  <r>
    <s v="FINAL0722_BANK_HE1"/>
    <s v="BELUGA RIVER"/>
    <x v="27"/>
    <x v="2"/>
    <x v="37"/>
    <n v="0"/>
  </r>
  <r>
    <s v="FINAL0722_BANK_HE1"/>
    <s v="BELUGA RIVER"/>
    <x v="27"/>
    <x v="2"/>
    <x v="38"/>
    <n v="0"/>
  </r>
  <r>
    <s v="FINAL0722_BANK_HE1"/>
    <s v="BELUGA RIVER"/>
    <x v="27"/>
    <x v="2"/>
    <x v="39"/>
    <n v="0"/>
  </r>
  <r>
    <s v="FINAL0722_BANK_HE1"/>
    <s v="BELUGA RIVER"/>
    <x v="27"/>
    <x v="2"/>
    <x v="40"/>
    <n v="0"/>
  </r>
  <r>
    <s v="FINAL0722_BANK_HE1"/>
    <s v="BELUGA RIVER"/>
    <x v="27"/>
    <x v="2"/>
    <x v="41"/>
    <n v="0"/>
  </r>
  <r>
    <s v="FINAL0722_BANK_HE1"/>
    <s v="BELUGA RIVER"/>
    <x v="27"/>
    <x v="2"/>
    <x v="42"/>
    <n v="0"/>
  </r>
  <r>
    <s v="FINAL0722_BANK_HE1"/>
    <s v="BELUGA RIVER"/>
    <x v="27"/>
    <x v="2"/>
    <x v="43"/>
    <n v="0"/>
  </r>
  <r>
    <s v="FINAL0722_BANK_HE1"/>
    <s v="BELUGA RIVER"/>
    <x v="27"/>
    <x v="2"/>
    <x v="44"/>
    <n v="0"/>
  </r>
  <r>
    <s v="FINAL0722_BANK_HE1"/>
    <s v="BELUGA RIVER"/>
    <x v="27"/>
    <x v="2"/>
    <x v="45"/>
    <n v="0"/>
  </r>
  <r>
    <s v="FINAL0722_BANK_HE1"/>
    <s v="BELUGA RIVER"/>
    <x v="27"/>
    <x v="2"/>
    <x v="46"/>
    <n v="0"/>
  </r>
  <r>
    <s v="FINAL0722_BANK_HE1"/>
    <s v="BELUGA RIVER"/>
    <x v="27"/>
    <x v="2"/>
    <x v="47"/>
    <n v="0"/>
  </r>
  <r>
    <s v="FINAL0722_BANK_HE1"/>
    <s v="BELUGA RIVER"/>
    <x v="27"/>
    <x v="2"/>
    <x v="48"/>
    <n v="0"/>
  </r>
  <r>
    <s v="FINAL0722_BANK_HE1"/>
    <s v="BELUGA RIVER"/>
    <x v="27"/>
    <x v="2"/>
    <x v="49"/>
    <n v="0"/>
  </r>
  <r>
    <s v="FINAL0722_BANK_HE1"/>
    <s v="BELUGA RIVER"/>
    <x v="27"/>
    <x v="2"/>
    <x v="50"/>
    <n v="0"/>
  </r>
  <r>
    <s v="FINAL0722_BANK_HE1"/>
    <s v="BELUGA RIVER"/>
    <x v="27"/>
    <x v="2"/>
    <x v="51"/>
    <n v="0"/>
  </r>
  <r>
    <s v="FINAL0722_BANK_HE1"/>
    <s v="BELUGA RIVER"/>
    <x v="27"/>
    <x v="2"/>
    <x v="52"/>
    <n v="0"/>
  </r>
  <r>
    <s v="FINAL0722_BANK_HE1"/>
    <s v="BELUGA RIVER"/>
    <x v="27"/>
    <x v="2"/>
    <x v="53"/>
    <n v="0"/>
  </r>
  <r>
    <s v="FINAL0722_BANK_HE1"/>
    <s v="BELUGA RIVER"/>
    <x v="27"/>
    <x v="2"/>
    <x v="54"/>
    <n v="0"/>
  </r>
  <r>
    <s v="FINAL0722_BANK_HE1"/>
    <s v="BELUGA RIVER"/>
    <x v="27"/>
    <x v="2"/>
    <x v="55"/>
    <n v="0"/>
  </r>
  <r>
    <s v="FINAL0722_BANK_HE1"/>
    <s v="BELUGA RIVER"/>
    <x v="27"/>
    <x v="2"/>
    <x v="56"/>
    <n v="0"/>
  </r>
  <r>
    <s v="FINAL0722_BANK_HE1"/>
    <s v="BELUGA RIVER"/>
    <x v="27"/>
    <x v="2"/>
    <x v="57"/>
    <n v="0"/>
  </r>
  <r>
    <s v="FINAL0722_BANK_HE1"/>
    <s v="BELUGA RIVER"/>
    <x v="27"/>
    <x v="2"/>
    <x v="58"/>
    <n v="0"/>
  </r>
  <r>
    <s v="FINAL0722_BANK_HE1"/>
    <s v="BELUGA RIVER"/>
    <x v="27"/>
    <x v="2"/>
    <x v="59"/>
    <n v="0"/>
  </r>
  <r>
    <s v="FINAL0722_BANK_HE1"/>
    <s v="BELUGA RIVER"/>
    <x v="27"/>
    <x v="2"/>
    <x v="60"/>
    <n v="0"/>
  </r>
  <r>
    <s v="FINAL0722_BANK_HE1"/>
    <s v="BELUGA RIVER"/>
    <x v="27"/>
    <x v="2"/>
    <x v="61"/>
    <n v="0"/>
  </r>
  <r>
    <s v="FINAL0722_BANK_HE1"/>
    <s v="BELUGA RIVER"/>
    <x v="27"/>
    <x v="2"/>
    <x v="62"/>
    <n v="0"/>
  </r>
  <r>
    <s v="FINAL0722_BANK_HE1"/>
    <s v="BELUGA RIVER"/>
    <x v="27"/>
    <x v="2"/>
    <x v="63"/>
    <n v="0"/>
  </r>
  <r>
    <s v="FINAL0722_BANK_HE1"/>
    <s v="BELUGA RIVER"/>
    <x v="27"/>
    <x v="2"/>
    <x v="64"/>
    <n v="0"/>
  </r>
  <r>
    <s v="FINAL0722_BANK_HE1"/>
    <s v="BELUGA RIVER"/>
    <x v="27"/>
    <x v="2"/>
    <x v="65"/>
    <n v="0"/>
  </r>
  <r>
    <s v="FINAL0722_BANK_HE1"/>
    <s v="BELUGA RIVER"/>
    <x v="27"/>
    <x v="2"/>
    <x v="66"/>
    <n v="0"/>
  </r>
  <r>
    <s v="FINAL0722_BANK_HE1"/>
    <s v="BELUGA RIVER"/>
    <x v="27"/>
    <x v="2"/>
    <x v="67"/>
    <n v="0"/>
  </r>
  <r>
    <s v="FINAL0722_BANK_HE1"/>
    <s v="BELUGA RIVER"/>
    <x v="27"/>
    <x v="2"/>
    <x v="68"/>
    <n v="0"/>
  </r>
  <r>
    <s v="FINAL0722_BANK_HE1"/>
    <s v="BELUGA RIVER"/>
    <x v="27"/>
    <x v="2"/>
    <x v="69"/>
    <n v="0"/>
  </r>
  <r>
    <s v="FINAL0722_BANK_HE1"/>
    <s v="BELUGA RIVER"/>
    <x v="27"/>
    <x v="2"/>
    <x v="70"/>
    <n v="0"/>
  </r>
  <r>
    <s v="FINAL0722_BANK_HE1"/>
    <s v="BELUGA RIVER"/>
    <x v="27"/>
    <x v="2"/>
    <x v="71"/>
    <n v="0"/>
  </r>
  <r>
    <s v="FINAL0722_BANK_HE1"/>
    <s v="BELUGA RIVER"/>
    <x v="27"/>
    <x v="2"/>
    <x v="72"/>
    <n v="0"/>
  </r>
  <r>
    <s v="FINAL0722_BANK_HE1"/>
    <s v="BELUGA RIVER"/>
    <x v="27"/>
    <x v="2"/>
    <x v="73"/>
    <n v="0"/>
  </r>
  <r>
    <s v="FINAL0722_BANK_HE1"/>
    <s v="BELUGA RIVER"/>
    <x v="27"/>
    <x v="2"/>
    <x v="74"/>
    <n v="0"/>
  </r>
  <r>
    <s v="FINAL0722_BANK_HE1"/>
    <s v="BELUGA RIVER"/>
    <x v="27"/>
    <x v="2"/>
    <x v="75"/>
    <n v="0"/>
  </r>
  <r>
    <s v="FINAL0722_BANK_HE1"/>
    <s v="BELUGA RIVER"/>
    <x v="27"/>
    <x v="2"/>
    <x v="76"/>
    <n v="0"/>
  </r>
  <r>
    <s v="FINAL0722_BANK_HE1"/>
    <s v="BELUGA RIVER"/>
    <x v="27"/>
    <x v="2"/>
    <x v="77"/>
    <n v="0"/>
  </r>
  <r>
    <s v="FINAL0722_BANK_HE1"/>
    <s v="BELUGA RIVER"/>
    <x v="27"/>
    <x v="2"/>
    <x v="78"/>
    <n v="0"/>
  </r>
  <r>
    <s v="FINAL0722_BANK_HE1"/>
    <s v="BELUGA RIVER"/>
    <x v="27"/>
    <x v="2"/>
    <x v="79"/>
    <n v="0"/>
  </r>
  <r>
    <s v="FINAL0722_BANK_HE1"/>
    <s v="BELUGA RIVER"/>
    <x v="27"/>
    <x v="2"/>
    <x v="80"/>
    <n v="0"/>
  </r>
  <r>
    <s v="FINAL0722_BANK_HE1"/>
    <s v="BELUGA RIVER"/>
    <x v="27"/>
    <x v="2"/>
    <x v="81"/>
    <n v="0"/>
  </r>
  <r>
    <s v="FINAL0722_BANK_HE1"/>
    <s v="BELUGA RIVER"/>
    <x v="27"/>
    <x v="2"/>
    <x v="82"/>
    <n v="0"/>
  </r>
  <r>
    <s v="FINAL0722_BANK_HE1"/>
    <s v="BELUGA RIVER"/>
    <x v="27"/>
    <x v="2"/>
    <x v="83"/>
    <n v="0"/>
  </r>
  <r>
    <s v="FINAL0722_BANK_HE1"/>
    <s v="BELUGA RIVER"/>
    <x v="27"/>
    <x v="2"/>
    <x v="84"/>
    <n v="0"/>
  </r>
  <r>
    <s v="FINAL0722_BANK_HE1"/>
    <s v="BELUGA RIVER"/>
    <x v="27"/>
    <x v="2"/>
    <x v="85"/>
    <n v="0"/>
  </r>
  <r>
    <s v="FINAL0722_BANK_HE1"/>
    <s v="BELUGA RIVER"/>
    <x v="27"/>
    <x v="2"/>
    <x v="86"/>
    <n v="0"/>
  </r>
  <r>
    <s v="FINAL0722_BANK_HE1"/>
    <s v="BELUGA RIVER"/>
    <x v="27"/>
    <x v="2"/>
    <x v="87"/>
    <n v="0"/>
  </r>
  <r>
    <s v="FINAL0722_BANK_HE1"/>
    <s v="BELUGA RIVER"/>
    <x v="27"/>
    <x v="2"/>
    <x v="88"/>
    <n v="0"/>
  </r>
  <r>
    <s v="FINAL0722_BANK_HE1"/>
    <s v="BELUGA RIVER"/>
    <x v="27"/>
    <x v="2"/>
    <x v="89"/>
    <n v="0"/>
  </r>
  <r>
    <s v="FINAL0722_BANK_HE1"/>
    <s v="BELUGA RIVER"/>
    <x v="27"/>
    <x v="2"/>
    <x v="90"/>
    <n v="0"/>
  </r>
  <r>
    <s v="FINAL0722_BANK_HE1"/>
    <s v="BELUGA RIVER"/>
    <x v="27"/>
    <x v="2"/>
    <x v="91"/>
    <n v="0"/>
  </r>
  <r>
    <s v="FINAL0722_BANK_HE1"/>
    <s v="BELUGA RIVER"/>
    <x v="27"/>
    <x v="2"/>
    <x v="92"/>
    <n v="0"/>
  </r>
  <r>
    <s v="FINAL0722_BANK_HE1"/>
    <s v="BELUGA RIVER"/>
    <x v="27"/>
    <x v="2"/>
    <x v="93"/>
    <n v="0"/>
  </r>
  <r>
    <s v="FINAL0722_BANK_HE1"/>
    <s v="BELUGA RIVER"/>
    <x v="27"/>
    <x v="2"/>
    <x v="94"/>
    <n v="0"/>
  </r>
  <r>
    <s v="FINAL0722_BANK_HE1"/>
    <s v="BELUGA RIVER"/>
    <x v="27"/>
    <x v="2"/>
    <x v="95"/>
    <n v="0"/>
  </r>
  <r>
    <s v="FINAL0722_BANK_HE1"/>
    <s v="BELUGA RIVER"/>
    <x v="27"/>
    <x v="2"/>
    <x v="96"/>
    <n v="0"/>
  </r>
  <r>
    <s v="FINAL0722_BANK_HE1"/>
    <s v="BELUGA RIVER"/>
    <x v="27"/>
    <x v="2"/>
    <x v="97"/>
    <n v="0"/>
  </r>
  <r>
    <s v="FINAL0722_BANK_HE1"/>
    <s v="BELUGA RIVER"/>
    <x v="27"/>
    <x v="2"/>
    <x v="98"/>
    <n v="0"/>
  </r>
  <r>
    <s v="FINAL0722_BANK_HE1"/>
    <s v="BELUGA RIVER"/>
    <x v="27"/>
    <x v="2"/>
    <x v="99"/>
    <n v="0"/>
  </r>
  <r>
    <s v="FINAL0722_BANK_HE1"/>
    <s v="BELUGA RIVER"/>
    <x v="27"/>
    <x v="2"/>
    <x v="100"/>
    <n v="0"/>
  </r>
  <r>
    <s v="FINAL0722_BANK_HE1"/>
    <s v="BELUGA RIVER"/>
    <x v="27"/>
    <x v="2"/>
    <x v="101"/>
    <n v="0"/>
  </r>
  <r>
    <s v="FINAL0722_BANK_HE1"/>
    <s v="BELUGA RIVER"/>
    <x v="27"/>
    <x v="2"/>
    <x v="102"/>
    <n v="0"/>
  </r>
  <r>
    <s v="FINAL0722_BANK_HE1"/>
    <s v="BELUGA RIVER"/>
    <x v="27"/>
    <x v="2"/>
    <x v="103"/>
    <n v="0"/>
  </r>
  <r>
    <s v="FINAL0722_BANK_HE1"/>
    <s v="BELUGA RIVER"/>
    <x v="27"/>
    <x v="2"/>
    <x v="104"/>
    <n v="0"/>
  </r>
  <r>
    <s v="FINAL0722_BANK_HE1"/>
    <s v="BELUGA RIVER"/>
    <x v="27"/>
    <x v="2"/>
    <x v="105"/>
    <n v="0"/>
  </r>
  <r>
    <s v="FINAL0722_BANK_HE1"/>
    <s v="BELUGA RIVER"/>
    <x v="27"/>
    <x v="2"/>
    <x v="106"/>
    <n v="0"/>
  </r>
  <r>
    <s v="FINAL0722_BANK_HE1"/>
    <s v="BELUGA RIVER"/>
    <x v="27"/>
    <x v="2"/>
    <x v="107"/>
    <n v="0"/>
  </r>
  <r>
    <s v="FINAL0722_BANK_HE1"/>
    <s v="BELUGA RIVER"/>
    <x v="27"/>
    <x v="2"/>
    <x v="108"/>
    <n v="0"/>
  </r>
  <r>
    <s v="FINAL0722_BANK_HE1"/>
    <s v="BELUGA RIVER"/>
    <x v="27"/>
    <x v="2"/>
    <x v="109"/>
    <n v="0"/>
  </r>
  <r>
    <s v="FINAL0722_BANK_HE1"/>
    <s v="BELUGA RIVER"/>
    <x v="27"/>
    <x v="2"/>
    <x v="110"/>
    <n v="0"/>
  </r>
  <r>
    <s v="FINAL0722_BANK_HE1"/>
    <s v="BELUGA RIVER"/>
    <x v="27"/>
    <x v="2"/>
    <x v="111"/>
    <n v="0"/>
  </r>
  <r>
    <s v="FINAL0722_BANK_HE1"/>
    <s v="BELUGA RIVER"/>
    <x v="27"/>
    <x v="2"/>
    <x v="112"/>
    <n v="0"/>
  </r>
  <r>
    <s v="FINAL0722_BANK_HE1"/>
    <s v="BELUGA RIVER"/>
    <x v="27"/>
    <x v="2"/>
    <x v="113"/>
    <n v="0"/>
  </r>
  <r>
    <s v="FINAL0722_BANK_HE1"/>
    <s v="BELUGA RIVER"/>
    <x v="27"/>
    <x v="2"/>
    <x v="114"/>
    <n v="0"/>
  </r>
  <r>
    <s v="FINAL0722_BANK_HE1"/>
    <s v="BELUGA RIVER"/>
    <x v="27"/>
    <x v="2"/>
    <x v="115"/>
    <n v="0"/>
  </r>
  <r>
    <s v="FINAL0722_BANK_HE1"/>
    <s v="BELUGA RIVER"/>
    <x v="27"/>
    <x v="2"/>
    <x v="116"/>
    <n v="0"/>
  </r>
  <r>
    <s v="FINAL0722_BANK_HE1"/>
    <s v="BELUGA RIVER"/>
    <x v="27"/>
    <x v="2"/>
    <x v="117"/>
    <n v="0"/>
  </r>
  <r>
    <s v="FINAL0722_BANK_HE1"/>
    <s v="BELUGA RIVER"/>
    <x v="27"/>
    <x v="2"/>
    <x v="118"/>
    <n v="0"/>
  </r>
  <r>
    <s v="FINAL0722_BANK_HE1"/>
    <s v="BELUGA RIVER"/>
    <x v="27"/>
    <x v="2"/>
    <x v="119"/>
    <n v="0"/>
  </r>
  <r>
    <s v="FINAL0722_BANK_HE1"/>
    <s v="BELUGA RIVER"/>
    <x v="27"/>
    <x v="2"/>
    <x v="120"/>
    <n v="0"/>
  </r>
  <r>
    <s v="FINAL0722_BANK_HE1"/>
    <s v="BELUGA RIVER"/>
    <x v="27"/>
    <x v="2"/>
    <x v="121"/>
    <n v="0"/>
  </r>
  <r>
    <s v="FINAL0722_BANK_HE1"/>
    <s v="BELUGA RIVER"/>
    <x v="27"/>
    <x v="2"/>
    <x v="122"/>
    <n v="0"/>
  </r>
  <r>
    <s v="FINAL0722_BANK_HE1"/>
    <s v="BELUGA RIVER"/>
    <x v="27"/>
    <x v="2"/>
    <x v="123"/>
    <n v="0"/>
  </r>
  <r>
    <s v="FINAL0722_BANK_HE1"/>
    <s v="BELUGA RIVER"/>
    <x v="27"/>
    <x v="2"/>
    <x v="124"/>
    <n v="0"/>
  </r>
  <r>
    <s v="FINAL0722_BANK_HE1"/>
    <s v="BELUGA RIVER"/>
    <x v="27"/>
    <x v="2"/>
    <x v="125"/>
    <n v="0"/>
  </r>
  <r>
    <s v="FINAL0722_BANK_HE1"/>
    <s v="BELUGA RIVER"/>
    <x v="27"/>
    <x v="2"/>
    <x v="126"/>
    <n v="0"/>
  </r>
  <r>
    <s v="FINAL0722_BANK_HE1"/>
    <s v="BELUGA RIVER"/>
    <x v="27"/>
    <x v="2"/>
    <x v="127"/>
    <n v="0"/>
  </r>
  <r>
    <s v="FINAL0722_BANK_HE1"/>
    <s v="BELUGA RIVER"/>
    <x v="27"/>
    <x v="2"/>
    <x v="128"/>
    <n v="0"/>
  </r>
  <r>
    <s v="FINAL0722_BANK_HE1"/>
    <s v="BELUGA RIVER"/>
    <x v="27"/>
    <x v="2"/>
    <x v="129"/>
    <n v="0"/>
  </r>
  <r>
    <s v="FINAL0722_BANK_HE1"/>
    <s v="BELUGA RIVER"/>
    <x v="27"/>
    <x v="2"/>
    <x v="130"/>
    <n v="0"/>
  </r>
  <r>
    <s v="FINAL0722_BANK_HE1"/>
    <s v="BELUGA RIVER"/>
    <x v="27"/>
    <x v="2"/>
    <x v="131"/>
    <n v="0"/>
  </r>
  <r>
    <s v="FINAL0722_BANK_HE1"/>
    <s v="BELUGA RIVER"/>
    <x v="27"/>
    <x v="2"/>
    <x v="132"/>
    <n v="0"/>
  </r>
  <r>
    <s v="FINAL0722_BANK_HE1"/>
    <s v="BELUGA RIVER"/>
    <x v="27"/>
    <x v="2"/>
    <x v="133"/>
    <n v="0"/>
  </r>
  <r>
    <s v="FINAL0722_BANK_HE1"/>
    <s v="BELUGA RIVER"/>
    <x v="27"/>
    <x v="2"/>
    <x v="134"/>
    <n v="0"/>
  </r>
  <r>
    <s v="FINAL0722_BANK_HE1"/>
    <s v="BELUGA RIVER"/>
    <x v="27"/>
    <x v="2"/>
    <x v="135"/>
    <n v="0"/>
  </r>
  <r>
    <s v="FINAL0722_BANK_HE1"/>
    <s v="BELUGA RIVER"/>
    <x v="27"/>
    <x v="2"/>
    <x v="136"/>
    <n v="0"/>
  </r>
  <r>
    <s v="FINAL0722_BANK_HE1"/>
    <s v="BELUGA RIVER"/>
    <x v="27"/>
    <x v="2"/>
    <x v="137"/>
    <n v="0"/>
  </r>
  <r>
    <s v="FINAL0722_BANK_HE1"/>
    <s v="BELUGA RIVER"/>
    <x v="27"/>
    <x v="2"/>
    <x v="138"/>
    <n v="0"/>
  </r>
  <r>
    <s v="FINAL0722_BANK_HE1"/>
    <s v="BELUGA RIVER"/>
    <x v="27"/>
    <x v="2"/>
    <x v="139"/>
    <n v="0"/>
  </r>
  <r>
    <s v="FINAL0722_BANK_HE1"/>
    <s v="BELUGA RIVER"/>
    <x v="27"/>
    <x v="2"/>
    <x v="140"/>
    <n v="0"/>
  </r>
  <r>
    <s v="FINAL0722_BANK_HE1"/>
    <s v="BELUGA RIVER"/>
    <x v="27"/>
    <x v="2"/>
    <x v="141"/>
    <n v="0"/>
  </r>
  <r>
    <s v="FINAL0722_BANK_HE1"/>
    <s v="BELUGA RIVER"/>
    <x v="27"/>
    <x v="2"/>
    <x v="142"/>
    <n v="0"/>
  </r>
  <r>
    <s v="FINAL0722_BANK_HE1"/>
    <s v="BELUGA RIVER"/>
    <x v="27"/>
    <x v="2"/>
    <x v="143"/>
    <n v="0"/>
  </r>
  <r>
    <s v="FINAL0722_BANK_HE1"/>
    <s v="BELUGA RIVER"/>
    <x v="27"/>
    <x v="2"/>
    <x v="144"/>
    <n v="0"/>
  </r>
  <r>
    <s v="FINAL0722_BANK_HE1"/>
    <s v="BELUGA RIVER"/>
    <x v="27"/>
    <x v="2"/>
    <x v="145"/>
    <n v="0"/>
  </r>
  <r>
    <s v="FINAL0722_BANK_HE1"/>
    <s v="BELUGA RIVER"/>
    <x v="27"/>
    <x v="2"/>
    <x v="146"/>
    <n v="0"/>
  </r>
  <r>
    <s v="FINAL0722_BANK_HE1"/>
    <s v="BELUGA RIVER"/>
    <x v="27"/>
    <x v="2"/>
    <x v="147"/>
    <n v="0"/>
  </r>
  <r>
    <s v="FINAL0722_BANK_HE1"/>
    <s v="BELUGA RIVER"/>
    <x v="27"/>
    <x v="2"/>
    <x v="148"/>
    <n v="0"/>
  </r>
  <r>
    <s v="FINAL0722_BANK_HE1"/>
    <s v="BELUGA RIVER"/>
    <x v="27"/>
    <x v="2"/>
    <x v="149"/>
    <n v="0"/>
  </r>
  <r>
    <s v="FINAL0722_BANK_HE1"/>
    <s v="BELUGA RIVER"/>
    <x v="27"/>
    <x v="2"/>
    <x v="150"/>
    <n v="0"/>
  </r>
  <r>
    <s v="FINAL0722_BANK_HE1"/>
    <s v="BELUGA RIVER"/>
    <x v="27"/>
    <x v="2"/>
    <x v="151"/>
    <n v="0"/>
  </r>
  <r>
    <s v="FINAL0722_BANK_HE1"/>
    <s v="BELUGA RIVER"/>
    <x v="27"/>
    <x v="2"/>
    <x v="152"/>
    <n v="0"/>
  </r>
  <r>
    <s v="FINAL0722_BANK_HE1"/>
    <s v="BELUGA RIVER"/>
    <x v="27"/>
    <x v="2"/>
    <x v="153"/>
    <n v="0"/>
  </r>
  <r>
    <s v="FINAL0722_BANK_HE1"/>
    <s v="BELUGA RIVER"/>
    <x v="27"/>
    <x v="2"/>
    <x v="154"/>
    <n v="0"/>
  </r>
  <r>
    <s v="FINAL0722_BANK_HE1"/>
    <s v="BELUGA RIVER"/>
    <x v="27"/>
    <x v="2"/>
    <x v="155"/>
    <n v="0"/>
  </r>
  <r>
    <s v="FINAL0722_BANK_HE1"/>
    <s v="BELUGA RIVER"/>
    <x v="27"/>
    <x v="2"/>
    <x v="156"/>
    <n v="0"/>
  </r>
  <r>
    <s v="FINAL0722_BANK_HE1"/>
    <s v="BELUGA RIVER"/>
    <x v="27"/>
    <x v="2"/>
    <x v="157"/>
    <n v="0"/>
  </r>
  <r>
    <s v="FINAL0722_BANK_HE1"/>
    <s v="BELUGA RIVER"/>
    <x v="27"/>
    <x v="2"/>
    <x v="158"/>
    <n v="0"/>
  </r>
  <r>
    <s v="FINAL0722_BANK_HE1"/>
    <s v="BELUGA RIVER"/>
    <x v="27"/>
    <x v="2"/>
    <x v="159"/>
    <n v="0"/>
  </r>
  <r>
    <s v="FINAL0722_BANK_HE1"/>
    <s v="BELUGA RIVER"/>
    <x v="27"/>
    <x v="2"/>
    <x v="160"/>
    <n v="0"/>
  </r>
  <r>
    <s v="FINAL0722_BANK_HE1"/>
    <s v="BELUGA RIVER"/>
    <x v="27"/>
    <x v="2"/>
    <x v="161"/>
    <n v="0"/>
  </r>
  <r>
    <s v="FINAL0722_BANK_HE1"/>
    <s v="BELUGA RIVER"/>
    <x v="28"/>
    <x v="1"/>
    <x v="0"/>
    <n v="0"/>
  </r>
  <r>
    <s v="FINAL0722_BANK_HE1"/>
    <s v="BELUGA RIVER"/>
    <x v="28"/>
    <x v="1"/>
    <x v="1"/>
    <n v="0"/>
  </r>
  <r>
    <s v="FINAL0722_BANK_HE1"/>
    <s v="BELUGA RIVER"/>
    <x v="28"/>
    <x v="1"/>
    <x v="2"/>
    <n v="0"/>
  </r>
  <r>
    <s v="FINAL0722_BANK_HE1"/>
    <s v="BELUGA RIVER"/>
    <x v="28"/>
    <x v="1"/>
    <x v="3"/>
    <n v="0"/>
  </r>
  <r>
    <s v="FINAL0722_BANK_HE1"/>
    <s v="BELUGA RIVER"/>
    <x v="28"/>
    <x v="1"/>
    <x v="4"/>
    <n v="0"/>
  </r>
  <r>
    <s v="FINAL0722_BANK_HE1"/>
    <s v="BELUGA RIVER"/>
    <x v="28"/>
    <x v="1"/>
    <x v="5"/>
    <n v="0"/>
  </r>
  <r>
    <s v="FINAL0722_BANK_HE1"/>
    <s v="BELUGA RIVER"/>
    <x v="28"/>
    <x v="1"/>
    <x v="6"/>
    <n v="0"/>
  </r>
  <r>
    <s v="FINAL0722_BANK_HE1"/>
    <s v="BELUGA RIVER"/>
    <x v="28"/>
    <x v="1"/>
    <x v="7"/>
    <n v="0"/>
  </r>
  <r>
    <s v="FINAL0722_BANK_HE1"/>
    <s v="BELUGA RIVER"/>
    <x v="28"/>
    <x v="1"/>
    <x v="8"/>
    <n v="0"/>
  </r>
  <r>
    <s v="FINAL0722_BANK_HE1"/>
    <s v="BELUGA RIVER"/>
    <x v="28"/>
    <x v="1"/>
    <x v="9"/>
    <n v="0"/>
  </r>
  <r>
    <s v="FINAL0722_BANK_HE1"/>
    <s v="BELUGA RIVER"/>
    <x v="28"/>
    <x v="1"/>
    <x v="10"/>
    <n v="0"/>
  </r>
  <r>
    <s v="FINAL0722_BANK_HE1"/>
    <s v="BELUGA RIVER"/>
    <x v="28"/>
    <x v="1"/>
    <x v="11"/>
    <n v="0"/>
  </r>
  <r>
    <s v="FINAL0722_BANK_HE1"/>
    <s v="BELUGA RIVER"/>
    <x v="28"/>
    <x v="1"/>
    <x v="12"/>
    <n v="0"/>
  </r>
  <r>
    <s v="FINAL0722_BANK_HE1"/>
    <s v="BELUGA RIVER"/>
    <x v="28"/>
    <x v="1"/>
    <x v="13"/>
    <n v="0"/>
  </r>
  <r>
    <s v="FINAL0722_BANK_HE1"/>
    <s v="BELUGA RIVER"/>
    <x v="28"/>
    <x v="1"/>
    <x v="14"/>
    <n v="0"/>
  </r>
  <r>
    <s v="FINAL0722_BANK_HE1"/>
    <s v="BELUGA RIVER"/>
    <x v="28"/>
    <x v="1"/>
    <x v="15"/>
    <n v="0"/>
  </r>
  <r>
    <s v="FINAL0722_BANK_HE1"/>
    <s v="BELUGA RIVER"/>
    <x v="28"/>
    <x v="1"/>
    <x v="16"/>
    <n v="0"/>
  </r>
  <r>
    <s v="FINAL0722_BANK_HE1"/>
    <s v="BELUGA RIVER"/>
    <x v="28"/>
    <x v="1"/>
    <x v="17"/>
    <n v="0"/>
  </r>
  <r>
    <s v="FINAL0722_BANK_HE1"/>
    <s v="BELUGA RIVER"/>
    <x v="28"/>
    <x v="1"/>
    <x v="18"/>
    <n v="0"/>
  </r>
  <r>
    <s v="FINAL0722_BANK_HE1"/>
    <s v="BELUGA RIVER"/>
    <x v="28"/>
    <x v="1"/>
    <x v="19"/>
    <n v="0"/>
  </r>
  <r>
    <s v="FINAL0722_BANK_HE1"/>
    <s v="BELUGA RIVER"/>
    <x v="28"/>
    <x v="1"/>
    <x v="20"/>
    <n v="0"/>
  </r>
  <r>
    <s v="FINAL0722_BANK_HE1"/>
    <s v="BELUGA RIVER"/>
    <x v="28"/>
    <x v="1"/>
    <x v="21"/>
    <n v="0"/>
  </r>
  <r>
    <s v="FINAL0722_BANK_HE1"/>
    <s v="BELUGA RIVER"/>
    <x v="28"/>
    <x v="1"/>
    <x v="22"/>
    <n v="0"/>
  </r>
  <r>
    <s v="FINAL0722_BANK_HE1"/>
    <s v="BELUGA RIVER"/>
    <x v="28"/>
    <x v="1"/>
    <x v="23"/>
    <n v="0"/>
  </r>
  <r>
    <s v="FINAL0722_BANK_HE1"/>
    <s v="BELUGA RIVER"/>
    <x v="28"/>
    <x v="1"/>
    <x v="24"/>
    <n v="0"/>
  </r>
  <r>
    <s v="FINAL0722_BANK_HE1"/>
    <s v="BELUGA RIVER"/>
    <x v="28"/>
    <x v="1"/>
    <x v="25"/>
    <n v="0"/>
  </r>
  <r>
    <s v="FINAL0722_BANK_HE1"/>
    <s v="BELUGA RIVER"/>
    <x v="28"/>
    <x v="1"/>
    <x v="26"/>
    <n v="0"/>
  </r>
  <r>
    <s v="FINAL0722_BANK_HE1"/>
    <s v="BELUGA RIVER"/>
    <x v="28"/>
    <x v="1"/>
    <x v="27"/>
    <n v="0"/>
  </r>
  <r>
    <s v="FINAL0722_BANK_HE1"/>
    <s v="BELUGA RIVER"/>
    <x v="28"/>
    <x v="1"/>
    <x v="28"/>
    <n v="0"/>
  </r>
  <r>
    <s v="FINAL0722_BANK_HE1"/>
    <s v="BELUGA RIVER"/>
    <x v="28"/>
    <x v="1"/>
    <x v="29"/>
    <n v="0"/>
  </r>
  <r>
    <s v="FINAL0722_BANK_HE1"/>
    <s v="BELUGA RIVER"/>
    <x v="28"/>
    <x v="1"/>
    <x v="30"/>
    <n v="0"/>
  </r>
  <r>
    <s v="FINAL0722_BANK_HE1"/>
    <s v="BELUGA RIVER"/>
    <x v="28"/>
    <x v="1"/>
    <x v="31"/>
    <n v="0"/>
  </r>
  <r>
    <s v="FINAL0722_BANK_HE1"/>
    <s v="BELUGA RIVER"/>
    <x v="28"/>
    <x v="1"/>
    <x v="32"/>
    <n v="0"/>
  </r>
  <r>
    <s v="FINAL0722_BANK_HE1"/>
    <s v="BELUGA RIVER"/>
    <x v="28"/>
    <x v="1"/>
    <x v="33"/>
    <n v="0"/>
  </r>
  <r>
    <s v="FINAL0722_BANK_HE1"/>
    <s v="BELUGA RIVER"/>
    <x v="28"/>
    <x v="1"/>
    <x v="34"/>
    <n v="0"/>
  </r>
  <r>
    <s v="FINAL0722_BANK_HE1"/>
    <s v="BELUGA RIVER"/>
    <x v="28"/>
    <x v="1"/>
    <x v="35"/>
    <n v="0"/>
  </r>
  <r>
    <s v="FINAL0722_BANK_HE1"/>
    <s v="BELUGA RIVER"/>
    <x v="28"/>
    <x v="1"/>
    <x v="36"/>
    <n v="0"/>
  </r>
  <r>
    <s v="FINAL0722_BANK_HE1"/>
    <s v="BELUGA RIVER"/>
    <x v="28"/>
    <x v="1"/>
    <x v="37"/>
    <n v="0"/>
  </r>
  <r>
    <s v="FINAL0722_BANK_HE1"/>
    <s v="BELUGA RIVER"/>
    <x v="28"/>
    <x v="1"/>
    <x v="38"/>
    <n v="0"/>
  </r>
  <r>
    <s v="FINAL0722_BANK_HE1"/>
    <s v="BELUGA RIVER"/>
    <x v="28"/>
    <x v="1"/>
    <x v="39"/>
    <n v="0"/>
  </r>
  <r>
    <s v="FINAL0722_BANK_HE1"/>
    <s v="BELUGA RIVER"/>
    <x v="28"/>
    <x v="1"/>
    <x v="40"/>
    <n v="0"/>
  </r>
  <r>
    <s v="FINAL0722_BANK_HE1"/>
    <s v="BELUGA RIVER"/>
    <x v="28"/>
    <x v="1"/>
    <x v="41"/>
    <n v="0"/>
  </r>
  <r>
    <s v="FINAL0722_BANK_HE1"/>
    <s v="BELUGA RIVER"/>
    <x v="28"/>
    <x v="1"/>
    <x v="42"/>
    <n v="0"/>
  </r>
  <r>
    <s v="FINAL0722_BANK_HE1"/>
    <s v="BELUGA RIVER"/>
    <x v="28"/>
    <x v="1"/>
    <x v="43"/>
    <n v="0"/>
  </r>
  <r>
    <s v="FINAL0722_BANK_HE1"/>
    <s v="BELUGA RIVER"/>
    <x v="28"/>
    <x v="1"/>
    <x v="44"/>
    <n v="0"/>
  </r>
  <r>
    <s v="FINAL0722_BANK_HE1"/>
    <s v="BELUGA RIVER"/>
    <x v="28"/>
    <x v="1"/>
    <x v="45"/>
    <n v="0"/>
  </r>
  <r>
    <s v="FINAL0722_BANK_HE1"/>
    <s v="BELUGA RIVER"/>
    <x v="28"/>
    <x v="1"/>
    <x v="46"/>
    <n v="0"/>
  </r>
  <r>
    <s v="FINAL0722_BANK_HE1"/>
    <s v="BELUGA RIVER"/>
    <x v="28"/>
    <x v="1"/>
    <x v="47"/>
    <n v="0"/>
  </r>
  <r>
    <s v="FINAL0722_BANK_HE1"/>
    <s v="BELUGA RIVER"/>
    <x v="28"/>
    <x v="1"/>
    <x v="48"/>
    <n v="0"/>
  </r>
  <r>
    <s v="FINAL0722_BANK_HE1"/>
    <s v="BELUGA RIVER"/>
    <x v="28"/>
    <x v="1"/>
    <x v="49"/>
    <n v="0"/>
  </r>
  <r>
    <s v="FINAL0722_BANK_HE1"/>
    <s v="BELUGA RIVER"/>
    <x v="28"/>
    <x v="1"/>
    <x v="50"/>
    <n v="0"/>
  </r>
  <r>
    <s v="FINAL0722_BANK_HE1"/>
    <s v="BELUGA RIVER"/>
    <x v="28"/>
    <x v="1"/>
    <x v="51"/>
    <n v="0"/>
  </r>
  <r>
    <s v="FINAL0722_BANK_HE1"/>
    <s v="BELUGA RIVER"/>
    <x v="28"/>
    <x v="1"/>
    <x v="52"/>
    <n v="0"/>
  </r>
  <r>
    <s v="FINAL0722_BANK_HE1"/>
    <s v="BELUGA RIVER"/>
    <x v="28"/>
    <x v="1"/>
    <x v="53"/>
    <n v="0"/>
  </r>
  <r>
    <s v="FINAL0722_BANK_HE1"/>
    <s v="BELUGA RIVER"/>
    <x v="28"/>
    <x v="1"/>
    <x v="54"/>
    <n v="0"/>
  </r>
  <r>
    <s v="FINAL0722_BANK_HE1"/>
    <s v="BELUGA RIVER"/>
    <x v="28"/>
    <x v="1"/>
    <x v="55"/>
    <n v="0"/>
  </r>
  <r>
    <s v="FINAL0722_BANK_HE1"/>
    <s v="BELUGA RIVER"/>
    <x v="28"/>
    <x v="1"/>
    <x v="56"/>
    <n v="0"/>
  </r>
  <r>
    <s v="FINAL0722_BANK_HE1"/>
    <s v="BELUGA RIVER"/>
    <x v="28"/>
    <x v="1"/>
    <x v="57"/>
    <n v="0"/>
  </r>
  <r>
    <s v="FINAL0722_BANK_HE1"/>
    <s v="BELUGA RIVER"/>
    <x v="28"/>
    <x v="1"/>
    <x v="58"/>
    <n v="0"/>
  </r>
  <r>
    <s v="FINAL0722_BANK_HE1"/>
    <s v="BELUGA RIVER"/>
    <x v="28"/>
    <x v="1"/>
    <x v="59"/>
    <n v="0"/>
  </r>
  <r>
    <s v="FINAL0722_BANK_HE1"/>
    <s v="BELUGA RIVER"/>
    <x v="28"/>
    <x v="1"/>
    <x v="60"/>
    <n v="0"/>
  </r>
  <r>
    <s v="FINAL0722_BANK_HE1"/>
    <s v="BELUGA RIVER"/>
    <x v="28"/>
    <x v="1"/>
    <x v="61"/>
    <n v="0"/>
  </r>
  <r>
    <s v="FINAL0722_BANK_HE1"/>
    <s v="BELUGA RIVER"/>
    <x v="28"/>
    <x v="1"/>
    <x v="62"/>
    <n v="0"/>
  </r>
  <r>
    <s v="FINAL0722_BANK_HE1"/>
    <s v="BELUGA RIVER"/>
    <x v="28"/>
    <x v="1"/>
    <x v="63"/>
    <n v="0"/>
  </r>
  <r>
    <s v="FINAL0722_BANK_HE1"/>
    <s v="BELUGA RIVER"/>
    <x v="28"/>
    <x v="1"/>
    <x v="64"/>
    <n v="0"/>
  </r>
  <r>
    <s v="FINAL0722_BANK_HE1"/>
    <s v="BELUGA RIVER"/>
    <x v="28"/>
    <x v="1"/>
    <x v="65"/>
    <n v="0"/>
  </r>
  <r>
    <s v="FINAL0722_BANK_HE1"/>
    <s v="BELUGA RIVER"/>
    <x v="28"/>
    <x v="1"/>
    <x v="66"/>
    <n v="0"/>
  </r>
  <r>
    <s v="FINAL0722_BANK_HE1"/>
    <s v="BELUGA RIVER"/>
    <x v="28"/>
    <x v="1"/>
    <x v="67"/>
    <n v="0"/>
  </r>
  <r>
    <s v="FINAL0722_BANK_HE1"/>
    <s v="BELUGA RIVER"/>
    <x v="28"/>
    <x v="1"/>
    <x v="68"/>
    <n v="0"/>
  </r>
  <r>
    <s v="FINAL0722_BANK_HE1"/>
    <s v="BELUGA RIVER"/>
    <x v="28"/>
    <x v="1"/>
    <x v="69"/>
    <n v="0"/>
  </r>
  <r>
    <s v="FINAL0722_BANK_HE1"/>
    <s v="BELUGA RIVER"/>
    <x v="28"/>
    <x v="1"/>
    <x v="70"/>
    <n v="0"/>
  </r>
  <r>
    <s v="FINAL0722_BANK_HE1"/>
    <s v="BELUGA RIVER"/>
    <x v="28"/>
    <x v="1"/>
    <x v="71"/>
    <n v="0"/>
  </r>
  <r>
    <s v="FINAL0722_BANK_HE1"/>
    <s v="BELUGA RIVER"/>
    <x v="28"/>
    <x v="1"/>
    <x v="72"/>
    <n v="0"/>
  </r>
  <r>
    <s v="FINAL0722_BANK_HE1"/>
    <s v="BELUGA RIVER"/>
    <x v="28"/>
    <x v="1"/>
    <x v="73"/>
    <n v="0"/>
  </r>
  <r>
    <s v="FINAL0722_BANK_HE1"/>
    <s v="BELUGA RIVER"/>
    <x v="28"/>
    <x v="1"/>
    <x v="74"/>
    <n v="0"/>
  </r>
  <r>
    <s v="FINAL0722_BANK_HE1"/>
    <s v="BELUGA RIVER"/>
    <x v="28"/>
    <x v="1"/>
    <x v="75"/>
    <n v="0"/>
  </r>
  <r>
    <s v="FINAL0722_BANK_HE1"/>
    <s v="BELUGA RIVER"/>
    <x v="28"/>
    <x v="1"/>
    <x v="76"/>
    <n v="0"/>
  </r>
  <r>
    <s v="FINAL0722_BANK_HE1"/>
    <s v="BELUGA RIVER"/>
    <x v="28"/>
    <x v="1"/>
    <x v="77"/>
    <n v="0"/>
  </r>
  <r>
    <s v="FINAL0722_BANK_HE1"/>
    <s v="BELUGA RIVER"/>
    <x v="28"/>
    <x v="1"/>
    <x v="78"/>
    <n v="0"/>
  </r>
  <r>
    <s v="FINAL0722_BANK_HE1"/>
    <s v="BELUGA RIVER"/>
    <x v="28"/>
    <x v="1"/>
    <x v="79"/>
    <n v="0"/>
  </r>
  <r>
    <s v="FINAL0722_BANK_HE1"/>
    <s v="BELUGA RIVER"/>
    <x v="28"/>
    <x v="1"/>
    <x v="80"/>
    <n v="0"/>
  </r>
  <r>
    <s v="FINAL0722_BANK_HE1"/>
    <s v="BELUGA RIVER"/>
    <x v="28"/>
    <x v="1"/>
    <x v="81"/>
    <n v="0"/>
  </r>
  <r>
    <s v="FINAL0722_BANK_HE1"/>
    <s v="BELUGA RIVER"/>
    <x v="28"/>
    <x v="1"/>
    <x v="82"/>
    <n v="0"/>
  </r>
  <r>
    <s v="FINAL0722_BANK_HE1"/>
    <s v="BELUGA RIVER"/>
    <x v="28"/>
    <x v="1"/>
    <x v="83"/>
    <n v="0"/>
  </r>
  <r>
    <s v="FINAL0722_BANK_HE1"/>
    <s v="BELUGA RIVER"/>
    <x v="28"/>
    <x v="1"/>
    <x v="84"/>
    <n v="0"/>
  </r>
  <r>
    <s v="FINAL0722_BANK_HE1"/>
    <s v="BELUGA RIVER"/>
    <x v="28"/>
    <x v="1"/>
    <x v="85"/>
    <n v="0"/>
  </r>
  <r>
    <s v="FINAL0722_BANK_HE1"/>
    <s v="BELUGA RIVER"/>
    <x v="28"/>
    <x v="1"/>
    <x v="86"/>
    <n v="0"/>
  </r>
  <r>
    <s v="FINAL0722_BANK_HE1"/>
    <s v="BELUGA RIVER"/>
    <x v="28"/>
    <x v="1"/>
    <x v="87"/>
    <n v="0"/>
  </r>
  <r>
    <s v="FINAL0722_BANK_HE1"/>
    <s v="BELUGA RIVER"/>
    <x v="28"/>
    <x v="1"/>
    <x v="88"/>
    <n v="0"/>
  </r>
  <r>
    <s v="FINAL0722_BANK_HE1"/>
    <s v="BELUGA RIVER"/>
    <x v="28"/>
    <x v="1"/>
    <x v="89"/>
    <n v="0"/>
  </r>
  <r>
    <s v="FINAL0722_BANK_HE1"/>
    <s v="BELUGA RIVER"/>
    <x v="28"/>
    <x v="1"/>
    <x v="90"/>
    <n v="0"/>
  </r>
  <r>
    <s v="FINAL0722_BANK_HE1"/>
    <s v="BELUGA RIVER"/>
    <x v="28"/>
    <x v="1"/>
    <x v="91"/>
    <n v="0"/>
  </r>
  <r>
    <s v="FINAL0722_BANK_HE1"/>
    <s v="BELUGA RIVER"/>
    <x v="28"/>
    <x v="1"/>
    <x v="92"/>
    <n v="0"/>
  </r>
  <r>
    <s v="FINAL0722_BANK_HE1"/>
    <s v="BELUGA RIVER"/>
    <x v="28"/>
    <x v="1"/>
    <x v="93"/>
    <n v="0"/>
  </r>
  <r>
    <s v="FINAL0722_BANK_HE1"/>
    <s v="BELUGA RIVER"/>
    <x v="28"/>
    <x v="1"/>
    <x v="94"/>
    <n v="0"/>
  </r>
  <r>
    <s v="FINAL0722_BANK_HE1"/>
    <s v="BELUGA RIVER"/>
    <x v="28"/>
    <x v="1"/>
    <x v="95"/>
    <n v="0"/>
  </r>
  <r>
    <s v="FINAL0722_BANK_HE1"/>
    <s v="BELUGA RIVER"/>
    <x v="28"/>
    <x v="1"/>
    <x v="96"/>
    <n v="0"/>
  </r>
  <r>
    <s v="FINAL0722_BANK_HE1"/>
    <s v="BELUGA RIVER"/>
    <x v="28"/>
    <x v="1"/>
    <x v="97"/>
    <n v="0"/>
  </r>
  <r>
    <s v="FINAL0722_BANK_HE1"/>
    <s v="BELUGA RIVER"/>
    <x v="28"/>
    <x v="1"/>
    <x v="98"/>
    <n v="0"/>
  </r>
  <r>
    <s v="FINAL0722_BANK_HE1"/>
    <s v="BELUGA RIVER"/>
    <x v="28"/>
    <x v="1"/>
    <x v="99"/>
    <n v="0"/>
  </r>
  <r>
    <s v="FINAL0722_BANK_HE1"/>
    <s v="BELUGA RIVER"/>
    <x v="28"/>
    <x v="1"/>
    <x v="100"/>
    <n v="0"/>
  </r>
  <r>
    <s v="FINAL0722_BANK_HE1"/>
    <s v="BELUGA RIVER"/>
    <x v="28"/>
    <x v="1"/>
    <x v="101"/>
    <n v="0"/>
  </r>
  <r>
    <s v="FINAL0722_BANK_HE1"/>
    <s v="BELUGA RIVER"/>
    <x v="28"/>
    <x v="1"/>
    <x v="102"/>
    <n v="0"/>
  </r>
  <r>
    <s v="FINAL0722_BANK_HE1"/>
    <s v="BELUGA RIVER"/>
    <x v="28"/>
    <x v="1"/>
    <x v="103"/>
    <n v="0"/>
  </r>
  <r>
    <s v="FINAL0722_BANK_HE1"/>
    <s v="BELUGA RIVER"/>
    <x v="28"/>
    <x v="1"/>
    <x v="104"/>
    <n v="0"/>
  </r>
  <r>
    <s v="FINAL0722_BANK_HE1"/>
    <s v="BELUGA RIVER"/>
    <x v="28"/>
    <x v="1"/>
    <x v="105"/>
    <n v="0"/>
  </r>
  <r>
    <s v="FINAL0722_BANK_HE1"/>
    <s v="BELUGA RIVER"/>
    <x v="28"/>
    <x v="1"/>
    <x v="106"/>
    <n v="0"/>
  </r>
  <r>
    <s v="FINAL0722_BANK_HE1"/>
    <s v="BELUGA RIVER"/>
    <x v="28"/>
    <x v="1"/>
    <x v="107"/>
    <n v="0"/>
  </r>
  <r>
    <s v="FINAL0722_BANK_HE1"/>
    <s v="BELUGA RIVER"/>
    <x v="28"/>
    <x v="1"/>
    <x v="108"/>
    <n v="0"/>
  </r>
  <r>
    <s v="FINAL0722_BANK_HE1"/>
    <s v="BELUGA RIVER"/>
    <x v="28"/>
    <x v="1"/>
    <x v="109"/>
    <n v="0"/>
  </r>
  <r>
    <s v="FINAL0722_BANK_HE1"/>
    <s v="BELUGA RIVER"/>
    <x v="28"/>
    <x v="1"/>
    <x v="110"/>
    <n v="0"/>
  </r>
  <r>
    <s v="FINAL0722_BANK_HE1"/>
    <s v="BELUGA RIVER"/>
    <x v="28"/>
    <x v="1"/>
    <x v="111"/>
    <n v="0"/>
  </r>
  <r>
    <s v="FINAL0722_BANK_HE1"/>
    <s v="BELUGA RIVER"/>
    <x v="28"/>
    <x v="1"/>
    <x v="112"/>
    <n v="0"/>
  </r>
  <r>
    <s v="FINAL0722_BANK_HE1"/>
    <s v="BELUGA RIVER"/>
    <x v="28"/>
    <x v="1"/>
    <x v="113"/>
    <n v="0"/>
  </r>
  <r>
    <s v="FINAL0722_BANK_HE1"/>
    <s v="BELUGA RIVER"/>
    <x v="28"/>
    <x v="1"/>
    <x v="114"/>
    <n v="0"/>
  </r>
  <r>
    <s v="FINAL0722_BANK_HE1"/>
    <s v="BELUGA RIVER"/>
    <x v="28"/>
    <x v="1"/>
    <x v="115"/>
    <n v="0"/>
  </r>
  <r>
    <s v="FINAL0722_BANK_HE1"/>
    <s v="BELUGA RIVER"/>
    <x v="28"/>
    <x v="1"/>
    <x v="116"/>
    <n v="0"/>
  </r>
  <r>
    <s v="FINAL0722_BANK_HE1"/>
    <s v="BELUGA RIVER"/>
    <x v="28"/>
    <x v="1"/>
    <x v="117"/>
    <n v="0"/>
  </r>
  <r>
    <s v="FINAL0722_BANK_HE1"/>
    <s v="BELUGA RIVER"/>
    <x v="28"/>
    <x v="1"/>
    <x v="118"/>
    <n v="0"/>
  </r>
  <r>
    <s v="FINAL0722_BANK_HE1"/>
    <s v="BELUGA RIVER"/>
    <x v="28"/>
    <x v="1"/>
    <x v="119"/>
    <n v="0"/>
  </r>
  <r>
    <s v="FINAL0722_BANK_HE1"/>
    <s v="BELUGA RIVER"/>
    <x v="28"/>
    <x v="1"/>
    <x v="120"/>
    <n v="0"/>
  </r>
  <r>
    <s v="FINAL0722_BANK_HE1"/>
    <s v="BELUGA RIVER"/>
    <x v="28"/>
    <x v="1"/>
    <x v="121"/>
    <n v="0"/>
  </r>
  <r>
    <s v="FINAL0722_BANK_HE1"/>
    <s v="BELUGA RIVER"/>
    <x v="28"/>
    <x v="1"/>
    <x v="122"/>
    <n v="0"/>
  </r>
  <r>
    <s v="FINAL0722_BANK_HE1"/>
    <s v="BELUGA RIVER"/>
    <x v="28"/>
    <x v="1"/>
    <x v="123"/>
    <n v="0"/>
  </r>
  <r>
    <s v="FINAL0722_BANK_HE1"/>
    <s v="BELUGA RIVER"/>
    <x v="28"/>
    <x v="1"/>
    <x v="124"/>
    <n v="0"/>
  </r>
  <r>
    <s v="FINAL0722_BANK_HE1"/>
    <s v="BELUGA RIVER"/>
    <x v="28"/>
    <x v="1"/>
    <x v="125"/>
    <n v="0"/>
  </r>
  <r>
    <s v="FINAL0722_BANK_HE1"/>
    <s v="BELUGA RIVER"/>
    <x v="28"/>
    <x v="1"/>
    <x v="126"/>
    <n v="0"/>
  </r>
  <r>
    <s v="FINAL0722_BANK_HE1"/>
    <s v="BELUGA RIVER"/>
    <x v="28"/>
    <x v="1"/>
    <x v="127"/>
    <n v="0"/>
  </r>
  <r>
    <s v="FINAL0722_BANK_HE1"/>
    <s v="BELUGA RIVER"/>
    <x v="28"/>
    <x v="1"/>
    <x v="128"/>
    <n v="0"/>
  </r>
  <r>
    <s v="FINAL0722_BANK_HE1"/>
    <s v="BELUGA RIVER"/>
    <x v="28"/>
    <x v="1"/>
    <x v="129"/>
    <n v="0"/>
  </r>
  <r>
    <s v="FINAL0722_BANK_HE1"/>
    <s v="BELUGA RIVER"/>
    <x v="28"/>
    <x v="1"/>
    <x v="130"/>
    <n v="0"/>
  </r>
  <r>
    <s v="FINAL0722_BANK_HE1"/>
    <s v="BELUGA RIVER"/>
    <x v="28"/>
    <x v="1"/>
    <x v="131"/>
    <n v="0"/>
  </r>
  <r>
    <s v="FINAL0722_BANK_HE1"/>
    <s v="BELUGA RIVER"/>
    <x v="28"/>
    <x v="1"/>
    <x v="132"/>
    <n v="119062.0625"/>
  </r>
  <r>
    <s v="FINAL0722_BANK_HE1"/>
    <s v="BELUGA RIVER"/>
    <x v="28"/>
    <x v="1"/>
    <x v="133"/>
    <n v="117205.7109375"/>
  </r>
  <r>
    <s v="FINAL0722_BANK_HE1"/>
    <s v="BELUGA RIVER"/>
    <x v="28"/>
    <x v="1"/>
    <x v="134"/>
    <n v="115378.3046875"/>
  </r>
  <r>
    <s v="FINAL0722_BANK_HE1"/>
    <s v="BELUGA RIVER"/>
    <x v="28"/>
    <x v="1"/>
    <x v="135"/>
    <n v="113579.390625"/>
  </r>
  <r>
    <s v="FINAL0722_BANK_HE1"/>
    <s v="BELUGA RIVER"/>
    <x v="28"/>
    <x v="1"/>
    <x v="136"/>
    <n v="111808.5234375"/>
  </r>
  <r>
    <s v="FINAL0722_BANK_HE1"/>
    <s v="BELUGA RIVER"/>
    <x v="28"/>
    <x v="1"/>
    <x v="137"/>
    <n v="110065.265625"/>
  </r>
  <r>
    <s v="FINAL0722_BANK_HE1"/>
    <s v="BELUGA RIVER"/>
    <x v="28"/>
    <x v="1"/>
    <x v="138"/>
    <n v="108349.1875"/>
  </r>
  <r>
    <s v="FINAL0722_BANK_HE1"/>
    <s v="BELUGA RIVER"/>
    <x v="28"/>
    <x v="1"/>
    <x v="139"/>
    <n v="106659.8671875"/>
  </r>
  <r>
    <s v="FINAL0722_BANK_HE1"/>
    <s v="BELUGA RIVER"/>
    <x v="28"/>
    <x v="1"/>
    <x v="140"/>
    <n v="104996.8828125"/>
  </r>
  <r>
    <s v="FINAL0722_BANK_HE1"/>
    <s v="BELUGA RIVER"/>
    <x v="28"/>
    <x v="1"/>
    <x v="141"/>
    <n v="103359.828125"/>
  </r>
  <r>
    <s v="FINAL0722_BANK_HE1"/>
    <s v="BELUGA RIVER"/>
    <x v="28"/>
    <x v="1"/>
    <x v="142"/>
    <n v="101748.296875"/>
  </r>
  <r>
    <s v="FINAL0722_BANK_HE1"/>
    <s v="BELUGA RIVER"/>
    <x v="28"/>
    <x v="1"/>
    <x v="143"/>
    <n v="100161.890625"/>
  </r>
  <r>
    <s v="FINAL0722_BANK_HE1"/>
    <s v="BELUGA RIVER"/>
    <x v="28"/>
    <x v="1"/>
    <x v="144"/>
    <n v="98600.21875"/>
  </r>
  <r>
    <s v="FINAL0722_BANK_HE1"/>
    <s v="BELUGA RIVER"/>
    <x v="28"/>
    <x v="1"/>
    <x v="145"/>
    <n v="97062.8984375"/>
  </r>
  <r>
    <s v="FINAL0722_BANK_HE1"/>
    <s v="BELUGA RIVER"/>
    <x v="28"/>
    <x v="1"/>
    <x v="146"/>
    <n v="95549.546875"/>
  </r>
  <r>
    <s v="FINAL0722_BANK_HE1"/>
    <s v="BELUGA RIVER"/>
    <x v="28"/>
    <x v="1"/>
    <x v="147"/>
    <n v="94059.7890625"/>
  </r>
  <r>
    <s v="FINAL0722_BANK_HE1"/>
    <s v="BELUGA RIVER"/>
    <x v="28"/>
    <x v="1"/>
    <x v="148"/>
    <n v="92593.2578125"/>
  </r>
  <r>
    <s v="FINAL0722_BANK_HE1"/>
    <s v="BELUGA RIVER"/>
    <x v="28"/>
    <x v="1"/>
    <x v="149"/>
    <n v="91149.59375"/>
  </r>
  <r>
    <s v="FINAL0722_BANK_HE1"/>
    <s v="BELUGA RIVER"/>
    <x v="28"/>
    <x v="1"/>
    <x v="150"/>
    <n v="89728.4375"/>
  </r>
  <r>
    <s v="FINAL0722_BANK_HE1"/>
    <s v="BELUGA RIVER"/>
    <x v="28"/>
    <x v="1"/>
    <x v="151"/>
    <n v="88329.4375"/>
  </r>
  <r>
    <s v="FINAL0722_BANK_HE1"/>
    <s v="BELUGA RIVER"/>
    <x v="28"/>
    <x v="1"/>
    <x v="152"/>
    <n v="86952.25"/>
  </r>
  <r>
    <s v="FINAL0722_BANK_HE1"/>
    <s v="BELUGA RIVER"/>
    <x v="28"/>
    <x v="1"/>
    <x v="153"/>
    <n v="85596.5390625"/>
  </r>
  <r>
    <s v="FINAL0722_BANK_HE1"/>
    <s v="BELUGA RIVER"/>
    <x v="28"/>
    <x v="1"/>
    <x v="154"/>
    <n v="84261.9609375"/>
  </r>
  <r>
    <s v="FINAL0722_BANK_HE1"/>
    <s v="BELUGA RIVER"/>
    <x v="28"/>
    <x v="1"/>
    <x v="155"/>
    <n v="82948.1953125"/>
  </r>
  <r>
    <s v="FINAL0722_BANK_HE1"/>
    <s v="BELUGA RIVER"/>
    <x v="28"/>
    <x v="1"/>
    <x v="156"/>
    <n v="81654.9140625"/>
  </r>
  <r>
    <s v="FINAL0722_BANK_HE1"/>
    <s v="BELUGA RIVER"/>
    <x v="28"/>
    <x v="1"/>
    <x v="157"/>
    <n v="80381.796875"/>
  </r>
  <r>
    <s v="FINAL0722_BANK_HE1"/>
    <s v="BELUGA RIVER"/>
    <x v="28"/>
    <x v="1"/>
    <x v="158"/>
    <n v="79128.5234375"/>
  </r>
  <r>
    <s v="FINAL0722_BANK_HE1"/>
    <s v="BELUGA RIVER"/>
    <x v="28"/>
    <x v="1"/>
    <x v="159"/>
    <n v="77894.796875"/>
  </r>
  <r>
    <s v="FINAL0722_BANK_HE1"/>
    <s v="BELUGA RIVER"/>
    <x v="28"/>
    <x v="1"/>
    <x v="160"/>
    <n v="76680.3046875"/>
  </r>
  <r>
    <s v="FINAL0722_BANK_HE1"/>
    <s v="BELUGA RIVER"/>
    <x v="28"/>
    <x v="1"/>
    <x v="161"/>
    <n v="75484.75"/>
  </r>
  <r>
    <s v="FINAL0722_BANK_HE1"/>
    <s v="BELUGA RIVER"/>
    <x v="29"/>
    <x v="0"/>
    <x v="0"/>
    <n v="58707.2578125"/>
  </r>
  <r>
    <s v="FINAL0722_BANK_HE1"/>
    <s v="BELUGA RIVER"/>
    <x v="29"/>
    <x v="0"/>
    <x v="1"/>
    <n v="57625.66796875"/>
  </r>
  <r>
    <s v="FINAL0722_BANK_HE1"/>
    <s v="BELUGA RIVER"/>
    <x v="29"/>
    <x v="0"/>
    <x v="2"/>
    <n v="56564.00390625"/>
  </r>
  <r>
    <s v="FINAL0722_BANK_HE1"/>
    <s v="BELUGA RIVER"/>
    <x v="29"/>
    <x v="0"/>
    <x v="3"/>
    <n v="55521.8984375"/>
  </r>
  <r>
    <s v="FINAL0722_BANK_HE1"/>
    <s v="BELUGA RIVER"/>
    <x v="29"/>
    <x v="0"/>
    <x v="4"/>
    <n v="54498.9921875"/>
  </r>
  <r>
    <s v="FINAL0722_BANK_HE1"/>
    <s v="BELUGA RIVER"/>
    <x v="29"/>
    <x v="0"/>
    <x v="5"/>
    <n v="53494.9296875"/>
  </r>
  <r>
    <s v="FINAL0722_BANK_HE1"/>
    <s v="BELUGA RIVER"/>
    <x v="29"/>
    <x v="0"/>
    <x v="6"/>
    <n v="52509.3671875"/>
  </r>
  <r>
    <s v="FINAL0722_BANK_HE1"/>
    <s v="BELUGA RIVER"/>
    <x v="29"/>
    <x v="0"/>
    <x v="7"/>
    <n v="51541.9609375"/>
  </r>
  <r>
    <s v="FINAL0722_BANK_HE1"/>
    <s v="BELUGA RIVER"/>
    <x v="29"/>
    <x v="0"/>
    <x v="8"/>
    <n v="50592.37890625"/>
  </r>
  <r>
    <s v="FINAL0722_BANK_HE1"/>
    <s v="BELUGA RIVER"/>
    <x v="29"/>
    <x v="0"/>
    <x v="9"/>
    <n v="49660.29296875"/>
  </r>
  <r>
    <s v="FINAL0722_BANK_HE1"/>
    <s v="BELUGA RIVER"/>
    <x v="29"/>
    <x v="0"/>
    <x v="10"/>
    <n v="48745.37890625"/>
  </r>
  <r>
    <s v="FINAL0722_BANK_HE1"/>
    <s v="BELUGA RIVER"/>
    <x v="29"/>
    <x v="0"/>
    <x v="11"/>
    <n v="47847.3203125"/>
  </r>
  <r>
    <s v="FINAL0722_BANK_HE1"/>
    <s v="BELUGA RIVER"/>
    <x v="29"/>
    <x v="0"/>
    <x v="12"/>
    <n v="46965.8046875"/>
  </r>
  <r>
    <s v="FINAL0722_BANK_HE1"/>
    <s v="BELUGA RIVER"/>
    <x v="29"/>
    <x v="0"/>
    <x v="13"/>
    <n v="46100.53125"/>
  </r>
  <r>
    <s v="FINAL0722_BANK_HE1"/>
    <s v="BELUGA RIVER"/>
    <x v="29"/>
    <x v="0"/>
    <x v="14"/>
    <n v="45251.19921875"/>
  </r>
  <r>
    <s v="FINAL0722_BANK_HE1"/>
    <s v="BELUGA RIVER"/>
    <x v="29"/>
    <x v="0"/>
    <x v="15"/>
    <n v="44417.515625"/>
  </r>
  <r>
    <s v="FINAL0722_BANK_HE1"/>
    <s v="BELUGA RIVER"/>
    <x v="29"/>
    <x v="0"/>
    <x v="16"/>
    <n v="43599.19140625"/>
  </r>
  <r>
    <s v="FINAL0722_BANK_HE1"/>
    <s v="BELUGA RIVER"/>
    <x v="29"/>
    <x v="0"/>
    <x v="17"/>
    <n v="42795.94140625"/>
  </r>
  <r>
    <s v="FINAL0722_BANK_HE1"/>
    <s v="BELUGA RIVER"/>
    <x v="29"/>
    <x v="0"/>
    <x v="18"/>
    <n v="42007.4921875"/>
  </r>
  <r>
    <s v="FINAL0722_BANK_HE1"/>
    <s v="BELUGA RIVER"/>
    <x v="29"/>
    <x v="0"/>
    <x v="19"/>
    <n v="41233.5703125"/>
  </r>
  <r>
    <s v="FINAL0722_BANK_HE1"/>
    <s v="BELUGA RIVER"/>
    <x v="29"/>
    <x v="0"/>
    <x v="20"/>
    <n v="40473.90625"/>
  </r>
  <r>
    <s v="FINAL0722_BANK_HE1"/>
    <s v="BELUGA RIVER"/>
    <x v="29"/>
    <x v="0"/>
    <x v="21"/>
    <n v="39728.23828125"/>
  </r>
  <r>
    <s v="FINAL0722_BANK_HE1"/>
    <s v="BELUGA RIVER"/>
    <x v="29"/>
    <x v="0"/>
    <x v="22"/>
    <n v="38996.3046875"/>
  </r>
  <r>
    <s v="FINAL0722_BANK_HE1"/>
    <s v="BELUGA RIVER"/>
    <x v="29"/>
    <x v="0"/>
    <x v="23"/>
    <n v="38277.859375"/>
  </r>
  <r>
    <s v="FINAL0722_BANK_HE1"/>
    <s v="BELUGA RIVER"/>
    <x v="29"/>
    <x v="0"/>
    <x v="24"/>
    <n v="37572.6484375"/>
  </r>
  <r>
    <s v="FINAL0722_BANK_HE1"/>
    <s v="BELUGA RIVER"/>
    <x v="29"/>
    <x v="0"/>
    <x v="25"/>
    <n v="36880.4296875"/>
  </r>
  <r>
    <s v="FINAL0722_BANK_HE1"/>
    <s v="BELUGA RIVER"/>
    <x v="29"/>
    <x v="0"/>
    <x v="26"/>
    <n v="36200.96484375"/>
  </r>
  <r>
    <s v="FINAL0722_BANK_HE1"/>
    <s v="BELUGA RIVER"/>
    <x v="29"/>
    <x v="0"/>
    <x v="27"/>
    <n v="35534.015625"/>
  </r>
  <r>
    <s v="FINAL0722_BANK_HE1"/>
    <s v="BELUGA RIVER"/>
    <x v="29"/>
    <x v="0"/>
    <x v="28"/>
    <n v="34879.35546875"/>
  </r>
  <r>
    <s v="FINAL0722_BANK_HE1"/>
    <s v="BELUGA RIVER"/>
    <x v="29"/>
    <x v="0"/>
    <x v="29"/>
    <n v="34236.7578125"/>
  </r>
  <r>
    <s v="FINAL0722_BANK_HE1"/>
    <s v="BELUGA RIVER"/>
    <x v="29"/>
    <x v="0"/>
    <x v="30"/>
    <n v="33605.99609375"/>
  </r>
  <r>
    <s v="FINAL0722_BANK_HE1"/>
    <s v="BELUGA RIVER"/>
    <x v="29"/>
    <x v="0"/>
    <x v="31"/>
    <n v="32986.85546875"/>
  </r>
  <r>
    <s v="FINAL0722_BANK_HE1"/>
    <s v="BELUGA RIVER"/>
    <x v="29"/>
    <x v="0"/>
    <x v="32"/>
    <n v="32379.123046875"/>
  </r>
  <r>
    <s v="FINAL0722_BANK_HE1"/>
    <s v="BELUGA RIVER"/>
    <x v="29"/>
    <x v="0"/>
    <x v="33"/>
    <n v="31782.587890625"/>
  </r>
  <r>
    <s v="FINAL0722_BANK_HE1"/>
    <s v="BELUGA RIVER"/>
    <x v="29"/>
    <x v="0"/>
    <x v="34"/>
    <n v="31197.04296875"/>
  </r>
  <r>
    <s v="FINAL0722_BANK_HE1"/>
    <s v="BELUGA RIVER"/>
    <x v="29"/>
    <x v="0"/>
    <x v="35"/>
    <n v="30622.28515625"/>
  </r>
  <r>
    <s v="FINAL0722_BANK_HE1"/>
    <s v="BELUGA RIVER"/>
    <x v="29"/>
    <x v="0"/>
    <x v="36"/>
    <n v="30058.1171875"/>
  </r>
  <r>
    <s v="FINAL0722_BANK_HE1"/>
    <s v="BELUGA RIVER"/>
    <x v="29"/>
    <x v="0"/>
    <x v="37"/>
    <n v="29504.341796875"/>
  </r>
  <r>
    <s v="FINAL0722_BANK_HE1"/>
    <s v="BELUGA RIVER"/>
    <x v="29"/>
    <x v="0"/>
    <x v="38"/>
    <n v="28960.76953125"/>
  </r>
  <r>
    <s v="FINAL0722_BANK_HE1"/>
    <s v="BELUGA RIVER"/>
    <x v="29"/>
    <x v="0"/>
    <x v="39"/>
    <n v="28427.2109375"/>
  </r>
  <r>
    <s v="FINAL0722_BANK_HE1"/>
    <s v="BELUGA RIVER"/>
    <x v="29"/>
    <x v="0"/>
    <x v="40"/>
    <n v="27903.482421875"/>
  </r>
  <r>
    <s v="FINAL0722_BANK_HE1"/>
    <s v="BELUGA RIVER"/>
    <x v="29"/>
    <x v="0"/>
    <x v="41"/>
    <n v="27389.404296875"/>
  </r>
  <r>
    <s v="FINAL0722_BANK_HE1"/>
    <s v="BELUGA RIVER"/>
    <x v="29"/>
    <x v="0"/>
    <x v="42"/>
    <n v="26884.796875"/>
  </r>
  <r>
    <s v="FINAL0722_BANK_HE1"/>
    <s v="BELUGA RIVER"/>
    <x v="29"/>
    <x v="0"/>
    <x v="43"/>
    <n v="26389.486328125"/>
  </r>
  <r>
    <s v="FINAL0722_BANK_HE1"/>
    <s v="BELUGA RIVER"/>
    <x v="29"/>
    <x v="0"/>
    <x v="44"/>
    <n v="25903.30078125"/>
  </r>
  <r>
    <s v="FINAL0722_BANK_HE1"/>
    <s v="BELUGA RIVER"/>
    <x v="29"/>
    <x v="0"/>
    <x v="45"/>
    <n v="25426.072265625"/>
  </r>
  <r>
    <s v="FINAL0722_BANK_HE1"/>
    <s v="BELUGA RIVER"/>
    <x v="29"/>
    <x v="0"/>
    <x v="46"/>
    <n v="24957.63671875"/>
  </r>
  <r>
    <s v="FINAL0722_BANK_HE1"/>
    <s v="BELUGA RIVER"/>
    <x v="29"/>
    <x v="0"/>
    <x v="47"/>
    <n v="24497.830078125"/>
  </r>
  <r>
    <s v="FINAL0722_BANK_HE1"/>
    <s v="BELUGA RIVER"/>
    <x v="29"/>
    <x v="0"/>
    <x v="48"/>
    <n v="24046.494140625"/>
  </r>
  <r>
    <s v="FINAL0722_BANK_HE1"/>
    <s v="BELUGA RIVER"/>
    <x v="29"/>
    <x v="0"/>
    <x v="49"/>
    <n v="23603.474609375"/>
  </r>
  <r>
    <s v="FINAL0722_BANK_HE1"/>
    <s v="BELUGA RIVER"/>
    <x v="29"/>
    <x v="0"/>
    <x v="50"/>
    <n v="23168.6171875"/>
  </r>
  <r>
    <s v="FINAL0722_BANK_HE1"/>
    <s v="BELUGA RIVER"/>
    <x v="29"/>
    <x v="0"/>
    <x v="51"/>
    <n v="22741.771484375"/>
  </r>
  <r>
    <s v="FINAL0722_BANK_HE1"/>
    <s v="BELUGA RIVER"/>
    <x v="29"/>
    <x v="0"/>
    <x v="52"/>
    <n v="22322.7890625"/>
  </r>
  <r>
    <s v="FINAL0722_BANK_HE1"/>
    <s v="BELUGA RIVER"/>
    <x v="29"/>
    <x v="0"/>
    <x v="53"/>
    <n v="21911.525390625"/>
  </r>
  <r>
    <s v="FINAL0722_BANK_HE1"/>
    <s v="BELUGA RIVER"/>
    <x v="29"/>
    <x v="0"/>
    <x v="54"/>
    <n v="21507.83984375"/>
  </r>
  <r>
    <s v="FINAL0722_BANK_HE1"/>
    <s v="BELUGA RIVER"/>
    <x v="29"/>
    <x v="0"/>
    <x v="55"/>
    <n v="21111.58984375"/>
  </r>
  <r>
    <s v="FINAL0722_BANK_HE1"/>
    <s v="BELUGA RIVER"/>
    <x v="29"/>
    <x v="0"/>
    <x v="56"/>
    <n v="20722.640625"/>
  </r>
  <r>
    <s v="FINAL0722_BANK_HE1"/>
    <s v="BELUGA RIVER"/>
    <x v="29"/>
    <x v="0"/>
    <x v="57"/>
    <n v="20340.857421875"/>
  </r>
  <r>
    <s v="FINAL0722_BANK_HE1"/>
    <s v="BELUGA RIVER"/>
    <x v="29"/>
    <x v="0"/>
    <x v="58"/>
    <n v="19966.107421875"/>
  </r>
  <r>
    <s v="FINAL0722_BANK_HE1"/>
    <s v="BELUGA RIVER"/>
    <x v="29"/>
    <x v="0"/>
    <x v="59"/>
    <n v="19598.26171875"/>
  </r>
  <r>
    <s v="FINAL0722_BANK_HE1"/>
    <s v="BELUGA RIVER"/>
    <x v="29"/>
    <x v="0"/>
    <x v="60"/>
    <n v="19237.193359375"/>
  </r>
  <r>
    <s v="FINAL0722_BANK_HE1"/>
    <s v="BELUGA RIVER"/>
    <x v="29"/>
    <x v="0"/>
    <x v="61"/>
    <n v="18882.77734375"/>
  </r>
  <r>
    <s v="FINAL0722_BANK_HE1"/>
    <s v="BELUGA RIVER"/>
    <x v="29"/>
    <x v="0"/>
    <x v="62"/>
    <n v="18534.890625"/>
  </r>
  <r>
    <s v="FINAL0722_BANK_HE1"/>
    <s v="BELUGA RIVER"/>
    <x v="29"/>
    <x v="0"/>
    <x v="63"/>
    <n v="18193.4140625"/>
  </r>
  <r>
    <s v="FINAL0722_BANK_HE1"/>
    <s v="BELUGA RIVER"/>
    <x v="29"/>
    <x v="0"/>
    <x v="64"/>
    <n v="17858.228515625"/>
  </r>
  <r>
    <s v="FINAL0722_BANK_HE1"/>
    <s v="BELUGA RIVER"/>
    <x v="29"/>
    <x v="0"/>
    <x v="65"/>
    <n v="17529.21875"/>
  </r>
  <r>
    <s v="FINAL0722_BANK_HE1"/>
    <s v="BELUGA RIVER"/>
    <x v="29"/>
    <x v="0"/>
    <x v="66"/>
    <n v="17206.26953125"/>
  </r>
  <r>
    <s v="FINAL0722_BANK_HE1"/>
    <s v="BELUGA RIVER"/>
    <x v="29"/>
    <x v="0"/>
    <x v="67"/>
    <n v="16889.26953125"/>
  </r>
  <r>
    <s v="FINAL0722_BANK_HE1"/>
    <s v="BELUGA RIVER"/>
    <x v="29"/>
    <x v="0"/>
    <x v="68"/>
    <n v="16578.111328125"/>
  </r>
  <r>
    <s v="FINAL0722_BANK_HE1"/>
    <s v="BELUGA RIVER"/>
    <x v="29"/>
    <x v="0"/>
    <x v="69"/>
    <n v="16272.6845703125"/>
  </r>
  <r>
    <s v="FINAL0722_BANK_HE1"/>
    <s v="BELUGA RIVER"/>
    <x v="29"/>
    <x v="0"/>
    <x v="70"/>
    <n v="15972.884765625"/>
  </r>
  <r>
    <s v="FINAL0722_BANK_HE1"/>
    <s v="BELUGA RIVER"/>
    <x v="29"/>
    <x v="0"/>
    <x v="71"/>
    <n v="15678.6083984375"/>
  </r>
  <r>
    <s v="FINAL0722_BANK_HE1"/>
    <s v="BELUGA RIVER"/>
    <x v="29"/>
    <x v="0"/>
    <x v="72"/>
    <n v="15389.75390625"/>
  </r>
  <r>
    <s v="FINAL0722_BANK_HE1"/>
    <s v="BELUGA RIVER"/>
    <x v="29"/>
    <x v="0"/>
    <x v="73"/>
    <n v="15106.2216796875"/>
  </r>
  <r>
    <s v="FINAL0722_BANK_HE1"/>
    <s v="BELUGA RIVER"/>
    <x v="29"/>
    <x v="0"/>
    <x v="74"/>
    <n v="14827.9130859375"/>
  </r>
  <r>
    <s v="FINAL0722_BANK_HE1"/>
    <s v="BELUGA RIVER"/>
    <x v="29"/>
    <x v="0"/>
    <x v="75"/>
    <n v="14554.7314453125"/>
  </r>
  <r>
    <s v="FINAL0722_BANK_HE1"/>
    <s v="BELUGA RIVER"/>
    <x v="29"/>
    <x v="0"/>
    <x v="76"/>
    <n v="14286.5830078125"/>
  </r>
  <r>
    <s v="FINAL0722_BANK_HE1"/>
    <s v="BELUGA RIVER"/>
    <x v="29"/>
    <x v="0"/>
    <x v="77"/>
    <n v="14023.375"/>
  </r>
  <r>
    <s v="FINAL0722_BANK_HE1"/>
    <s v="BELUGA RIVER"/>
    <x v="29"/>
    <x v="0"/>
    <x v="78"/>
    <n v="13765.015625"/>
  </r>
  <r>
    <s v="FINAL0722_BANK_HE1"/>
    <s v="BELUGA RIVER"/>
    <x v="29"/>
    <x v="0"/>
    <x v="79"/>
    <n v="13511.416015625"/>
  </r>
  <r>
    <s v="FINAL0722_BANK_HE1"/>
    <s v="BELUGA RIVER"/>
    <x v="29"/>
    <x v="0"/>
    <x v="80"/>
    <n v="13262.4892578125"/>
  </r>
  <r>
    <s v="FINAL0722_BANK_HE1"/>
    <s v="BELUGA RIVER"/>
    <x v="29"/>
    <x v="0"/>
    <x v="81"/>
    <n v="13018.1484375"/>
  </r>
  <r>
    <s v="FINAL0722_BANK_HE1"/>
    <s v="BELUGA RIVER"/>
    <x v="29"/>
    <x v="0"/>
    <x v="82"/>
    <n v="12778.30859375"/>
  </r>
  <r>
    <s v="FINAL0722_BANK_HE1"/>
    <s v="BELUGA RIVER"/>
    <x v="29"/>
    <x v="0"/>
    <x v="83"/>
    <n v="12542.8876953125"/>
  </r>
  <r>
    <s v="FINAL0722_BANK_HE1"/>
    <s v="BELUGA RIVER"/>
    <x v="29"/>
    <x v="0"/>
    <x v="84"/>
    <n v="12311.8037109375"/>
  </r>
  <r>
    <s v="FINAL0722_BANK_HE1"/>
    <s v="BELUGA RIVER"/>
    <x v="29"/>
    <x v="0"/>
    <x v="85"/>
    <n v="12084.9775390625"/>
  </r>
  <r>
    <s v="FINAL0722_BANK_HE1"/>
    <s v="BELUGA RIVER"/>
    <x v="29"/>
    <x v="0"/>
    <x v="86"/>
    <n v="11862.330078125"/>
  </r>
  <r>
    <s v="FINAL0722_BANK_HE1"/>
    <s v="BELUGA RIVER"/>
    <x v="29"/>
    <x v="0"/>
    <x v="87"/>
    <n v="11643.78515625"/>
  </r>
  <r>
    <s v="FINAL0722_BANK_HE1"/>
    <s v="BELUGA RIVER"/>
    <x v="29"/>
    <x v="0"/>
    <x v="88"/>
    <n v="11429.2666015625"/>
  </r>
  <r>
    <s v="FINAL0722_BANK_HE1"/>
    <s v="BELUGA RIVER"/>
    <x v="29"/>
    <x v="0"/>
    <x v="89"/>
    <n v="11218.7001953125"/>
  </r>
  <r>
    <s v="FINAL0722_BANK_HE1"/>
    <s v="BELUGA RIVER"/>
    <x v="29"/>
    <x v="0"/>
    <x v="90"/>
    <n v="11012.0126953125"/>
  </r>
  <r>
    <s v="FINAL0722_BANK_HE1"/>
    <s v="BELUGA RIVER"/>
    <x v="29"/>
    <x v="0"/>
    <x v="91"/>
    <n v="10809.1328125"/>
  </r>
  <r>
    <s v="FINAL0722_BANK_HE1"/>
    <s v="BELUGA RIVER"/>
    <x v="29"/>
    <x v="0"/>
    <x v="92"/>
    <n v="10609.9912109375"/>
  </r>
  <r>
    <s v="FINAL0722_BANK_HE1"/>
    <s v="BELUGA RIVER"/>
    <x v="29"/>
    <x v="0"/>
    <x v="93"/>
    <n v="10414.5185546875"/>
  </r>
  <r>
    <s v="FINAL0722_BANK_HE1"/>
    <s v="BELUGA RIVER"/>
    <x v="29"/>
    <x v="0"/>
    <x v="94"/>
    <n v="10222.6474609375"/>
  </r>
  <r>
    <s v="FINAL0722_BANK_HE1"/>
    <s v="BELUGA RIVER"/>
    <x v="29"/>
    <x v="0"/>
    <x v="95"/>
    <n v="10034.310546875"/>
  </r>
  <r>
    <s v="FINAL0722_BANK_HE1"/>
    <s v="BELUGA RIVER"/>
    <x v="29"/>
    <x v="0"/>
    <x v="96"/>
    <n v="9849.443359375"/>
  </r>
  <r>
    <s v="FINAL0722_BANK_HE1"/>
    <s v="BELUGA RIVER"/>
    <x v="29"/>
    <x v="0"/>
    <x v="97"/>
    <n v="9667.982421875"/>
  </r>
  <r>
    <s v="FINAL0722_BANK_HE1"/>
    <s v="BELUGA RIVER"/>
    <x v="29"/>
    <x v="0"/>
    <x v="98"/>
    <n v="9489.8642578125"/>
  </r>
  <r>
    <s v="FINAL0722_BANK_HE1"/>
    <s v="BELUGA RIVER"/>
    <x v="29"/>
    <x v="0"/>
    <x v="99"/>
    <n v="9315.0283203125"/>
  </r>
  <r>
    <s v="FINAL0722_BANK_HE1"/>
    <s v="BELUGA RIVER"/>
    <x v="29"/>
    <x v="0"/>
    <x v="100"/>
    <n v="9143.4130859375"/>
  </r>
  <r>
    <s v="FINAL0722_BANK_HE1"/>
    <s v="BELUGA RIVER"/>
    <x v="29"/>
    <x v="0"/>
    <x v="101"/>
    <n v="8974.9599609375"/>
  </r>
  <r>
    <s v="FINAL0722_BANK_HE1"/>
    <s v="BELUGA RIVER"/>
    <x v="29"/>
    <x v="0"/>
    <x v="102"/>
    <n v="8809.6103515625"/>
  </r>
  <r>
    <s v="FINAL0722_BANK_HE1"/>
    <s v="BELUGA RIVER"/>
    <x v="29"/>
    <x v="0"/>
    <x v="103"/>
    <n v="8647.306640625"/>
  </r>
  <r>
    <s v="FINAL0722_BANK_HE1"/>
    <s v="BELUGA RIVER"/>
    <x v="29"/>
    <x v="0"/>
    <x v="104"/>
    <n v="8487.9931640625"/>
  </r>
  <r>
    <s v="FINAL0722_BANK_HE1"/>
    <s v="BELUGA RIVER"/>
    <x v="29"/>
    <x v="0"/>
    <x v="105"/>
    <n v="8331.615234375"/>
  </r>
  <r>
    <s v="FINAL0722_BANK_HE1"/>
    <s v="BELUGA RIVER"/>
    <x v="29"/>
    <x v="0"/>
    <x v="106"/>
    <n v="8178.1181640625"/>
  </r>
  <r>
    <s v="FINAL0722_BANK_HE1"/>
    <s v="BELUGA RIVER"/>
    <x v="29"/>
    <x v="0"/>
    <x v="107"/>
    <n v="8027.44873046875"/>
  </r>
  <r>
    <s v="FINAL0722_BANK_HE1"/>
    <s v="BELUGA RIVER"/>
    <x v="29"/>
    <x v="0"/>
    <x v="108"/>
    <n v="7879.55517578125"/>
  </r>
  <r>
    <s v="FINAL0722_BANK_HE1"/>
    <s v="BELUGA RIVER"/>
    <x v="29"/>
    <x v="0"/>
    <x v="109"/>
    <n v="7734.38623046875"/>
  </r>
  <r>
    <s v="FINAL0722_BANK_HE1"/>
    <s v="BELUGA RIVER"/>
    <x v="29"/>
    <x v="0"/>
    <x v="110"/>
    <n v="7591.89208984375"/>
  </r>
  <r>
    <s v="FINAL0722_BANK_HE1"/>
    <s v="BELUGA RIVER"/>
    <x v="29"/>
    <x v="0"/>
    <x v="111"/>
    <n v="7452.02294921875"/>
  </r>
  <r>
    <s v="FINAL0722_BANK_HE1"/>
    <s v="BELUGA RIVER"/>
    <x v="29"/>
    <x v="0"/>
    <x v="112"/>
    <n v="7314.73095703125"/>
  </r>
  <r>
    <s v="FINAL0722_BANK_HE1"/>
    <s v="BELUGA RIVER"/>
    <x v="29"/>
    <x v="0"/>
    <x v="113"/>
    <n v="7179.96826171875"/>
  </r>
  <r>
    <s v="FINAL0722_BANK_HE1"/>
    <s v="BELUGA RIVER"/>
    <x v="29"/>
    <x v="0"/>
    <x v="114"/>
    <n v="7047.6884765625"/>
  </r>
  <r>
    <s v="FINAL0722_BANK_HE1"/>
    <s v="BELUGA RIVER"/>
    <x v="29"/>
    <x v="0"/>
    <x v="115"/>
    <n v="6917.845703125"/>
  </r>
  <r>
    <s v="FINAL0722_BANK_HE1"/>
    <s v="BELUGA RIVER"/>
    <x v="29"/>
    <x v="0"/>
    <x v="116"/>
    <n v="6790.39501953125"/>
  </r>
  <r>
    <s v="FINAL0722_BANK_HE1"/>
    <s v="BELUGA RIVER"/>
    <x v="29"/>
    <x v="0"/>
    <x v="117"/>
    <n v="6665.29248046875"/>
  </r>
  <r>
    <s v="FINAL0722_BANK_HE1"/>
    <s v="BELUGA RIVER"/>
    <x v="29"/>
    <x v="0"/>
    <x v="118"/>
    <n v="6542.49462890625"/>
  </r>
  <r>
    <s v="FINAL0722_BANK_HE1"/>
    <s v="BELUGA RIVER"/>
    <x v="29"/>
    <x v="0"/>
    <x v="119"/>
    <n v="6421.958984375"/>
  </r>
  <r>
    <s v="FINAL0722_BANK_HE1"/>
    <s v="BELUGA RIVER"/>
    <x v="29"/>
    <x v="0"/>
    <x v="120"/>
    <n v="6303.64404296875"/>
  </r>
  <r>
    <s v="FINAL0722_BANK_HE1"/>
    <s v="BELUGA RIVER"/>
    <x v="29"/>
    <x v="0"/>
    <x v="121"/>
    <n v="6187.50927734375"/>
  </r>
  <r>
    <s v="FINAL0722_BANK_HE1"/>
    <s v="BELUGA RIVER"/>
    <x v="29"/>
    <x v="0"/>
    <x v="122"/>
    <n v="6073.513671875"/>
  </r>
  <r>
    <s v="FINAL0722_BANK_HE1"/>
    <s v="BELUGA RIVER"/>
    <x v="29"/>
    <x v="0"/>
    <x v="123"/>
    <n v="5961.61865234375"/>
  </r>
  <r>
    <s v="FINAL0722_BANK_HE1"/>
    <s v="BELUGA RIVER"/>
    <x v="29"/>
    <x v="0"/>
    <x v="124"/>
    <n v="5851.78515625"/>
  </r>
  <r>
    <s v="FINAL0722_BANK_HE1"/>
    <s v="BELUGA RIVER"/>
    <x v="29"/>
    <x v="0"/>
    <x v="125"/>
    <n v="5743.97509765625"/>
  </r>
  <r>
    <s v="FINAL0722_BANK_HE1"/>
    <s v="BELUGA RIVER"/>
    <x v="29"/>
    <x v="0"/>
    <x v="126"/>
    <n v="5638.1513671875"/>
  </r>
  <r>
    <s v="FINAL0722_BANK_HE1"/>
    <s v="BELUGA RIVER"/>
    <x v="29"/>
    <x v="0"/>
    <x v="127"/>
    <n v="5534.27685546875"/>
  </r>
  <r>
    <s v="FINAL0722_BANK_HE1"/>
    <s v="BELUGA RIVER"/>
    <x v="29"/>
    <x v="0"/>
    <x v="128"/>
    <n v="5432.31640625"/>
  </r>
  <r>
    <s v="FINAL0722_BANK_HE1"/>
    <s v="BELUGA RIVER"/>
    <x v="29"/>
    <x v="0"/>
    <x v="129"/>
    <n v="5332.234375"/>
  </r>
  <r>
    <s v="FINAL0722_BANK_HE1"/>
    <s v="BELUGA RIVER"/>
    <x v="29"/>
    <x v="0"/>
    <x v="130"/>
    <n v="5233.99609375"/>
  </r>
  <r>
    <s v="FINAL0722_BANK_HE1"/>
    <s v="BELUGA RIVER"/>
    <x v="29"/>
    <x v="0"/>
    <x v="131"/>
    <n v="5137.56787109375"/>
  </r>
  <r>
    <s v="FINAL0722_BANK_HE1"/>
    <s v="BELUGA RIVER"/>
    <x v="29"/>
    <x v="0"/>
    <x v="132"/>
    <n v="5042.916015625"/>
  </r>
  <r>
    <s v="FINAL0722_BANK_HE1"/>
    <s v="BELUGA RIVER"/>
    <x v="29"/>
    <x v="0"/>
    <x v="133"/>
    <n v="4950.0078125"/>
  </r>
  <r>
    <s v="FINAL0722_BANK_HE1"/>
    <s v="BELUGA RIVER"/>
    <x v="29"/>
    <x v="0"/>
    <x v="134"/>
    <n v="4858.8115234375"/>
  </r>
  <r>
    <s v="FINAL0722_BANK_HE1"/>
    <s v="BELUGA RIVER"/>
    <x v="29"/>
    <x v="0"/>
    <x v="135"/>
    <n v="4769.29541015625"/>
  </r>
  <r>
    <s v="FINAL0722_BANK_HE1"/>
    <s v="BELUGA RIVER"/>
    <x v="29"/>
    <x v="0"/>
    <x v="136"/>
    <n v="4681.42822265625"/>
  </r>
  <r>
    <s v="FINAL0722_BANK_HE1"/>
    <s v="BELUGA RIVER"/>
    <x v="29"/>
    <x v="0"/>
    <x v="137"/>
    <n v="4595.18017578125"/>
  </r>
  <r>
    <s v="FINAL0722_BANK_HE1"/>
    <s v="BELUGA RIVER"/>
    <x v="29"/>
    <x v="0"/>
    <x v="138"/>
    <n v="4510.52099609375"/>
  </r>
  <r>
    <s v="FINAL0722_BANK_HE1"/>
    <s v="BELUGA RIVER"/>
    <x v="30"/>
    <x v="0"/>
    <x v="0"/>
    <n v="91611.9765625"/>
  </r>
  <r>
    <s v="FINAL0722_BANK_HE1"/>
    <s v="BELUGA RIVER"/>
    <x v="30"/>
    <x v="0"/>
    <x v="1"/>
    <n v="90290.53125"/>
  </r>
  <r>
    <s v="FINAL0722_BANK_HE1"/>
    <s v="BELUGA RIVER"/>
    <x v="30"/>
    <x v="0"/>
    <x v="2"/>
    <n v="88988.140625"/>
  </r>
  <r>
    <s v="FINAL0722_BANK_HE1"/>
    <s v="BELUGA RIVER"/>
    <x v="30"/>
    <x v="0"/>
    <x v="3"/>
    <n v="87704.5390625"/>
  </r>
  <r>
    <s v="FINAL0722_BANK_HE1"/>
    <s v="BELUGA RIVER"/>
    <x v="30"/>
    <x v="0"/>
    <x v="4"/>
    <n v="86439.453125"/>
  </r>
  <r>
    <s v="FINAL0722_BANK_HE1"/>
    <s v="BELUGA RIVER"/>
    <x v="30"/>
    <x v="0"/>
    <x v="5"/>
    <n v="85192.6171875"/>
  </r>
  <r>
    <s v="FINAL0722_BANK_HE1"/>
    <s v="BELUGA RIVER"/>
    <x v="30"/>
    <x v="0"/>
    <x v="6"/>
    <n v="83963.765625"/>
  </r>
  <r>
    <s v="FINAL0722_BANK_HE1"/>
    <s v="BELUGA RIVER"/>
    <x v="30"/>
    <x v="0"/>
    <x v="7"/>
    <n v="82752.640625"/>
  </r>
  <r>
    <s v="FINAL0722_BANK_HE1"/>
    <s v="BELUGA RIVER"/>
    <x v="30"/>
    <x v="0"/>
    <x v="8"/>
    <n v="81558.984375"/>
  </r>
  <r>
    <s v="FINAL0722_BANK_HE1"/>
    <s v="BELUGA RIVER"/>
    <x v="30"/>
    <x v="0"/>
    <x v="9"/>
    <n v="80382.546875"/>
  </r>
  <r>
    <s v="FINAL0722_BANK_HE1"/>
    <s v="BELUGA RIVER"/>
    <x v="30"/>
    <x v="0"/>
    <x v="10"/>
    <n v="79223.078125"/>
  </r>
  <r>
    <s v="FINAL0722_BANK_HE1"/>
    <s v="BELUGA RIVER"/>
    <x v="30"/>
    <x v="0"/>
    <x v="11"/>
    <n v="78080.3359375"/>
  </r>
  <r>
    <s v="FINAL0722_BANK_HE1"/>
    <s v="BELUGA RIVER"/>
    <x v="30"/>
    <x v="0"/>
    <x v="12"/>
    <n v="76954.0703125"/>
  </r>
  <r>
    <s v="FINAL0722_BANK_HE1"/>
    <s v="BELUGA RIVER"/>
    <x v="30"/>
    <x v="0"/>
    <x v="13"/>
    <n v="75844.0546875"/>
  </r>
  <r>
    <s v="FINAL0722_BANK_HE1"/>
    <s v="BELUGA RIVER"/>
    <x v="30"/>
    <x v="0"/>
    <x v="14"/>
    <n v="74750.046875"/>
  </r>
  <r>
    <s v="FINAL0722_BANK_HE1"/>
    <s v="BELUGA RIVER"/>
    <x v="30"/>
    <x v="0"/>
    <x v="15"/>
    <n v="73671.8203125"/>
  </r>
  <r>
    <s v="FINAL0722_BANK_HE1"/>
    <s v="BELUGA RIVER"/>
    <x v="30"/>
    <x v="0"/>
    <x v="16"/>
    <n v="72609.1484375"/>
  </r>
  <r>
    <s v="FINAL0722_BANK_HE1"/>
    <s v="BELUGA RIVER"/>
    <x v="30"/>
    <x v="0"/>
    <x v="17"/>
    <n v="71561.8046875"/>
  </r>
  <r>
    <s v="FINAL0722_BANK_HE1"/>
    <s v="BELUGA RIVER"/>
    <x v="30"/>
    <x v="0"/>
    <x v="18"/>
    <n v="70529.5703125"/>
  </r>
  <r>
    <s v="FINAL0722_BANK_HE1"/>
    <s v="BELUGA RIVER"/>
    <x v="30"/>
    <x v="0"/>
    <x v="19"/>
    <n v="69512.2265625"/>
  </r>
  <r>
    <s v="FINAL0722_BANK_HE1"/>
    <s v="BELUGA RIVER"/>
    <x v="30"/>
    <x v="0"/>
    <x v="20"/>
    <n v="68509.5546875"/>
  </r>
  <r>
    <s v="FINAL0722_BANK_HE1"/>
    <s v="BELUGA RIVER"/>
    <x v="30"/>
    <x v="0"/>
    <x v="21"/>
    <n v="67521.34375"/>
  </r>
  <r>
    <s v="FINAL0722_BANK_HE1"/>
    <s v="BELUGA RIVER"/>
    <x v="30"/>
    <x v="0"/>
    <x v="22"/>
    <n v="66547.390625"/>
  </r>
  <r>
    <s v="FINAL0722_BANK_HE1"/>
    <s v="BELUGA RIVER"/>
    <x v="30"/>
    <x v="0"/>
    <x v="23"/>
    <n v="65587.484375"/>
  </r>
  <r>
    <s v="FINAL0722_BANK_HE1"/>
    <s v="BELUGA RIVER"/>
    <x v="30"/>
    <x v="0"/>
    <x v="24"/>
    <n v="64641.42578125"/>
  </r>
  <r>
    <s v="FINAL0722_BANK_HE1"/>
    <s v="BELUGA RIVER"/>
    <x v="30"/>
    <x v="0"/>
    <x v="25"/>
    <n v="63709.01171875"/>
  </r>
  <r>
    <s v="FINAL0722_BANK_HE1"/>
    <s v="BELUGA RIVER"/>
    <x v="30"/>
    <x v="0"/>
    <x v="26"/>
    <n v="62790.046875"/>
  </r>
  <r>
    <s v="FINAL0722_BANK_HE1"/>
    <s v="BELUGA RIVER"/>
    <x v="30"/>
    <x v="0"/>
    <x v="27"/>
    <n v="61884.3359375"/>
  </r>
  <r>
    <s v="FINAL0722_BANK_HE1"/>
    <s v="BELUGA RIVER"/>
    <x v="30"/>
    <x v="0"/>
    <x v="28"/>
    <n v="60991.69140625"/>
  </r>
  <r>
    <s v="FINAL0722_BANK_HE1"/>
    <s v="BELUGA RIVER"/>
    <x v="30"/>
    <x v="0"/>
    <x v="29"/>
    <n v="60111.921875"/>
  </r>
  <r>
    <s v="FINAL0722_BANK_HE1"/>
    <s v="BELUGA RIVER"/>
    <x v="30"/>
    <x v="0"/>
    <x v="30"/>
    <n v="59244.84375"/>
  </r>
  <r>
    <s v="FINAL0722_BANK_HE1"/>
    <s v="BELUGA RIVER"/>
    <x v="30"/>
    <x v="0"/>
    <x v="31"/>
    <n v="58390.2734375"/>
  </r>
  <r>
    <s v="FINAL0722_BANK_HE1"/>
    <s v="BELUGA RIVER"/>
    <x v="30"/>
    <x v="0"/>
    <x v="32"/>
    <n v="57548.02734375"/>
  </r>
  <r>
    <s v="FINAL0722_BANK_HE1"/>
    <s v="BELUGA RIVER"/>
    <x v="30"/>
    <x v="0"/>
    <x v="33"/>
    <n v="56717.9296875"/>
  </r>
  <r>
    <s v="FINAL0722_BANK_HE1"/>
    <s v="BELUGA RIVER"/>
    <x v="30"/>
    <x v="0"/>
    <x v="34"/>
    <n v="55899.80859375"/>
  </r>
  <r>
    <s v="FINAL0722_BANK_HE1"/>
    <s v="BELUGA RIVER"/>
    <x v="30"/>
    <x v="0"/>
    <x v="35"/>
    <n v="55093.48828125"/>
  </r>
  <r>
    <s v="FINAL0722_BANK_HE1"/>
    <s v="BELUGA RIVER"/>
    <x v="30"/>
    <x v="0"/>
    <x v="36"/>
    <n v="54298.796875"/>
  </r>
  <r>
    <s v="FINAL0722_BANK_HE1"/>
    <s v="BELUGA RIVER"/>
    <x v="30"/>
    <x v="0"/>
    <x v="37"/>
    <n v="53515.5703125"/>
  </r>
  <r>
    <s v="FINAL0722_BANK_HE1"/>
    <s v="BELUGA RIVER"/>
    <x v="30"/>
    <x v="0"/>
    <x v="38"/>
    <n v="52743.640625"/>
  </r>
  <r>
    <s v="FINAL0722_BANK_HE1"/>
    <s v="BELUGA RIVER"/>
    <x v="30"/>
    <x v="0"/>
    <x v="39"/>
    <n v="51982.84375"/>
  </r>
  <r>
    <s v="FINAL0722_BANK_HE1"/>
    <s v="BELUGA RIVER"/>
    <x v="30"/>
    <x v="0"/>
    <x v="40"/>
    <n v="51233.0234375"/>
  </r>
  <r>
    <s v="FINAL0722_BANK_HE1"/>
    <s v="BELUGA RIVER"/>
    <x v="30"/>
    <x v="0"/>
    <x v="41"/>
    <n v="50494.015625"/>
  </r>
  <r>
    <s v="FINAL0722_BANK_HE1"/>
    <s v="BELUGA RIVER"/>
    <x v="30"/>
    <x v="0"/>
    <x v="42"/>
    <n v="49765.66796875"/>
  </r>
  <r>
    <s v="FINAL0722_BANK_HE1"/>
    <s v="BELUGA RIVER"/>
    <x v="30"/>
    <x v="0"/>
    <x v="43"/>
    <n v="49047.828125"/>
  </r>
  <r>
    <s v="FINAL0722_BANK_HE1"/>
    <s v="BELUGA RIVER"/>
    <x v="30"/>
    <x v="0"/>
    <x v="44"/>
    <n v="48340.34375"/>
  </r>
  <r>
    <s v="FINAL0722_BANK_HE1"/>
    <s v="BELUGA RIVER"/>
    <x v="30"/>
    <x v="0"/>
    <x v="45"/>
    <n v="47643.0625"/>
  </r>
  <r>
    <s v="FINAL0722_BANK_HE1"/>
    <s v="BELUGA RIVER"/>
    <x v="30"/>
    <x v="0"/>
    <x v="46"/>
    <n v="46955.83984375"/>
  </r>
  <r>
    <s v="FINAL0722_BANK_HE1"/>
    <s v="BELUGA RIVER"/>
    <x v="30"/>
    <x v="0"/>
    <x v="47"/>
    <n v="46278.53125"/>
  </r>
  <r>
    <s v="FINAL0722_BANK_HE1"/>
    <s v="BELUGA RIVER"/>
    <x v="30"/>
    <x v="0"/>
    <x v="48"/>
    <n v="45610.9921875"/>
  </r>
  <r>
    <s v="FINAL0722_BANK_HE1"/>
    <s v="BELUGA RIVER"/>
    <x v="30"/>
    <x v="0"/>
    <x v="49"/>
    <n v="44953.08203125"/>
  </r>
  <r>
    <s v="FINAL0722_BANK_HE1"/>
    <s v="BELUGA RIVER"/>
    <x v="30"/>
    <x v="0"/>
    <x v="50"/>
    <n v="44304.66015625"/>
  </r>
  <r>
    <s v="FINAL0722_BANK_HE1"/>
    <s v="BELUGA RIVER"/>
    <x v="30"/>
    <x v="0"/>
    <x v="51"/>
    <n v="43665.58984375"/>
  </r>
  <r>
    <s v="FINAL0722_BANK_HE1"/>
    <s v="BELUGA RIVER"/>
    <x v="30"/>
    <x v="0"/>
    <x v="52"/>
    <n v="43035.73828125"/>
  </r>
  <r>
    <s v="FINAL0722_BANK_HE1"/>
    <s v="BELUGA RIVER"/>
    <x v="30"/>
    <x v="0"/>
    <x v="53"/>
    <n v="42414.97265625"/>
  </r>
  <r>
    <s v="FINAL0722_BANK_HE1"/>
    <s v="BELUGA RIVER"/>
    <x v="30"/>
    <x v="0"/>
    <x v="54"/>
    <n v="41803.16015625"/>
  </r>
  <r>
    <s v="FINAL0722_BANK_HE1"/>
    <s v="BELUGA RIVER"/>
    <x v="30"/>
    <x v="0"/>
    <x v="55"/>
    <n v="41200.17578125"/>
  </r>
  <r>
    <s v="FINAL0722_BANK_HE1"/>
    <s v="BELUGA RIVER"/>
    <x v="30"/>
    <x v="0"/>
    <x v="56"/>
    <n v="40605.88671875"/>
  </r>
  <r>
    <s v="FINAL0722_BANK_HE1"/>
    <s v="BELUGA RIVER"/>
    <x v="30"/>
    <x v="0"/>
    <x v="57"/>
    <n v="40020.171875"/>
  </r>
  <r>
    <s v="FINAL0722_BANK_HE1"/>
    <s v="BELUGA RIVER"/>
    <x v="30"/>
    <x v="0"/>
    <x v="58"/>
    <n v="39442.90625"/>
  </r>
  <r>
    <s v="FINAL0722_BANK_HE1"/>
    <s v="BELUGA RIVER"/>
    <x v="30"/>
    <x v="0"/>
    <x v="59"/>
    <n v="38873.96484375"/>
  </r>
  <r>
    <s v="FINAL0722_BANK_HE1"/>
    <s v="BELUGA RIVER"/>
    <x v="30"/>
    <x v="0"/>
    <x v="60"/>
    <n v="38313.23046875"/>
  </r>
  <r>
    <s v="FINAL0722_BANK_HE1"/>
    <s v="BELUGA RIVER"/>
    <x v="30"/>
    <x v="0"/>
    <x v="61"/>
    <n v="37760.5859375"/>
  </r>
  <r>
    <s v="FINAL0722_BANK_HE1"/>
    <s v="BELUGA RIVER"/>
    <x v="30"/>
    <x v="0"/>
    <x v="62"/>
    <n v="37215.91015625"/>
  </r>
  <r>
    <s v="FINAL0722_BANK_HE1"/>
    <s v="BELUGA RIVER"/>
    <x v="30"/>
    <x v="0"/>
    <x v="63"/>
    <n v="36679.09375"/>
  </r>
  <r>
    <s v="FINAL0722_BANK_HE1"/>
    <s v="BELUGA RIVER"/>
    <x v="30"/>
    <x v="0"/>
    <x v="64"/>
    <n v="36150.01953125"/>
  </r>
  <r>
    <s v="FINAL0722_BANK_HE1"/>
    <s v="BELUGA RIVER"/>
    <x v="30"/>
    <x v="0"/>
    <x v="65"/>
    <n v="35628.578125"/>
  </r>
  <r>
    <s v="FINAL0722_BANK_HE1"/>
    <s v="BELUGA RIVER"/>
    <x v="30"/>
    <x v="0"/>
    <x v="66"/>
    <n v="35114.65625"/>
  </r>
  <r>
    <s v="FINAL0722_BANK_HE1"/>
    <s v="BELUGA RIVER"/>
    <x v="30"/>
    <x v="0"/>
    <x v="67"/>
    <n v="34608.1484375"/>
  </r>
  <r>
    <s v="FINAL0722_BANK_HE1"/>
    <s v="BELUGA RIVER"/>
    <x v="30"/>
    <x v="0"/>
    <x v="68"/>
    <n v="34108.9453125"/>
  </r>
  <r>
    <s v="FINAL0722_BANK_HE1"/>
    <s v="BELUGA RIVER"/>
    <x v="30"/>
    <x v="0"/>
    <x v="69"/>
    <n v="33616.9453125"/>
  </r>
  <r>
    <s v="FINAL0722_BANK_HE1"/>
    <s v="BELUGA RIVER"/>
    <x v="30"/>
    <x v="0"/>
    <x v="70"/>
    <n v="33132.0390625"/>
  </r>
  <r>
    <s v="FINAL0722_BANK_HE1"/>
    <s v="BELUGA RIVER"/>
    <x v="30"/>
    <x v="0"/>
    <x v="71"/>
    <n v="32654.12890625"/>
  </r>
  <r>
    <s v="FINAL0722_BANK_HE1"/>
    <s v="BELUGA RIVER"/>
    <x v="30"/>
    <x v="0"/>
    <x v="72"/>
    <n v="32183.11328125"/>
  </r>
  <r>
    <s v="FINAL0722_BANK_HE1"/>
    <s v="BELUGA RIVER"/>
    <x v="30"/>
    <x v="0"/>
    <x v="73"/>
    <n v="31718.890625"/>
  </r>
  <r>
    <s v="FINAL0722_BANK_HE1"/>
    <s v="BELUGA RIVER"/>
    <x v="30"/>
    <x v="0"/>
    <x v="74"/>
    <n v="31261.365234375"/>
  </r>
  <r>
    <s v="FINAL0722_BANK_HE1"/>
    <s v="BELUGA RIVER"/>
    <x v="30"/>
    <x v="0"/>
    <x v="75"/>
    <n v="30810.439453125"/>
  </r>
  <r>
    <s v="FINAL0722_BANK_HE1"/>
    <s v="BELUGA RIVER"/>
    <x v="30"/>
    <x v="0"/>
    <x v="76"/>
    <n v="30366.017578125"/>
  </r>
  <r>
    <s v="FINAL0722_BANK_HE1"/>
    <s v="BELUGA RIVER"/>
    <x v="30"/>
    <x v="0"/>
    <x v="77"/>
    <n v="29928.005859375"/>
  </r>
  <r>
    <s v="FINAL0722_BANK_HE1"/>
    <s v="BELUGA RIVER"/>
    <x v="30"/>
    <x v="0"/>
    <x v="78"/>
    <n v="29496.3125"/>
  </r>
  <r>
    <s v="FINAL0722_BANK_HE1"/>
    <s v="BELUGA RIVER"/>
    <x v="30"/>
    <x v="0"/>
    <x v="79"/>
    <n v="29070.845703125"/>
  </r>
  <r>
    <s v="FINAL0722_BANK_HE1"/>
    <s v="BELUGA RIVER"/>
    <x v="30"/>
    <x v="0"/>
    <x v="80"/>
    <n v="28651.515625"/>
  </r>
  <r>
    <s v="FINAL0722_BANK_HE1"/>
    <s v="BELUGA RIVER"/>
    <x v="30"/>
    <x v="0"/>
    <x v="81"/>
    <n v="28238.234375"/>
  </r>
  <r>
    <s v="FINAL0722_BANK_HE1"/>
    <s v="BELUGA RIVER"/>
    <x v="30"/>
    <x v="0"/>
    <x v="82"/>
    <n v="27830.9140625"/>
  </r>
  <r>
    <s v="FINAL0722_BANK_HE1"/>
    <s v="BELUGA RIVER"/>
    <x v="30"/>
    <x v="0"/>
    <x v="83"/>
    <n v="27429.46875"/>
  </r>
  <r>
    <s v="FINAL0722_BANK_HE1"/>
    <s v="BELUGA RIVER"/>
    <x v="30"/>
    <x v="0"/>
    <x v="84"/>
    <n v="27033.814453125"/>
  </r>
  <r>
    <s v="FINAL0722_BANK_HE1"/>
    <s v="BELUGA RIVER"/>
    <x v="30"/>
    <x v="0"/>
    <x v="85"/>
    <n v="26643.8671875"/>
  </r>
  <r>
    <s v="FINAL0722_BANK_HE1"/>
    <s v="BELUGA RIVER"/>
    <x v="30"/>
    <x v="0"/>
    <x v="86"/>
    <n v="26259.544921875"/>
  </r>
  <r>
    <s v="FINAL0722_BANK_HE1"/>
    <s v="BELUGA RIVER"/>
    <x v="30"/>
    <x v="0"/>
    <x v="87"/>
    <n v="25880.765625"/>
  </r>
  <r>
    <s v="FINAL0722_BANK_HE1"/>
    <s v="BELUGA RIVER"/>
    <x v="30"/>
    <x v="0"/>
    <x v="88"/>
    <n v="25507.451171875"/>
  </r>
  <r>
    <s v="FINAL0722_BANK_HE1"/>
    <s v="BELUGA RIVER"/>
    <x v="30"/>
    <x v="0"/>
    <x v="89"/>
    <n v="25139.521484375"/>
  </r>
  <r>
    <s v="FINAL0722_BANK_HE1"/>
    <s v="BELUGA RIVER"/>
    <x v="30"/>
    <x v="0"/>
    <x v="90"/>
    <n v="24776.8984375"/>
  </r>
  <r>
    <s v="FINAL0722_BANK_HE1"/>
    <s v="BELUGA RIVER"/>
    <x v="30"/>
    <x v="0"/>
    <x v="91"/>
    <n v="24419.505859375"/>
  </r>
  <r>
    <s v="FINAL0722_BANK_HE1"/>
    <s v="BELUGA RIVER"/>
    <x v="30"/>
    <x v="0"/>
    <x v="92"/>
    <n v="24067.26953125"/>
  </r>
  <r>
    <s v="FINAL0722_BANK_HE1"/>
    <s v="BELUGA RIVER"/>
    <x v="30"/>
    <x v="0"/>
    <x v="93"/>
    <n v="23720.11328125"/>
  </r>
  <r>
    <s v="FINAL0722_BANK_HE1"/>
    <s v="BELUGA RIVER"/>
    <x v="30"/>
    <x v="0"/>
    <x v="94"/>
    <n v="23377.96484375"/>
  </r>
  <r>
    <s v="FINAL0722_BANK_HE1"/>
    <s v="BELUGA RIVER"/>
    <x v="30"/>
    <x v="0"/>
    <x v="95"/>
    <n v="23040.751953125"/>
  </r>
  <r>
    <s v="FINAL0722_BANK_HE1"/>
    <s v="BELUGA RIVER"/>
    <x v="30"/>
    <x v="0"/>
    <x v="96"/>
    <n v="22708.40234375"/>
  </r>
  <r>
    <s v="FINAL0722_BANK_HE1"/>
    <s v="BELUGA RIVER"/>
    <x v="30"/>
    <x v="0"/>
    <x v="97"/>
    <n v="22380.84765625"/>
  </r>
  <r>
    <s v="FINAL0722_BANK_HE1"/>
    <s v="BELUGA RIVER"/>
    <x v="30"/>
    <x v="0"/>
    <x v="98"/>
    <n v="22058.017578125"/>
  </r>
  <r>
    <s v="FINAL0722_BANK_HE1"/>
    <s v="BELUGA RIVER"/>
    <x v="30"/>
    <x v="0"/>
    <x v="99"/>
    <n v="21739.84375"/>
  </r>
  <r>
    <s v="FINAL0722_BANK_HE1"/>
    <s v="BELUGA RIVER"/>
    <x v="30"/>
    <x v="0"/>
    <x v="100"/>
    <n v="21426.259765625"/>
  </r>
  <r>
    <s v="FINAL0722_BANK_HE1"/>
    <s v="BELUGA RIVER"/>
    <x v="30"/>
    <x v="0"/>
    <x v="101"/>
    <n v="21117.19921875"/>
  </r>
  <r>
    <s v="FINAL0722_BANK_HE1"/>
    <s v="BELUGA RIVER"/>
    <x v="30"/>
    <x v="0"/>
    <x v="102"/>
    <n v="20812.595703125"/>
  </r>
  <r>
    <s v="FINAL0722_BANK_HE1"/>
    <s v="BELUGA RIVER"/>
    <x v="30"/>
    <x v="0"/>
    <x v="103"/>
    <n v="20512.38671875"/>
  </r>
  <r>
    <s v="FINAL0722_BANK_HE1"/>
    <s v="BELUGA RIVER"/>
    <x v="30"/>
    <x v="0"/>
    <x v="104"/>
    <n v="20216.5078125"/>
  </r>
  <r>
    <s v="FINAL0722_BANK_HE1"/>
    <s v="BELUGA RIVER"/>
    <x v="30"/>
    <x v="0"/>
    <x v="105"/>
    <n v="19924.896484375"/>
  </r>
  <r>
    <s v="FINAL0722_BANK_HE1"/>
    <s v="BELUGA RIVER"/>
    <x v="30"/>
    <x v="0"/>
    <x v="106"/>
    <n v="19637.4921875"/>
  </r>
  <r>
    <s v="FINAL0722_BANK_HE1"/>
    <s v="BELUGA RIVER"/>
    <x v="30"/>
    <x v="0"/>
    <x v="107"/>
    <n v="19354.232421875"/>
  </r>
  <r>
    <s v="FINAL0722_BANK_HE1"/>
    <s v="BELUGA RIVER"/>
    <x v="30"/>
    <x v="0"/>
    <x v="108"/>
    <n v="19075.05859375"/>
  </r>
  <r>
    <s v="FINAL0722_BANK_HE1"/>
    <s v="BELUGA RIVER"/>
    <x v="30"/>
    <x v="0"/>
    <x v="109"/>
    <n v="18799.912109375"/>
  </r>
  <r>
    <s v="FINAL0722_BANK_HE1"/>
    <s v="BELUGA RIVER"/>
    <x v="30"/>
    <x v="0"/>
    <x v="110"/>
    <n v="18528.734375"/>
  </r>
  <r>
    <s v="FINAL0722_BANK_HE1"/>
    <s v="BELUGA RIVER"/>
    <x v="30"/>
    <x v="0"/>
    <x v="111"/>
    <n v="18261.46875"/>
  </r>
  <r>
    <s v="FINAL0722_BANK_HE1"/>
    <s v="BELUGA RIVER"/>
    <x v="30"/>
    <x v="0"/>
    <x v="112"/>
    <n v="17998.05859375"/>
  </r>
  <r>
    <s v="FINAL0722_BANK_HE1"/>
    <s v="BELUGA RIVER"/>
    <x v="30"/>
    <x v="0"/>
    <x v="113"/>
    <n v="17738.447265625"/>
  </r>
  <r>
    <s v="FINAL0722_BANK_HE1"/>
    <s v="BELUGA RIVER"/>
    <x v="30"/>
    <x v="0"/>
    <x v="114"/>
    <n v="17482.580078125"/>
  </r>
  <r>
    <s v="FINAL0722_BANK_HE1"/>
    <s v="BELUGA RIVER"/>
    <x v="30"/>
    <x v="0"/>
    <x v="115"/>
    <n v="17230.404296875"/>
  </r>
  <r>
    <s v="FINAL0722_BANK_HE1"/>
    <s v="BELUGA RIVER"/>
    <x v="30"/>
    <x v="0"/>
    <x v="116"/>
    <n v="16981.865234375"/>
  </r>
  <r>
    <s v="FINAL0722_BANK_HE1"/>
    <s v="BELUGA RIVER"/>
    <x v="30"/>
    <x v="0"/>
    <x v="117"/>
    <n v="16736.912109375"/>
  </r>
  <r>
    <s v="FINAL0722_BANK_HE1"/>
    <s v="BELUGA RIVER"/>
    <x v="30"/>
    <x v="0"/>
    <x v="118"/>
    <n v="16495.4921875"/>
  </r>
  <r>
    <s v="FINAL0722_BANK_HE1"/>
    <s v="BELUGA RIVER"/>
    <x v="30"/>
    <x v="0"/>
    <x v="119"/>
    <n v="16257.5546875"/>
  </r>
  <r>
    <s v="FINAL0722_BANK_HE1"/>
    <s v="BELUGA RIVER"/>
    <x v="30"/>
    <x v="0"/>
    <x v="120"/>
    <n v="16023.048828125"/>
  </r>
  <r>
    <s v="FINAL0722_BANK_HE1"/>
    <s v="BELUGA RIVER"/>
    <x v="30"/>
    <x v="0"/>
    <x v="121"/>
    <n v="15791.92578125"/>
  </r>
  <r>
    <s v="FINAL0722_BANK_HE1"/>
    <s v="BELUGA RIVER"/>
    <x v="30"/>
    <x v="0"/>
    <x v="122"/>
    <n v="15564.13671875"/>
  </r>
  <r>
    <s v="FINAL0722_BANK_HE1"/>
    <s v="BELUGA RIVER"/>
    <x v="30"/>
    <x v="0"/>
    <x v="123"/>
    <n v="15339.6328125"/>
  </r>
  <r>
    <s v="FINAL0722_BANK_HE1"/>
    <s v="BELUGA RIVER"/>
    <x v="30"/>
    <x v="0"/>
    <x v="124"/>
    <n v="15118.3681640625"/>
  </r>
  <r>
    <s v="FINAL0722_BANK_HE1"/>
    <s v="BELUGA RIVER"/>
    <x v="30"/>
    <x v="0"/>
    <x v="125"/>
    <n v="14900.294921875"/>
  </r>
  <r>
    <s v="FINAL0722_BANK_HE1"/>
    <s v="BELUGA RIVER"/>
    <x v="30"/>
    <x v="0"/>
    <x v="126"/>
    <n v="14685.3671875"/>
  </r>
  <r>
    <s v="FINAL0722_BANK_HE1"/>
    <s v="BELUGA RIVER"/>
    <x v="30"/>
    <x v="0"/>
    <x v="127"/>
    <n v="14473.5390625"/>
  </r>
  <r>
    <s v="FINAL0722_BANK_HE1"/>
    <s v="BELUGA RIVER"/>
    <x v="30"/>
    <x v="0"/>
    <x v="128"/>
    <n v="14264.7666015625"/>
  </r>
  <r>
    <s v="FINAL0722_BANK_HE1"/>
    <s v="BELUGA RIVER"/>
    <x v="30"/>
    <x v="0"/>
    <x v="129"/>
    <n v="14059.005859375"/>
  </r>
  <r>
    <s v="FINAL0722_BANK_HE1"/>
    <s v="BELUGA RIVER"/>
    <x v="30"/>
    <x v="0"/>
    <x v="130"/>
    <n v="13856.212890625"/>
  </r>
  <r>
    <s v="FINAL0722_BANK_HE1"/>
    <s v="BELUGA RIVER"/>
    <x v="30"/>
    <x v="0"/>
    <x v="131"/>
    <n v="13656.345703125"/>
  </r>
  <r>
    <s v="FINAL0722_BANK_HE1"/>
    <s v="BELUGA RIVER"/>
    <x v="30"/>
    <x v="0"/>
    <x v="132"/>
    <n v="13459.361328125"/>
  </r>
  <r>
    <s v="FINAL0722_BANK_HE1"/>
    <s v="BELUGA RIVER"/>
    <x v="30"/>
    <x v="0"/>
    <x v="133"/>
    <n v="13265.2177734375"/>
  </r>
  <r>
    <s v="FINAL0722_BANK_HE1"/>
    <s v="BELUGA RIVER"/>
    <x v="30"/>
    <x v="0"/>
    <x v="134"/>
    <n v="13073.875"/>
  </r>
  <r>
    <s v="FINAL0722_BANK_HE1"/>
    <s v="BELUGA RIVER"/>
    <x v="30"/>
    <x v="0"/>
    <x v="135"/>
    <n v="12885.2919921875"/>
  </r>
  <r>
    <s v="FINAL0722_BANK_HE1"/>
    <s v="BELUGA RIVER"/>
    <x v="30"/>
    <x v="0"/>
    <x v="136"/>
    <n v="12699.4296875"/>
  </r>
  <r>
    <s v="FINAL0722_BANK_HE1"/>
    <s v="BELUGA RIVER"/>
    <x v="30"/>
    <x v="0"/>
    <x v="137"/>
    <n v="12516.248046875"/>
  </r>
  <r>
    <s v="FINAL0722_BANK_HE1"/>
    <s v="BELUGA RIVER"/>
    <x v="30"/>
    <x v="0"/>
    <x v="138"/>
    <n v="12335.708984375"/>
  </r>
  <r>
    <s v="FINAL0722_BANK_HE1"/>
    <s v="BELUGA RIVER"/>
    <x v="30"/>
    <x v="0"/>
    <x v="139"/>
    <n v="12157.7734375"/>
  </r>
  <r>
    <s v="FINAL0722_BANK_HE1"/>
    <s v="BELUGA RIVER"/>
    <x v="30"/>
    <x v="0"/>
    <x v="140"/>
    <n v="11982.404296875"/>
  </r>
  <r>
    <s v="FINAL0722_BANK_HE1"/>
    <s v="BELUGA RIVER"/>
    <x v="30"/>
    <x v="0"/>
    <x v="141"/>
    <n v="11809.5654296875"/>
  </r>
  <r>
    <s v="FINAL0722_BANK_HE1"/>
    <s v="BELUGA RIVER"/>
    <x v="30"/>
    <x v="0"/>
    <x v="142"/>
    <n v="11639.2197265625"/>
  </r>
  <r>
    <s v="FINAL0722_BANK_HE1"/>
    <s v="BELUGA RIVER"/>
    <x v="30"/>
    <x v="0"/>
    <x v="143"/>
    <n v="11471.3310546875"/>
  </r>
  <r>
    <s v="FINAL0722_BANK_HE1"/>
    <s v="BELUGA RIVER"/>
    <x v="30"/>
    <x v="0"/>
    <x v="144"/>
    <n v="11305.8642578125"/>
  </r>
  <r>
    <s v="FINAL0722_BANK_HE1"/>
    <s v="BELUGA RIVER"/>
    <x v="30"/>
    <x v="0"/>
    <x v="145"/>
    <n v="11142.7841796875"/>
  </r>
  <r>
    <s v="FINAL0722_BANK_HE1"/>
    <s v="BELUGA RIVER"/>
    <x v="30"/>
    <x v="0"/>
    <x v="146"/>
    <n v="10982.0556640625"/>
  </r>
  <r>
    <s v="FINAL0722_BANK_HE1"/>
    <s v="BELUGA RIVER"/>
    <x v="30"/>
    <x v="0"/>
    <x v="147"/>
    <n v="10823.646484375"/>
  </r>
  <r>
    <s v="FINAL0722_BANK_HE1"/>
    <s v="BELUGA RIVER"/>
    <x v="30"/>
    <x v="0"/>
    <x v="148"/>
    <n v="10667.521484375"/>
  </r>
  <r>
    <s v="FINAL0722_BANK_HE1"/>
    <s v="BELUGA RIVER"/>
    <x v="30"/>
    <x v="0"/>
    <x v="149"/>
    <n v="10513.6484375"/>
  </r>
  <r>
    <s v="FINAL0722_BANK_HE1"/>
    <s v="BELUGA RIVER"/>
    <x v="30"/>
    <x v="0"/>
    <x v="150"/>
    <n v="10361.9951171875"/>
  </r>
  <r>
    <s v="FINAL0722_BANK_HE1"/>
    <s v="BELUGA RIVER"/>
    <x v="30"/>
    <x v="0"/>
    <x v="151"/>
    <n v="10212.529296875"/>
  </r>
  <r>
    <s v="FINAL0722_BANK_HE1"/>
    <s v="BELUGA RIVER"/>
    <x v="30"/>
    <x v="0"/>
    <x v="152"/>
    <n v="10065.2197265625"/>
  </r>
  <r>
    <s v="FINAL0722_BANK_HE1"/>
    <s v="BELUGA RIVER"/>
    <x v="30"/>
    <x v="0"/>
    <x v="153"/>
    <n v="9920.03515625"/>
  </r>
  <r>
    <s v="FINAL0722_BANK_HE1"/>
    <s v="BELUGA RIVER"/>
    <x v="30"/>
    <x v="0"/>
    <x v="154"/>
    <n v="9776.9443359375"/>
  </r>
  <r>
    <s v="FINAL0722_BANK_HE1"/>
    <s v="BELUGA RIVER"/>
    <x v="30"/>
    <x v="0"/>
    <x v="155"/>
    <n v="9635.91796875"/>
  </r>
  <r>
    <s v="FINAL0722_BANK_HE1"/>
    <s v="BELUGA RIVER"/>
    <x v="30"/>
    <x v="0"/>
    <x v="156"/>
    <n v="9496.92578125"/>
  </r>
  <r>
    <s v="FINAL0722_BANK_HE1"/>
    <s v="BELUGA RIVER"/>
    <x v="30"/>
    <x v="0"/>
    <x v="157"/>
    <n v="9359.9384765625"/>
  </r>
  <r>
    <s v="FINAL0722_BANK_HE1"/>
    <s v="BELUGA RIVER"/>
    <x v="30"/>
    <x v="0"/>
    <x v="158"/>
    <n v="9224.9267578125"/>
  </r>
  <r>
    <s v="FINAL0722_BANK_HE1"/>
    <s v="BELUGA RIVER"/>
    <x v="30"/>
    <x v="0"/>
    <x v="159"/>
    <n v="9091.8623046875"/>
  </r>
  <r>
    <s v="FINAL0722_BANK_HE1"/>
    <s v="BELUGA RIVER"/>
    <x v="30"/>
    <x v="0"/>
    <x v="160"/>
    <n v="8960.7177734375"/>
  </r>
  <r>
    <s v="FINAL0722_BANK_HE1"/>
    <s v="BELUGA RIVER"/>
    <x v="30"/>
    <x v="0"/>
    <x v="161"/>
    <n v="8831.46484375"/>
  </r>
  <r>
    <s v="FINAL0722_BANK_HE1"/>
    <s v="BELUGA RIVER"/>
    <x v="31"/>
    <x v="0"/>
    <x v="0"/>
    <n v="191445.4375"/>
  </r>
  <r>
    <s v="FINAL0722_BANK_HE1"/>
    <s v="BELUGA RIVER"/>
    <x v="31"/>
    <x v="0"/>
    <x v="1"/>
    <n v="186275.640625"/>
  </r>
  <r>
    <s v="FINAL0722_BANK_HE1"/>
    <s v="BELUGA RIVER"/>
    <x v="31"/>
    <x v="0"/>
    <x v="2"/>
    <n v="181245.453125"/>
  </r>
  <r>
    <s v="FINAL0722_BANK_HE1"/>
    <s v="BELUGA RIVER"/>
    <x v="31"/>
    <x v="0"/>
    <x v="3"/>
    <n v="176351.09375"/>
  </r>
  <r>
    <s v="FINAL0722_BANK_HE1"/>
    <s v="BELUGA RIVER"/>
    <x v="31"/>
    <x v="0"/>
    <x v="4"/>
    <n v="171588.90625"/>
  </r>
  <r>
    <s v="FINAL0722_BANK_HE1"/>
    <s v="BELUGA RIVER"/>
    <x v="31"/>
    <x v="0"/>
    <x v="5"/>
    <n v="166955.3125"/>
  </r>
  <r>
    <s v="FINAL0722_BANK_HE1"/>
    <s v="BELUGA RIVER"/>
    <x v="31"/>
    <x v="0"/>
    <x v="6"/>
    <n v="162446.84375"/>
  </r>
  <r>
    <s v="FINAL0722_BANK_HE1"/>
    <s v="BELUGA RIVER"/>
    <x v="31"/>
    <x v="0"/>
    <x v="7"/>
    <n v="158060.125"/>
  </r>
  <r>
    <s v="FINAL0722_BANK_HE1"/>
    <s v="BELUGA RIVER"/>
    <x v="31"/>
    <x v="0"/>
    <x v="8"/>
    <n v="153791.859375"/>
  </r>
  <r>
    <s v="FINAL0722_BANK_HE1"/>
    <s v="BELUGA RIVER"/>
    <x v="31"/>
    <x v="0"/>
    <x v="9"/>
    <n v="149638.859375"/>
  </r>
  <r>
    <s v="FINAL0722_BANK_HE1"/>
    <s v="BELUGA RIVER"/>
    <x v="31"/>
    <x v="0"/>
    <x v="10"/>
    <n v="145598"/>
  </r>
  <r>
    <s v="FINAL0722_BANK_HE1"/>
    <s v="BELUGA RIVER"/>
    <x v="31"/>
    <x v="0"/>
    <x v="11"/>
    <n v="141666.265625"/>
  </r>
  <r>
    <s v="FINAL0722_BANK_HE1"/>
    <s v="BELUGA RIVER"/>
    <x v="31"/>
    <x v="0"/>
    <x v="12"/>
    <n v="137840.703125"/>
  </r>
  <r>
    <s v="FINAL0722_BANK_HE1"/>
    <s v="BELUGA RIVER"/>
    <x v="31"/>
    <x v="0"/>
    <x v="13"/>
    <n v="134118.453125"/>
  </r>
  <r>
    <s v="FINAL0722_BANK_HE1"/>
    <s v="BELUGA RIVER"/>
    <x v="31"/>
    <x v="0"/>
    <x v="14"/>
    <n v="130496.7109375"/>
  </r>
  <r>
    <s v="FINAL0722_BANK_HE1"/>
    <s v="BELUGA RIVER"/>
    <x v="31"/>
    <x v="0"/>
    <x v="15"/>
    <n v="126972.7734375"/>
  </r>
  <r>
    <s v="FINAL0722_BANK_HE1"/>
    <s v="BELUGA RIVER"/>
    <x v="31"/>
    <x v="0"/>
    <x v="16"/>
    <n v="123544"/>
  </r>
  <r>
    <s v="FINAL0722_BANK_HE1"/>
    <s v="BELUGA RIVER"/>
    <x v="31"/>
    <x v="0"/>
    <x v="17"/>
    <n v="120207.8125"/>
  </r>
  <r>
    <s v="FINAL0722_BANK_HE1"/>
    <s v="BELUGA RIVER"/>
    <x v="31"/>
    <x v="0"/>
    <x v="18"/>
    <n v="116961.71875"/>
  </r>
  <r>
    <s v="FINAL0722_BANK_HE1"/>
    <s v="BELUGA RIVER"/>
    <x v="31"/>
    <x v="0"/>
    <x v="19"/>
    <n v="113803.28125"/>
  </r>
  <r>
    <s v="FINAL0722_BANK_HE1"/>
    <s v="BELUGA RIVER"/>
    <x v="31"/>
    <x v="0"/>
    <x v="20"/>
    <n v="110730.1328125"/>
  </r>
  <r>
    <s v="FINAL0722_BANK_HE1"/>
    <s v="BELUGA RIVER"/>
    <x v="31"/>
    <x v="0"/>
    <x v="21"/>
    <n v="107739.9765625"/>
  </r>
  <r>
    <s v="FINAL0722_BANK_HE1"/>
    <s v="BELUGA RIVER"/>
    <x v="31"/>
    <x v="0"/>
    <x v="22"/>
    <n v="104830.5625"/>
  </r>
  <r>
    <s v="FINAL0722_BANK_HE1"/>
    <s v="BELUGA RIVER"/>
    <x v="31"/>
    <x v="0"/>
    <x v="23"/>
    <n v="101999.7109375"/>
  </r>
  <r>
    <s v="FINAL0722_BANK_HE1"/>
    <s v="BELUGA RIVER"/>
    <x v="31"/>
    <x v="0"/>
    <x v="24"/>
    <n v="99245.3046875"/>
  </r>
  <r>
    <s v="FINAL0722_BANK_HE1"/>
    <s v="BELUGA RIVER"/>
    <x v="31"/>
    <x v="0"/>
    <x v="25"/>
    <n v="96565.28125"/>
  </r>
  <r>
    <s v="FINAL0722_BANK_HE1"/>
    <s v="BELUGA RIVER"/>
    <x v="31"/>
    <x v="0"/>
    <x v="26"/>
    <n v="93957.6328125"/>
  </r>
  <r>
    <s v="FINAL0722_BANK_HE1"/>
    <s v="BELUGA RIVER"/>
    <x v="31"/>
    <x v="0"/>
    <x v="27"/>
    <n v="91420.3984375"/>
  </r>
  <r>
    <s v="FINAL0722_BANK_HE1"/>
    <s v="BELUGA RIVER"/>
    <x v="31"/>
    <x v="0"/>
    <x v="28"/>
    <n v="88951.6796875"/>
  </r>
  <r>
    <s v="FINAL0722_BANK_HE1"/>
    <s v="BELUGA RIVER"/>
    <x v="31"/>
    <x v="0"/>
    <x v="29"/>
    <n v="86549.625"/>
  </r>
  <r>
    <s v="FINAL0722_BANK_HE1"/>
    <s v="BELUGA RIVER"/>
    <x v="31"/>
    <x v="0"/>
    <x v="30"/>
    <n v="84212.4375"/>
  </r>
  <r>
    <s v="FINAL0722_BANK_HE1"/>
    <s v="BELUGA RIVER"/>
    <x v="31"/>
    <x v="0"/>
    <x v="31"/>
    <n v="81938.359375"/>
  </r>
  <r>
    <s v="FINAL0722_BANK_HE1"/>
    <s v="BELUGA RIVER"/>
    <x v="31"/>
    <x v="0"/>
    <x v="32"/>
    <n v="79725.6953125"/>
  </r>
  <r>
    <s v="FINAL0722_BANK_HE1"/>
    <s v="BELUGA RIVER"/>
    <x v="31"/>
    <x v="0"/>
    <x v="33"/>
    <n v="77572.78125"/>
  </r>
  <r>
    <s v="FINAL0722_BANK_HE1"/>
    <s v="BELUGA RIVER"/>
    <x v="31"/>
    <x v="0"/>
    <x v="34"/>
    <n v="75478"/>
  </r>
  <r>
    <s v="FINAL0722_BANK_HE1"/>
    <s v="BELUGA RIVER"/>
    <x v="31"/>
    <x v="0"/>
    <x v="35"/>
    <n v="73439.7890625"/>
  </r>
  <r>
    <s v="FINAL0722_BANK_HE1"/>
    <s v="BELUGA RIVER"/>
    <x v="31"/>
    <x v="0"/>
    <x v="36"/>
    <n v="71456.6171875"/>
  </r>
  <r>
    <s v="FINAL0722_BANK_HE1"/>
    <s v="BELUGA RIVER"/>
    <x v="31"/>
    <x v="0"/>
    <x v="37"/>
    <n v="69527"/>
  </r>
  <r>
    <s v="FINAL0722_BANK_HE1"/>
    <s v="BELUGA RIVER"/>
    <x v="31"/>
    <x v="0"/>
    <x v="38"/>
    <n v="67649.4921875"/>
  </r>
  <r>
    <s v="FINAL0722_BANK_HE1"/>
    <s v="BELUGA RIVER"/>
    <x v="31"/>
    <x v="0"/>
    <x v="39"/>
    <n v="65822.6796875"/>
  </r>
  <r>
    <s v="FINAL0722_BANK_HE1"/>
    <s v="BELUGA RIVER"/>
    <x v="31"/>
    <x v="0"/>
    <x v="40"/>
    <n v="64045.203125"/>
  </r>
  <r>
    <s v="FINAL0722_BANK_HE1"/>
    <s v="BELUGA RIVER"/>
    <x v="31"/>
    <x v="0"/>
    <x v="41"/>
    <n v="62315.72265625"/>
  </r>
  <r>
    <s v="FINAL0722_BANK_HE1"/>
    <s v="BELUGA RIVER"/>
    <x v="31"/>
    <x v="0"/>
    <x v="42"/>
    <n v="60632.9453125"/>
  </r>
  <r>
    <s v="FINAL0722_BANK_HE1"/>
    <s v="BELUGA RIVER"/>
    <x v="31"/>
    <x v="0"/>
    <x v="43"/>
    <n v="58995.61328125"/>
  </r>
  <r>
    <s v="FINAL0722_BANK_HE1"/>
    <s v="BELUGA RIVER"/>
    <x v="31"/>
    <x v="0"/>
    <x v="44"/>
    <n v="57402.4921875"/>
  </r>
  <r>
    <s v="FINAL0722_BANK_HE1"/>
    <s v="BELUGA RIVER"/>
    <x v="31"/>
    <x v="0"/>
    <x v="45"/>
    <n v="55852.39453125"/>
  </r>
  <r>
    <s v="FINAL0722_BANK_HE1"/>
    <s v="BELUGA RIVER"/>
    <x v="31"/>
    <x v="0"/>
    <x v="46"/>
    <n v="54344.15625"/>
  </r>
  <r>
    <s v="FINAL0722_BANK_HE1"/>
    <s v="BELUGA RIVER"/>
    <x v="31"/>
    <x v="0"/>
    <x v="47"/>
    <n v="52876.64453125"/>
  </r>
  <r>
    <s v="FINAL0722_BANK_HE1"/>
    <s v="BELUGA RIVER"/>
    <x v="31"/>
    <x v="0"/>
    <x v="48"/>
    <n v="51448.76171875"/>
  </r>
  <r>
    <s v="FINAL0722_BANK_HE1"/>
    <s v="BELUGA RIVER"/>
    <x v="31"/>
    <x v="0"/>
    <x v="49"/>
    <n v="50059.4375"/>
  </r>
  <r>
    <s v="FINAL0722_BANK_HE1"/>
    <s v="BELUGA RIVER"/>
    <x v="31"/>
    <x v="0"/>
    <x v="50"/>
    <n v="48707.6328125"/>
  </r>
  <r>
    <s v="FINAL0722_BANK_HE1"/>
    <s v="BELUGA RIVER"/>
    <x v="31"/>
    <x v="0"/>
    <x v="51"/>
    <n v="47392.33203125"/>
  </r>
  <r>
    <s v="FINAL0722_BANK_HE1"/>
    <s v="BELUGA RIVER"/>
    <x v="31"/>
    <x v="0"/>
    <x v="52"/>
    <n v="46112.546875"/>
  </r>
  <r>
    <s v="FINAL0722_BANK_HE1"/>
    <s v="BELUGA RIVER"/>
    <x v="31"/>
    <x v="0"/>
    <x v="53"/>
    <n v="44867.3203125"/>
  </r>
  <r>
    <s v="FINAL0722_BANK_HE1"/>
    <s v="BELUGA RIVER"/>
    <x v="31"/>
    <x v="0"/>
    <x v="54"/>
    <n v="43655.72265625"/>
  </r>
  <r>
    <s v="FINAL0722_BANK_HE1"/>
    <s v="BELUGA RIVER"/>
    <x v="31"/>
    <x v="0"/>
    <x v="55"/>
    <n v="42476.84375"/>
  </r>
  <r>
    <s v="FINAL0722_BANK_HE1"/>
    <s v="BELUGA RIVER"/>
    <x v="31"/>
    <x v="0"/>
    <x v="56"/>
    <n v="41329.796875"/>
  </r>
  <r>
    <s v="FINAL0722_BANK_HE1"/>
    <s v="BELUGA RIVER"/>
    <x v="31"/>
    <x v="0"/>
    <x v="57"/>
    <n v="40213.7265625"/>
  </r>
  <r>
    <s v="FINAL0722_BANK_HE1"/>
    <s v="BELUGA RIVER"/>
    <x v="31"/>
    <x v="0"/>
    <x v="58"/>
    <n v="39127.79296875"/>
  </r>
  <r>
    <s v="FINAL0722_BANK_HE1"/>
    <s v="BELUGA RIVER"/>
    <x v="31"/>
    <x v="0"/>
    <x v="59"/>
    <n v="38071.18359375"/>
  </r>
  <r>
    <s v="FINAL0722_BANK_HE1"/>
    <s v="BELUGA RIVER"/>
    <x v="31"/>
    <x v="0"/>
    <x v="60"/>
    <n v="37043.109375"/>
  </r>
  <r>
    <s v="FINAL0722_BANK_HE1"/>
    <s v="BELUGA RIVER"/>
    <x v="31"/>
    <x v="0"/>
    <x v="61"/>
    <n v="36042.796875"/>
  </r>
  <r>
    <s v="FINAL0722_BANK_HE1"/>
    <s v="BELUGA RIVER"/>
    <x v="31"/>
    <x v="0"/>
    <x v="62"/>
    <n v="35069.49609375"/>
  </r>
  <r>
    <s v="FINAL0722_BANK_HE1"/>
    <s v="BELUGA RIVER"/>
    <x v="31"/>
    <x v="0"/>
    <x v="63"/>
    <n v="34122.4765625"/>
  </r>
  <r>
    <s v="FINAL0722_BANK_HE1"/>
    <s v="BELUGA RIVER"/>
    <x v="31"/>
    <x v="0"/>
    <x v="64"/>
    <n v="33201.03125"/>
  </r>
  <r>
    <s v="FINAL0722_BANK_HE1"/>
    <s v="BELUGA RIVER"/>
    <x v="31"/>
    <x v="0"/>
    <x v="65"/>
    <n v="32304.46875"/>
  </r>
  <r>
    <s v="FINAL0722_BANK_HE1"/>
    <s v="BELUGA RIVER"/>
    <x v="31"/>
    <x v="0"/>
    <x v="66"/>
    <n v="31432.1171875"/>
  </r>
  <r>
    <s v="FINAL0722_BANK_HE1"/>
    <s v="BELUGA RIVER"/>
    <x v="31"/>
    <x v="0"/>
    <x v="67"/>
    <n v="30583.32421875"/>
  </r>
  <r>
    <s v="FINAL0722_BANK_HE1"/>
    <s v="BELUGA RIVER"/>
    <x v="31"/>
    <x v="0"/>
    <x v="68"/>
    <n v="29757.451171875"/>
  </r>
  <r>
    <s v="FINAL0722_BANK_HE1"/>
    <s v="BELUGA RIVER"/>
    <x v="31"/>
    <x v="0"/>
    <x v="69"/>
    <n v="28953.880859375"/>
  </r>
  <r>
    <s v="FINAL0722_BANK_HE1"/>
    <s v="BELUGA RIVER"/>
    <x v="31"/>
    <x v="0"/>
    <x v="70"/>
    <n v="28172.009765625"/>
  </r>
  <r>
    <s v="FINAL0722_BANK_HE1"/>
    <s v="BELUGA RIVER"/>
    <x v="31"/>
    <x v="0"/>
    <x v="71"/>
    <n v="27411.251953125"/>
  </r>
  <r>
    <s v="FINAL0722_BANK_HE1"/>
    <s v="BELUGA RIVER"/>
    <x v="31"/>
    <x v="0"/>
    <x v="72"/>
    <n v="26671.037109375"/>
  </r>
  <r>
    <s v="FINAL0722_BANK_HE1"/>
    <s v="BELUGA RIVER"/>
    <x v="31"/>
    <x v="0"/>
    <x v="73"/>
    <n v="25950.8125"/>
  </r>
  <r>
    <s v="FINAL0722_BANK_HE1"/>
    <s v="BELUGA RIVER"/>
    <x v="31"/>
    <x v="0"/>
    <x v="74"/>
    <n v="25250.03515625"/>
  </r>
  <r>
    <s v="FINAL0722_BANK_HE1"/>
    <s v="BELUGA RIVER"/>
    <x v="31"/>
    <x v="0"/>
    <x v="75"/>
    <n v="24568.181640625"/>
  </r>
  <r>
    <s v="FINAL0722_BANK_HE1"/>
    <s v="BELUGA RIVER"/>
    <x v="31"/>
    <x v="0"/>
    <x v="76"/>
    <n v="23904.7421875"/>
  </r>
  <r>
    <s v="FINAL0722_BANK_HE1"/>
    <s v="BELUGA RIVER"/>
    <x v="31"/>
    <x v="0"/>
    <x v="77"/>
    <n v="23259.21875"/>
  </r>
  <r>
    <s v="FINAL0722_BANK_HE1"/>
    <s v="BELUGA RIVER"/>
    <x v="31"/>
    <x v="0"/>
    <x v="78"/>
    <n v="22631.126953125"/>
  </r>
  <r>
    <s v="FINAL0722_BANK_HE1"/>
    <s v="BELUGA RIVER"/>
    <x v="31"/>
    <x v="0"/>
    <x v="79"/>
    <n v="22019.99609375"/>
  </r>
  <r>
    <s v="FINAL0722_BANK_HE1"/>
    <s v="BELUGA RIVER"/>
    <x v="31"/>
    <x v="0"/>
    <x v="80"/>
    <n v="21425.3671875"/>
  </r>
  <r>
    <s v="FINAL0722_BANK_HE1"/>
    <s v="BELUGA RIVER"/>
    <x v="31"/>
    <x v="0"/>
    <x v="81"/>
    <n v="20846.796875"/>
  </r>
  <r>
    <s v="FINAL0722_BANK_HE1"/>
    <s v="BELUGA RIVER"/>
    <x v="31"/>
    <x v="0"/>
    <x v="82"/>
    <n v="20283.849609375"/>
  </r>
  <r>
    <s v="FINAL0722_BANK_HE1"/>
    <s v="BELUGA RIVER"/>
    <x v="31"/>
    <x v="0"/>
    <x v="83"/>
    <n v="19736.103515625"/>
  </r>
  <r>
    <s v="FINAL0722_BANK_HE1"/>
    <s v="BELUGA RIVER"/>
    <x v="31"/>
    <x v="0"/>
    <x v="84"/>
    <n v="19203.1484375"/>
  </r>
  <r>
    <s v="FINAL0722_BANK_HE1"/>
    <s v="BELUGA RIVER"/>
    <x v="31"/>
    <x v="0"/>
    <x v="85"/>
    <n v="18684.5859375"/>
  </r>
  <r>
    <s v="FINAL0722_BANK_HE1"/>
    <s v="BELUGA RIVER"/>
    <x v="31"/>
    <x v="0"/>
    <x v="86"/>
    <n v="18180.02734375"/>
  </r>
  <r>
    <s v="FINAL0722_BANK_HE1"/>
    <s v="BELUGA RIVER"/>
    <x v="31"/>
    <x v="0"/>
    <x v="87"/>
    <n v="17689.09375"/>
  </r>
  <r>
    <s v="FINAL0722_BANK_HE1"/>
    <s v="BELUGA RIVER"/>
    <x v="31"/>
    <x v="0"/>
    <x v="88"/>
    <n v="17211.416015625"/>
  </r>
  <r>
    <s v="FINAL0722_BANK_HE1"/>
    <s v="BELUGA RIVER"/>
    <x v="31"/>
    <x v="0"/>
    <x v="89"/>
    <n v="16746.638671875"/>
  </r>
  <r>
    <s v="FINAL0722_BANK_HE1"/>
    <s v="BELUGA RIVER"/>
    <x v="31"/>
    <x v="0"/>
    <x v="90"/>
    <n v="16294.412109375"/>
  </r>
  <r>
    <s v="FINAL0722_BANK_HE1"/>
    <s v="BELUGA RIVER"/>
    <x v="31"/>
    <x v="0"/>
    <x v="91"/>
    <n v="15854.3974609375"/>
  </r>
  <r>
    <s v="FINAL0722_BANK_HE1"/>
    <s v="BELUGA RIVER"/>
    <x v="31"/>
    <x v="0"/>
    <x v="92"/>
    <n v="15426.2646484375"/>
  </r>
  <r>
    <s v="FINAL0722_BANK_HE1"/>
    <s v="BELUGA RIVER"/>
    <x v="31"/>
    <x v="0"/>
    <x v="93"/>
    <n v="15009.693359375"/>
  </r>
  <r>
    <s v="FINAL0722_BANK_HE1"/>
    <s v="BELUGA RIVER"/>
    <x v="31"/>
    <x v="0"/>
    <x v="94"/>
    <n v="14604.37109375"/>
  </r>
  <r>
    <s v="FINAL0722_BANK_HE1"/>
    <s v="BELUGA RIVER"/>
    <x v="31"/>
    <x v="0"/>
    <x v="95"/>
    <n v="14209.994140625"/>
  </r>
  <r>
    <s v="FINAL0722_BANK_HE1"/>
    <s v="BELUGA RIVER"/>
    <x v="31"/>
    <x v="0"/>
    <x v="96"/>
    <n v="13826.2666015625"/>
  </r>
  <r>
    <s v="FINAL0722_BANK_HE1"/>
    <s v="BELUGA RIVER"/>
    <x v="31"/>
    <x v="0"/>
    <x v="97"/>
    <n v="13452.9013671875"/>
  </r>
  <r>
    <s v="FINAL0722_BANK_HE1"/>
    <s v="BELUGA RIVER"/>
    <x v="31"/>
    <x v="0"/>
    <x v="98"/>
    <n v="13089.619140625"/>
  </r>
  <r>
    <s v="FINAL0722_BANK_HE1"/>
    <s v="BELUGA RIVER"/>
    <x v="31"/>
    <x v="0"/>
    <x v="99"/>
    <n v="12736.146484375"/>
  </r>
  <r>
    <s v="FINAL0722_BANK_HE1"/>
    <s v="BELUGA RIVER"/>
    <x v="31"/>
    <x v="0"/>
    <x v="100"/>
    <n v="12392.21875"/>
  </r>
  <r>
    <s v="FINAL0722_BANK_HE1"/>
    <s v="BELUGA RIVER"/>
    <x v="31"/>
    <x v="0"/>
    <x v="101"/>
    <n v="12057.5791015625"/>
  </r>
  <r>
    <s v="FINAL0722_BANK_HE1"/>
    <s v="BELUGA RIVER"/>
    <x v="31"/>
    <x v="0"/>
    <x v="102"/>
    <n v="11731.9755859375"/>
  </r>
  <r>
    <s v="FINAL0722_BANK_HE1"/>
    <s v="BELUGA RIVER"/>
    <x v="31"/>
    <x v="0"/>
    <x v="103"/>
    <n v="11415.1650390625"/>
  </r>
  <r>
    <s v="FINAL0722_BANK_HE1"/>
    <s v="BELUGA RIVER"/>
    <x v="31"/>
    <x v="0"/>
    <x v="104"/>
    <n v="11106.9091796875"/>
  </r>
  <r>
    <s v="FINAL0722_BANK_HE1"/>
    <s v="BELUGA RIVER"/>
    <x v="31"/>
    <x v="0"/>
    <x v="105"/>
    <n v="10806.9775390625"/>
  </r>
  <r>
    <s v="FINAL0722_BANK_HE1"/>
    <s v="BELUGA RIVER"/>
    <x v="31"/>
    <x v="0"/>
    <x v="106"/>
    <n v="10515.1455078125"/>
  </r>
  <r>
    <s v="FINAL0722_BANK_HE1"/>
    <s v="BELUGA RIVER"/>
    <x v="31"/>
    <x v="0"/>
    <x v="107"/>
    <n v="10231.1943359375"/>
  </r>
  <r>
    <s v="FINAL0722_BANK_HE1"/>
    <s v="BELUGA RIVER"/>
    <x v="31"/>
    <x v="0"/>
    <x v="108"/>
    <n v="9954.9111328125"/>
  </r>
  <r>
    <s v="FINAL0722_BANK_HE1"/>
    <s v="BELUGA RIVER"/>
    <x v="31"/>
    <x v="0"/>
    <x v="109"/>
    <n v="9686.0888671875"/>
  </r>
  <r>
    <s v="FINAL0722_BANK_HE1"/>
    <s v="BELUGA RIVER"/>
    <x v="31"/>
    <x v="0"/>
    <x v="110"/>
    <n v="9424.525390625"/>
  </r>
  <r>
    <s v="FINAL0722_BANK_HE1"/>
    <s v="BELUGA RIVER"/>
    <x v="31"/>
    <x v="0"/>
    <x v="111"/>
    <n v="9170.025390625"/>
  </r>
  <r>
    <s v="FINAL0722_BANK_HE1"/>
    <s v="BELUGA RIVER"/>
    <x v="31"/>
    <x v="0"/>
    <x v="112"/>
    <n v="8922.3974609375"/>
  </r>
  <r>
    <s v="FINAL0722_BANK_HE1"/>
    <s v="BELUGA RIVER"/>
    <x v="31"/>
    <x v="0"/>
    <x v="113"/>
    <n v="8681.45703125"/>
  </r>
  <r>
    <s v="FINAL0722_BANK_HE1"/>
    <s v="BELUGA RIVER"/>
    <x v="31"/>
    <x v="0"/>
    <x v="114"/>
    <n v="8447.0224609375"/>
  </r>
  <r>
    <s v="FINAL0722_BANK_HE1"/>
    <s v="BELUGA RIVER"/>
    <x v="31"/>
    <x v="0"/>
    <x v="115"/>
    <n v="8218.9189453125"/>
  </r>
  <r>
    <s v="FINAL0722_BANK_HE1"/>
    <s v="BELUGA RIVER"/>
    <x v="31"/>
    <x v="0"/>
    <x v="116"/>
    <n v="7996.97509765625"/>
  </r>
  <r>
    <s v="FINAL0722_BANK_HE1"/>
    <s v="BELUGA RIVER"/>
    <x v="31"/>
    <x v="0"/>
    <x v="117"/>
    <n v="7781.0244140625"/>
  </r>
  <r>
    <s v="FINAL0722_BANK_HE1"/>
    <s v="BELUGA RIVER"/>
    <x v="31"/>
    <x v="0"/>
    <x v="118"/>
    <n v="7570.9052734375"/>
  </r>
  <r>
    <s v="FINAL0722_BANK_HE1"/>
    <s v="BELUGA RIVER"/>
    <x v="31"/>
    <x v="0"/>
    <x v="119"/>
    <n v="7366.46044921875"/>
  </r>
  <r>
    <s v="FINAL0722_BANK_HE1"/>
    <s v="BELUGA RIVER"/>
    <x v="31"/>
    <x v="0"/>
    <x v="120"/>
    <n v="7167.5361328125"/>
  </r>
  <r>
    <s v="FINAL0722_BANK_HE1"/>
    <s v="BELUGA RIVER"/>
    <x v="31"/>
    <x v="0"/>
    <x v="121"/>
    <n v="6973.98388671875"/>
  </r>
  <r>
    <s v="FINAL0722_BANK_HE1"/>
    <s v="BELUGA RIVER"/>
    <x v="31"/>
    <x v="0"/>
    <x v="122"/>
    <n v="6785.658203125"/>
  </r>
  <r>
    <s v="FINAL0722_BANK_HE1"/>
    <s v="BELUGA RIVER"/>
    <x v="31"/>
    <x v="0"/>
    <x v="123"/>
    <n v="6602.41796875"/>
  </r>
  <r>
    <s v="FINAL0722_BANK_HE1"/>
    <s v="BELUGA RIVER"/>
    <x v="31"/>
    <x v="0"/>
    <x v="124"/>
    <n v="6424.1259765625"/>
  </r>
  <r>
    <s v="FINAL0722_BANK_HE1"/>
    <s v="BELUGA RIVER"/>
    <x v="31"/>
    <x v="0"/>
    <x v="125"/>
    <n v="6250.64892578125"/>
  </r>
  <r>
    <s v="FINAL0722_BANK_HE1"/>
    <s v="BELUGA RIVER"/>
    <x v="31"/>
    <x v="0"/>
    <x v="126"/>
    <n v="6081.8564453125"/>
  </r>
  <r>
    <s v="FINAL0722_BANK_HE1"/>
    <s v="BELUGA RIVER"/>
    <x v="31"/>
    <x v="0"/>
    <x v="127"/>
    <n v="5917.62158203125"/>
  </r>
  <r>
    <s v="FINAL0722_BANK_HE1"/>
    <s v="BELUGA RIVER"/>
    <x v="31"/>
    <x v="0"/>
    <x v="128"/>
    <n v="5757.82177734375"/>
  </r>
  <r>
    <s v="FINAL0722_BANK_HE1"/>
    <s v="BELUGA RIVER"/>
    <x v="31"/>
    <x v="0"/>
    <x v="129"/>
    <n v="5602.33740234375"/>
  </r>
  <r>
    <s v="FINAL0722_BANK_HE1"/>
    <s v="BELUGA RIVER"/>
    <x v="31"/>
    <x v="0"/>
    <x v="130"/>
    <n v="5451.0517578125"/>
  </r>
  <r>
    <s v="FINAL0722_BANK_HE1"/>
    <s v="BELUGA RIVER"/>
    <x v="31"/>
    <x v="0"/>
    <x v="131"/>
    <n v="5303.8515625"/>
  </r>
  <r>
    <s v="FINAL0722_BANK_HE1"/>
    <s v="BELUGA RIVER"/>
    <x v="31"/>
    <x v="0"/>
    <x v="132"/>
    <n v="5160.6259765625"/>
  </r>
  <r>
    <s v="FINAL0722_BANK_HE1"/>
    <s v="BELUGA RIVER"/>
    <x v="31"/>
    <x v="0"/>
    <x v="133"/>
    <n v="5021.26806640625"/>
  </r>
  <r>
    <s v="FINAL0722_BANK_HE1"/>
    <s v="BELUGA RIVER"/>
    <x v="31"/>
    <x v="0"/>
    <x v="134"/>
    <n v="4885.673828125"/>
  </r>
  <r>
    <s v="FINAL0722_BANK_HE1"/>
    <s v="BELUGA RIVER"/>
    <x v="31"/>
    <x v="0"/>
    <x v="135"/>
    <n v="4753.74072265625"/>
  </r>
  <r>
    <s v="FINAL0722_BANK_HE1"/>
    <s v="BELUGA RIVER"/>
    <x v="31"/>
    <x v="0"/>
    <x v="136"/>
    <n v="4625.37060546875"/>
  </r>
  <r>
    <s v="FINAL0722_BANK_HE1"/>
    <s v="BELUGA RIVER"/>
    <x v="31"/>
    <x v="0"/>
    <x v="137"/>
    <n v="4500.4667968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23083E-5557-4EFB-8857-0E7FEE16E906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K20" firstHeaderRow="1" firstDataRow="3" firstDataCol="1"/>
  <pivotFields count="8">
    <pivotField showAll="0"/>
    <pivotField showAll="0"/>
    <pivotField axis="axisCol" showAll="0">
      <items count="33">
        <item x="5"/>
        <item x="13"/>
        <item x="21"/>
        <item x="29"/>
        <item x="0"/>
        <item x="7"/>
        <item x="1"/>
        <item x="12"/>
        <item x="30"/>
        <item x="14"/>
        <item x="17"/>
        <item x="15"/>
        <item x="3"/>
        <item x="2"/>
        <item x="31"/>
        <item x="6"/>
        <item x="22"/>
        <item x="4"/>
        <item x="16"/>
        <item x="18"/>
        <item x="8"/>
        <item x="19"/>
        <item x="27"/>
        <item x="10"/>
        <item x="25"/>
        <item x="9"/>
        <item x="26"/>
        <item x="23"/>
        <item x="11"/>
        <item x="20"/>
        <item x="28"/>
        <item x="24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Row" numFmtId="14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dataField="1" showAll="0"/>
    <pivotField axis="axisRow"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axis="axisRow" showAll="0">
      <items count="1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t="default"/>
      </items>
    </pivotField>
  </pivotFields>
  <rowFields count="3">
    <field x="7"/>
    <field x="6"/>
    <field x="4"/>
  </rowFields>
  <rowItems count="1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Fields count="2">
    <field x="3"/>
    <field x="2"/>
  </colFields>
  <colItems count="36">
    <i>
      <x/>
      <x/>
    </i>
    <i r="1">
      <x v="3"/>
    </i>
    <i r="1">
      <x v="4"/>
    </i>
    <i r="1">
      <x v="5"/>
    </i>
    <i r="1">
      <x v="6"/>
    </i>
    <i r="1">
      <x v="8"/>
    </i>
    <i r="1">
      <x v="10"/>
    </i>
    <i r="1">
      <x v="12"/>
    </i>
    <i r="1">
      <x v="13"/>
    </i>
    <i r="1">
      <x v="14"/>
    </i>
    <i r="1">
      <x v="16"/>
    </i>
    <i r="1">
      <x v="17"/>
    </i>
    <i r="1">
      <x v="19"/>
    </i>
    <i r="1">
      <x v="28"/>
    </i>
    <i t="default">
      <x/>
    </i>
    <i>
      <x v="1"/>
      <x v="1"/>
    </i>
    <i r="1">
      <x v="2"/>
    </i>
    <i r="1">
      <x v="7"/>
    </i>
    <i r="1">
      <x v="9"/>
    </i>
    <i r="1">
      <x v="11"/>
    </i>
    <i r="1">
      <x v="15"/>
    </i>
    <i r="1">
      <x v="18"/>
    </i>
    <i r="1">
      <x v="27"/>
    </i>
    <i r="1">
      <x v="29"/>
    </i>
    <i r="1">
      <x v="30"/>
    </i>
    <i r="1">
      <x v="31"/>
    </i>
    <i t="default">
      <x v="1"/>
    </i>
    <i>
      <x v="2"/>
      <x v="20"/>
    </i>
    <i r="1">
      <x v="21"/>
    </i>
    <i r="1">
      <x v="22"/>
    </i>
    <i r="1">
      <x v="23"/>
    </i>
    <i r="1">
      <x v="24"/>
    </i>
    <i r="1">
      <x v="25"/>
    </i>
    <i r="1">
      <x v="26"/>
    </i>
    <i t="default">
      <x v="2"/>
    </i>
    <i t="grand">
      <x/>
    </i>
  </colItems>
  <dataFields count="1">
    <dataField name="Sum of Gas" fld="5" baseField="7" baseItem="8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F281-CB82-477D-88BD-FFF6B37D3E33}">
  <sheetPr codeName="Sheet2"/>
  <dimension ref="A3:AK20"/>
  <sheetViews>
    <sheetView workbookViewId="0">
      <selection activeCell="D32" sqref="D32"/>
    </sheetView>
  </sheetViews>
  <sheetFormatPr defaultRowHeight="15" x14ac:dyDescent="0.25"/>
  <cols>
    <col min="1" max="1" width="13.140625" bestFit="1" customWidth="1"/>
    <col min="2" max="4" width="20.7109375" bestFit="1" customWidth="1"/>
    <col min="5" max="5" width="21.85546875" bestFit="1" customWidth="1"/>
    <col min="6" max="7" width="20.7109375" bestFit="1" customWidth="1"/>
    <col min="8" max="8" width="21.85546875" bestFit="1" customWidth="1"/>
    <col min="9" max="10" width="20.7109375" bestFit="1" customWidth="1"/>
    <col min="11" max="11" width="21.85546875" bestFit="1" customWidth="1"/>
    <col min="12" max="14" width="20.7109375" bestFit="1" customWidth="1"/>
    <col min="15" max="15" width="33.85546875" bestFit="1" customWidth="1"/>
    <col min="16" max="16" width="10.42578125" bestFit="1" customWidth="1"/>
    <col min="17" max="17" width="23.5703125" bestFit="1" customWidth="1"/>
    <col min="18" max="18" width="21.85546875" bestFit="1" customWidth="1"/>
    <col min="19" max="21" width="23.5703125" bestFit="1" customWidth="1"/>
    <col min="22" max="22" width="38.140625" bestFit="1" customWidth="1"/>
    <col min="23" max="23" width="23.5703125" bestFit="1" customWidth="1"/>
    <col min="24" max="24" width="10.85546875" bestFit="1" customWidth="1"/>
    <col min="25" max="26" width="33.85546875" bestFit="1" customWidth="1"/>
    <col min="27" max="27" width="10.85546875" bestFit="1" customWidth="1"/>
    <col min="28" max="28" width="10.5703125" bestFit="1" customWidth="1"/>
    <col min="29" max="29" width="9.42578125" bestFit="1" customWidth="1"/>
    <col min="30" max="30" width="31.85546875" bestFit="1" customWidth="1"/>
    <col min="31" max="31" width="9.42578125" bestFit="1" customWidth="1"/>
    <col min="32" max="32" width="10.140625" bestFit="1" customWidth="1"/>
    <col min="33" max="33" width="9.85546875" bestFit="1" customWidth="1"/>
    <col min="34" max="34" width="10.140625" bestFit="1" customWidth="1"/>
    <col min="35" max="35" width="9.140625" bestFit="1" customWidth="1"/>
    <col min="36" max="36" width="10.7109375" bestFit="1" customWidth="1"/>
    <col min="37" max="37" width="11.28515625" bestFit="1" customWidth="1"/>
    <col min="38" max="38" width="25.42578125" bestFit="1" customWidth="1"/>
    <col min="39" max="39" width="28.5703125" bestFit="1" customWidth="1"/>
    <col min="40" max="40" width="22.5703125" bestFit="1" customWidth="1"/>
    <col min="41" max="41" width="25.85546875" bestFit="1" customWidth="1"/>
    <col min="42" max="42" width="12" bestFit="1" customWidth="1"/>
    <col min="43" max="43" width="14.42578125" bestFit="1" customWidth="1"/>
    <col min="44" max="44" width="33.7109375" bestFit="1" customWidth="1"/>
    <col min="45" max="45" width="36.85546875" bestFit="1" customWidth="1"/>
    <col min="46" max="46" width="11.28515625" bestFit="1" customWidth="1"/>
    <col min="47" max="47" width="14.42578125" bestFit="1" customWidth="1"/>
    <col min="48" max="48" width="12" bestFit="1" customWidth="1"/>
    <col min="49" max="49" width="14.85546875" bestFit="1" customWidth="1"/>
    <col min="50" max="50" width="12" bestFit="1" customWidth="1"/>
    <col min="51" max="51" width="14.85546875" bestFit="1" customWidth="1"/>
    <col min="52" max="52" width="12" bestFit="1" customWidth="1"/>
    <col min="53" max="53" width="14.140625" bestFit="1" customWidth="1"/>
    <col min="54" max="54" width="12" bestFit="1" customWidth="1"/>
    <col min="55" max="55" width="14.140625" bestFit="1" customWidth="1"/>
    <col min="56" max="56" width="12.7109375" bestFit="1" customWidth="1"/>
    <col min="57" max="57" width="15.85546875" bestFit="1" customWidth="1"/>
    <col min="58" max="58" width="35.7109375" bestFit="1" customWidth="1"/>
    <col min="59" max="59" width="38.85546875" bestFit="1" customWidth="1"/>
    <col min="60" max="60" width="35.7109375" bestFit="1" customWidth="1"/>
    <col min="61" max="61" width="38.85546875" bestFit="1" customWidth="1"/>
    <col min="62" max="62" width="35.7109375" bestFit="1" customWidth="1"/>
    <col min="63" max="63" width="38.85546875" bestFit="1" customWidth="1"/>
    <col min="64" max="64" width="12.7109375" bestFit="1" customWidth="1"/>
    <col min="65" max="65" width="15.85546875" bestFit="1" customWidth="1"/>
    <col min="66" max="66" width="12" bestFit="1" customWidth="1"/>
  </cols>
  <sheetData>
    <row r="3" spans="1:37" x14ac:dyDescent="0.25">
      <c r="A3" s="2" t="s">
        <v>56</v>
      </c>
      <c r="B3" s="2" t="s">
        <v>47</v>
      </c>
    </row>
    <row r="4" spans="1:37" x14ac:dyDescent="0.25">
      <c r="B4" t="s">
        <v>2</v>
      </c>
      <c r="P4" t="s">
        <v>48</v>
      </c>
      <c r="Q4" t="s">
        <v>17</v>
      </c>
      <c r="AB4" t="s">
        <v>49</v>
      </c>
      <c r="AC4" t="s">
        <v>19</v>
      </c>
      <c r="AJ4" t="s">
        <v>50</v>
      </c>
      <c r="AK4" t="s">
        <v>37</v>
      </c>
    </row>
    <row r="5" spans="1:37" x14ac:dyDescent="0.25">
      <c r="A5" s="2" t="s">
        <v>36</v>
      </c>
      <c r="B5" t="s">
        <v>10</v>
      </c>
      <c r="C5" t="s">
        <v>4</v>
      </c>
      <c r="D5" t="s">
        <v>6</v>
      </c>
      <c r="E5" t="s">
        <v>15</v>
      </c>
      <c r="F5" t="s">
        <v>7</v>
      </c>
      <c r="G5" t="s">
        <v>1</v>
      </c>
      <c r="H5" t="s">
        <v>11</v>
      </c>
      <c r="I5" t="s">
        <v>8</v>
      </c>
      <c r="J5" t="s">
        <v>14</v>
      </c>
      <c r="K5" t="s">
        <v>5</v>
      </c>
      <c r="L5" t="s">
        <v>12</v>
      </c>
      <c r="M5" t="s">
        <v>9</v>
      </c>
      <c r="N5" t="s">
        <v>3</v>
      </c>
      <c r="O5" t="s">
        <v>13</v>
      </c>
      <c r="Q5" t="s">
        <v>23</v>
      </c>
      <c r="R5" t="s">
        <v>29</v>
      </c>
      <c r="S5" t="s">
        <v>22</v>
      </c>
      <c r="T5" t="s">
        <v>24</v>
      </c>
      <c r="U5" t="s">
        <v>25</v>
      </c>
      <c r="V5" t="s">
        <v>16</v>
      </c>
      <c r="W5" t="s">
        <v>26</v>
      </c>
      <c r="X5" t="s">
        <v>30</v>
      </c>
      <c r="Y5" t="s">
        <v>28</v>
      </c>
      <c r="Z5" t="s">
        <v>35</v>
      </c>
      <c r="AA5" t="s">
        <v>31</v>
      </c>
      <c r="AC5" t="s">
        <v>18</v>
      </c>
      <c r="AD5" t="s">
        <v>27</v>
      </c>
      <c r="AE5" t="s">
        <v>34</v>
      </c>
      <c r="AF5" t="s">
        <v>21</v>
      </c>
      <c r="AG5" t="s">
        <v>32</v>
      </c>
      <c r="AH5" t="s">
        <v>20</v>
      </c>
      <c r="AI5" t="s">
        <v>33</v>
      </c>
    </row>
    <row r="6" spans="1:37" x14ac:dyDescent="0.25">
      <c r="A6" s="3" t="s">
        <v>38</v>
      </c>
      <c r="B6" s="4">
        <v>231821.79296875</v>
      </c>
      <c r="C6" s="4">
        <v>336412.75</v>
      </c>
      <c r="D6" s="4">
        <v>238685.95703125</v>
      </c>
      <c r="E6" s="4">
        <v>552603.84375</v>
      </c>
      <c r="F6" s="4">
        <v>507564.8828125</v>
      </c>
      <c r="G6" s="4">
        <v>530227.2578125</v>
      </c>
      <c r="H6" s="4">
        <v>377284.65625</v>
      </c>
      <c r="I6" s="4">
        <v>14978.573486328125</v>
      </c>
      <c r="J6" s="4">
        <v>210409.25390625</v>
      </c>
      <c r="K6" s="4">
        <v>1073861.84375</v>
      </c>
      <c r="L6" s="4">
        <v>169809.470703125</v>
      </c>
      <c r="M6" s="4">
        <v>318776.58984375</v>
      </c>
      <c r="N6" s="4">
        <v>376873.6640625</v>
      </c>
      <c r="O6" s="4">
        <v>594502.78125</v>
      </c>
      <c r="P6" s="4">
        <v>5533813.3176269531</v>
      </c>
      <c r="Q6" s="4">
        <v>0</v>
      </c>
      <c r="R6" s="4">
        <v>0</v>
      </c>
      <c r="S6" s="4">
        <v>0</v>
      </c>
      <c r="T6" s="4">
        <v>381967.875</v>
      </c>
      <c r="U6" s="4">
        <v>89304.8671875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B6" s="4">
        <v>471272.7421875</v>
      </c>
      <c r="AC6" s="4">
        <v>0</v>
      </c>
      <c r="AD6" s="4">
        <v>0</v>
      </c>
      <c r="AE6" s="4">
        <v>0</v>
      </c>
      <c r="AF6" s="4">
        <v>1216666.796875</v>
      </c>
      <c r="AG6" s="4">
        <v>0</v>
      </c>
      <c r="AH6" s="4">
        <v>973333.4375</v>
      </c>
      <c r="AI6" s="4">
        <v>0</v>
      </c>
      <c r="AJ6" s="4">
        <v>2190000.234375</v>
      </c>
      <c r="AK6" s="4">
        <v>8195086.2941894531</v>
      </c>
    </row>
    <row r="7" spans="1:37" x14ac:dyDescent="0.25">
      <c r="A7" s="3" t="s">
        <v>39</v>
      </c>
      <c r="B7" s="4">
        <v>435631.74609375</v>
      </c>
      <c r="C7" s="4">
        <v>570026.8828125</v>
      </c>
      <c r="D7" s="4">
        <v>452158.37890625</v>
      </c>
      <c r="E7" s="4">
        <v>962107.25</v>
      </c>
      <c r="F7" s="4">
        <v>969213.3984375</v>
      </c>
      <c r="G7" s="4">
        <v>931352.296875</v>
      </c>
      <c r="H7" s="4">
        <v>691712.96875</v>
      </c>
      <c r="I7" s="4"/>
      <c r="J7" s="4">
        <v>340026.66796875</v>
      </c>
      <c r="K7" s="4">
        <v>1684382.40625</v>
      </c>
      <c r="L7" s="4">
        <v>319100.25390625</v>
      </c>
      <c r="M7" s="4">
        <v>190514.484375</v>
      </c>
      <c r="N7" s="4">
        <v>518049.26953125</v>
      </c>
      <c r="O7" s="4">
        <v>970097.609375</v>
      </c>
      <c r="P7" s="4">
        <v>9034373.61328125</v>
      </c>
      <c r="Q7" s="4">
        <v>0</v>
      </c>
      <c r="R7" s="4">
        <v>0</v>
      </c>
      <c r="S7" s="4">
        <v>0</v>
      </c>
      <c r="T7" s="4">
        <v>784039.08203125</v>
      </c>
      <c r="U7" s="4">
        <v>970169.015625</v>
      </c>
      <c r="V7" s="4">
        <v>1467970.3359375</v>
      </c>
      <c r="W7" s="4">
        <v>386275.14453125</v>
      </c>
      <c r="X7" s="4">
        <v>0</v>
      </c>
      <c r="Y7" s="4">
        <v>0</v>
      </c>
      <c r="Z7" s="4">
        <v>0</v>
      </c>
      <c r="AA7" s="4">
        <v>0</v>
      </c>
      <c r="AB7" s="4">
        <v>3608453.578125</v>
      </c>
      <c r="AC7" s="4">
        <v>0</v>
      </c>
      <c r="AD7" s="4">
        <v>0</v>
      </c>
      <c r="AE7" s="4">
        <v>0</v>
      </c>
      <c r="AF7" s="4">
        <v>2920000.3125</v>
      </c>
      <c r="AG7" s="4">
        <v>0</v>
      </c>
      <c r="AH7" s="4">
        <v>2920000.3125</v>
      </c>
      <c r="AI7" s="4">
        <v>0</v>
      </c>
      <c r="AJ7" s="4">
        <v>5840000.625</v>
      </c>
      <c r="AK7" s="4">
        <v>18482827.81640625</v>
      </c>
    </row>
    <row r="8" spans="1:37" x14ac:dyDescent="0.25">
      <c r="A8" s="3" t="s">
        <v>40</v>
      </c>
      <c r="B8" s="4">
        <v>400781.236328125</v>
      </c>
      <c r="C8" s="4">
        <v>456021.54296875</v>
      </c>
      <c r="D8" s="4">
        <v>420507.30859375</v>
      </c>
      <c r="E8" s="4">
        <v>798549.046875</v>
      </c>
      <c r="F8" s="4">
        <v>911060.484375</v>
      </c>
      <c r="G8" s="4">
        <v>782336.00390625</v>
      </c>
      <c r="H8" s="4">
        <v>615624.55859375</v>
      </c>
      <c r="I8" s="4"/>
      <c r="J8" s="4">
        <v>255019.986328125</v>
      </c>
      <c r="K8" s="4">
        <v>1212755.3046875</v>
      </c>
      <c r="L8" s="4">
        <v>293572.208984375</v>
      </c>
      <c r="M8" s="4"/>
      <c r="N8" s="4">
        <v>310829.5390625</v>
      </c>
      <c r="O8" s="4">
        <v>737274.171875</v>
      </c>
      <c r="P8" s="4">
        <v>7194331.392578125</v>
      </c>
      <c r="Q8" s="4">
        <v>0</v>
      </c>
      <c r="R8" s="4">
        <v>0</v>
      </c>
      <c r="S8" s="4">
        <v>0</v>
      </c>
      <c r="T8" s="4">
        <v>627231.2734375</v>
      </c>
      <c r="U8" s="4">
        <v>805240.2734375</v>
      </c>
      <c r="V8" s="4">
        <v>1447727.9921875</v>
      </c>
      <c r="W8" s="4">
        <v>530845.765625</v>
      </c>
      <c r="X8" s="4">
        <v>0</v>
      </c>
      <c r="Y8" s="4">
        <v>0</v>
      </c>
      <c r="Z8" s="4">
        <v>0</v>
      </c>
      <c r="AA8" s="4">
        <v>0</v>
      </c>
      <c r="AB8" s="4">
        <v>3411045.3046875</v>
      </c>
      <c r="AC8" s="4">
        <v>0</v>
      </c>
      <c r="AD8" s="4">
        <v>0</v>
      </c>
      <c r="AE8" s="4">
        <v>0</v>
      </c>
      <c r="AF8" s="4">
        <v>2366953.171875</v>
      </c>
      <c r="AG8" s="4">
        <v>0</v>
      </c>
      <c r="AH8" s="4">
        <v>2450012.546875</v>
      </c>
      <c r="AI8" s="4">
        <v>0</v>
      </c>
      <c r="AJ8" s="4">
        <v>4816965.71875</v>
      </c>
      <c r="AK8" s="4">
        <v>15422342.416015625</v>
      </c>
    </row>
    <row r="9" spans="1:37" x14ac:dyDescent="0.25">
      <c r="A9" s="3" t="s">
        <v>41</v>
      </c>
      <c r="B9" s="4">
        <v>309380.697265625</v>
      </c>
      <c r="C9" s="4">
        <v>364817.216796875</v>
      </c>
      <c r="D9" s="4">
        <v>391071.763671875</v>
      </c>
      <c r="E9" s="4">
        <v>662795.703125</v>
      </c>
      <c r="F9" s="4">
        <v>856396.7578125</v>
      </c>
      <c r="G9" s="4">
        <v>657162.26171875</v>
      </c>
      <c r="H9" s="4">
        <v>547905.79296875</v>
      </c>
      <c r="I9" s="4"/>
      <c r="J9" s="4">
        <v>191264.9853515625</v>
      </c>
      <c r="K9" s="4">
        <v>873183.77734375</v>
      </c>
      <c r="L9" s="4">
        <v>270086.4375</v>
      </c>
      <c r="M9" s="4"/>
      <c r="N9" s="4">
        <v>186497.7236328125</v>
      </c>
      <c r="O9" s="4">
        <v>560328.38671875</v>
      </c>
      <c r="P9" s="4">
        <v>5870891.50390625</v>
      </c>
      <c r="Q9" s="4">
        <v>59585.015625</v>
      </c>
      <c r="R9" s="4">
        <v>0</v>
      </c>
      <c r="S9" s="4">
        <v>0</v>
      </c>
      <c r="T9" s="4">
        <v>501785.01171875</v>
      </c>
      <c r="U9" s="4">
        <v>668349.39453125</v>
      </c>
      <c r="V9" s="4">
        <v>1302955.1640625</v>
      </c>
      <c r="W9" s="4">
        <v>477761.21484375</v>
      </c>
      <c r="X9" s="4">
        <v>499014.7265625</v>
      </c>
      <c r="Y9" s="4">
        <v>0</v>
      </c>
      <c r="Z9" s="4">
        <v>0</v>
      </c>
      <c r="AA9" s="4">
        <v>499014.7265625</v>
      </c>
      <c r="AB9" s="4">
        <v>4008465.25390625</v>
      </c>
      <c r="AC9" s="4">
        <v>0</v>
      </c>
      <c r="AD9" s="4">
        <v>0</v>
      </c>
      <c r="AE9" s="4">
        <v>0</v>
      </c>
      <c r="AF9" s="4">
        <v>1530882.703125</v>
      </c>
      <c r="AG9" s="4">
        <v>0</v>
      </c>
      <c r="AH9" s="4">
        <v>1587495.703125</v>
      </c>
      <c r="AI9" s="4">
        <v>0</v>
      </c>
      <c r="AJ9" s="4">
        <v>3118378.40625</v>
      </c>
      <c r="AK9" s="4">
        <v>12997735.1640625</v>
      </c>
    </row>
    <row r="10" spans="1:37" x14ac:dyDescent="0.25">
      <c r="A10" s="3" t="s">
        <v>42</v>
      </c>
      <c r="B10" s="4"/>
      <c r="C10" s="4">
        <v>291853.794921875</v>
      </c>
      <c r="D10" s="4">
        <v>363696.755859375</v>
      </c>
      <c r="E10" s="4">
        <v>550120.41015625</v>
      </c>
      <c r="F10" s="4">
        <v>805012.88671875</v>
      </c>
      <c r="G10" s="4">
        <v>552016.30859375</v>
      </c>
      <c r="H10" s="4">
        <v>487636.1015625</v>
      </c>
      <c r="I10" s="4"/>
      <c r="J10" s="4">
        <v>143448.748046875</v>
      </c>
      <c r="K10" s="4">
        <v>628692.27734375</v>
      </c>
      <c r="L10" s="4">
        <v>248479.5234375</v>
      </c>
      <c r="M10" s="4"/>
      <c r="N10" s="4">
        <v>111898.646484375</v>
      </c>
      <c r="O10" s="4">
        <v>425849.587890625</v>
      </c>
      <c r="P10" s="4">
        <v>4608705.041015625</v>
      </c>
      <c r="Q10" s="4">
        <v>340633.087890625</v>
      </c>
      <c r="R10" s="4">
        <v>0</v>
      </c>
      <c r="S10" s="4">
        <v>0</v>
      </c>
      <c r="T10" s="4">
        <v>401427.98828125</v>
      </c>
      <c r="U10" s="4">
        <v>554729.96875</v>
      </c>
      <c r="V10" s="4">
        <v>1172659.6328125</v>
      </c>
      <c r="W10" s="4">
        <v>429985.09375</v>
      </c>
      <c r="X10" s="4">
        <v>787591.47265625</v>
      </c>
      <c r="Y10" s="4">
        <v>0</v>
      </c>
      <c r="Z10" s="4">
        <v>0</v>
      </c>
      <c r="AA10" s="4">
        <v>787591.47265625</v>
      </c>
      <c r="AB10" s="4">
        <v>4474618.716796875</v>
      </c>
      <c r="AC10" s="4">
        <v>0</v>
      </c>
      <c r="AD10" s="4">
        <v>0</v>
      </c>
      <c r="AE10" s="4">
        <v>0</v>
      </c>
      <c r="AF10" s="4">
        <v>990134.6015625</v>
      </c>
      <c r="AG10" s="4">
        <v>0</v>
      </c>
      <c r="AH10" s="4">
        <v>1026750.390625</v>
      </c>
      <c r="AI10" s="4">
        <v>0</v>
      </c>
      <c r="AJ10" s="4">
        <v>2016884.9921875</v>
      </c>
      <c r="AK10" s="4">
        <v>11100208.75</v>
      </c>
    </row>
    <row r="11" spans="1:37" x14ac:dyDescent="0.25">
      <c r="A11" s="3" t="s">
        <v>43</v>
      </c>
      <c r="B11" s="4"/>
      <c r="C11" s="4">
        <v>233483.01953125</v>
      </c>
      <c r="D11" s="4">
        <v>338237.9921875</v>
      </c>
      <c r="E11" s="4">
        <v>456599.9609375</v>
      </c>
      <c r="F11" s="4">
        <v>756712.078125</v>
      </c>
      <c r="G11" s="4">
        <v>463693.68359375</v>
      </c>
      <c r="H11" s="4">
        <v>433996.1171875</v>
      </c>
      <c r="I11" s="4"/>
      <c r="J11" s="4">
        <v>107586.56494140625</v>
      </c>
      <c r="K11" s="4">
        <v>452658.4453125</v>
      </c>
      <c r="L11" s="4">
        <v>228601.1484375</v>
      </c>
      <c r="M11" s="4"/>
      <c r="N11" s="4">
        <v>62759.5791015625</v>
      </c>
      <c r="O11" s="4">
        <v>30490.400390625</v>
      </c>
      <c r="P11" s="4">
        <v>3564818.9897460938</v>
      </c>
      <c r="Q11" s="4">
        <v>313382.435546875</v>
      </c>
      <c r="R11" s="4">
        <v>0</v>
      </c>
      <c r="S11" s="4">
        <v>0</v>
      </c>
      <c r="T11" s="4">
        <v>321142.392578125</v>
      </c>
      <c r="U11" s="4">
        <v>460425.8828125</v>
      </c>
      <c r="V11" s="4">
        <v>1055393.6484375</v>
      </c>
      <c r="W11" s="4">
        <v>386986.5703125</v>
      </c>
      <c r="X11" s="4">
        <v>571908.83984375</v>
      </c>
      <c r="Y11" s="4">
        <v>2433333.59375</v>
      </c>
      <c r="Z11" s="4">
        <v>0</v>
      </c>
      <c r="AA11" s="4">
        <v>571908.83984375</v>
      </c>
      <c r="AB11" s="4">
        <v>6114482.203125</v>
      </c>
      <c r="AC11" s="4">
        <v>1277215.1640625</v>
      </c>
      <c r="AD11" s="4">
        <v>0</v>
      </c>
      <c r="AE11" s="4">
        <v>0</v>
      </c>
      <c r="AF11" s="4">
        <v>640392.93359375</v>
      </c>
      <c r="AG11" s="4">
        <v>0</v>
      </c>
      <c r="AH11" s="4">
        <v>664075.0703125</v>
      </c>
      <c r="AI11" s="4">
        <v>0</v>
      </c>
      <c r="AJ11" s="4">
        <v>2581683.16796875</v>
      </c>
      <c r="AK11" s="4">
        <v>12260984.360839844</v>
      </c>
    </row>
    <row r="12" spans="1:37" x14ac:dyDescent="0.25">
      <c r="A12" s="3" t="s">
        <v>44</v>
      </c>
      <c r="B12" s="4"/>
      <c r="C12" s="4">
        <v>186786.40625</v>
      </c>
      <c r="D12" s="4">
        <v>314561.34765625</v>
      </c>
      <c r="E12" s="4">
        <v>378978.017578125</v>
      </c>
      <c r="F12" s="4">
        <v>242009.86328125</v>
      </c>
      <c r="G12" s="4">
        <v>389502.6953125</v>
      </c>
      <c r="H12" s="4">
        <v>386256.564453125</v>
      </c>
      <c r="I12" s="4"/>
      <c r="J12" s="4">
        <v>80689.92236328125</v>
      </c>
      <c r="K12" s="4">
        <v>325914.0625</v>
      </c>
      <c r="L12" s="4">
        <v>210313.060546875</v>
      </c>
      <c r="M12" s="4"/>
      <c r="N12" s="4"/>
      <c r="O12" s="4"/>
      <c r="P12" s="4">
        <v>2515011.9399414063</v>
      </c>
      <c r="Q12" s="4">
        <v>288311.828125</v>
      </c>
      <c r="R12" s="4">
        <v>1946666.875</v>
      </c>
      <c r="S12" s="4">
        <v>470234.65625</v>
      </c>
      <c r="T12" s="4">
        <v>256913.9140625</v>
      </c>
      <c r="U12" s="4">
        <v>382153.50390625</v>
      </c>
      <c r="V12" s="4">
        <v>949854.2890625</v>
      </c>
      <c r="W12" s="4">
        <v>348287.92578125</v>
      </c>
      <c r="X12" s="4">
        <v>415291.1171875</v>
      </c>
      <c r="Y12" s="4">
        <v>2815939.515625</v>
      </c>
      <c r="Z12" s="4">
        <v>0</v>
      </c>
      <c r="AA12" s="4">
        <v>415291.1171875</v>
      </c>
      <c r="AB12" s="4">
        <v>8288944.7421875</v>
      </c>
      <c r="AC12" s="4">
        <v>971350.3984375</v>
      </c>
      <c r="AD12" s="4">
        <v>0</v>
      </c>
      <c r="AE12" s="4">
        <v>0</v>
      </c>
      <c r="AF12" s="4">
        <v>334970.138671875</v>
      </c>
      <c r="AG12" s="4">
        <v>119062.0625</v>
      </c>
      <c r="AH12" s="4">
        <v>378333.197265625</v>
      </c>
      <c r="AI12" s="4">
        <v>0</v>
      </c>
      <c r="AJ12" s="4">
        <v>1803715.796875</v>
      </c>
      <c r="AK12" s="4">
        <v>12607672.479003906</v>
      </c>
    </row>
    <row r="13" spans="1:37" x14ac:dyDescent="0.25">
      <c r="A13" s="3" t="s">
        <v>45</v>
      </c>
      <c r="B13" s="4"/>
      <c r="C13" s="4">
        <v>149429.12890625</v>
      </c>
      <c r="D13" s="4">
        <v>292542.060546875</v>
      </c>
      <c r="E13" s="4">
        <v>314551.7421875</v>
      </c>
      <c r="F13" s="4"/>
      <c r="G13" s="4">
        <v>327182.255859375</v>
      </c>
      <c r="H13" s="4">
        <v>60112.287109375</v>
      </c>
      <c r="I13" s="4"/>
      <c r="J13" s="4">
        <v>56112.4013671875</v>
      </c>
      <c r="K13" s="4">
        <v>234658.150390625</v>
      </c>
      <c r="L13" s="4">
        <v>193488.001953125</v>
      </c>
      <c r="M13" s="4"/>
      <c r="N13" s="4"/>
      <c r="O13" s="4"/>
      <c r="P13" s="4">
        <v>1628076.0283203125</v>
      </c>
      <c r="Q13" s="4">
        <v>265246.861328125</v>
      </c>
      <c r="R13" s="4">
        <v>2881642.703125</v>
      </c>
      <c r="S13" s="4">
        <v>669963.140625</v>
      </c>
      <c r="T13" s="4">
        <v>205531.16015625</v>
      </c>
      <c r="U13" s="4">
        <v>317187.412109375</v>
      </c>
      <c r="V13" s="4">
        <v>854868.828125</v>
      </c>
      <c r="W13" s="4">
        <v>313459.162109375</v>
      </c>
      <c r="X13" s="4">
        <v>301563.234375</v>
      </c>
      <c r="Y13" s="4">
        <v>1973951.265625</v>
      </c>
      <c r="Z13" s="4">
        <v>0</v>
      </c>
      <c r="AA13" s="4">
        <v>301563.234375</v>
      </c>
      <c r="AB13" s="4">
        <v>8084977.001953125</v>
      </c>
      <c r="AC13" s="4">
        <v>738733.5</v>
      </c>
      <c r="AD13" s="4">
        <v>0</v>
      </c>
      <c r="AE13" s="4">
        <v>0</v>
      </c>
      <c r="AF13" s="4"/>
      <c r="AG13" s="4">
        <v>1291913.3671875</v>
      </c>
      <c r="AH13" s="4"/>
      <c r="AI13" s="4">
        <v>1312375.2109375</v>
      </c>
      <c r="AJ13" s="4">
        <v>3343022.078125</v>
      </c>
      <c r="AK13" s="4">
        <v>13056075.108398438</v>
      </c>
    </row>
    <row r="14" spans="1:37" x14ac:dyDescent="0.25">
      <c r="A14" s="3" t="s">
        <v>46</v>
      </c>
      <c r="B14" s="4"/>
      <c r="C14" s="4">
        <v>119543.3046875</v>
      </c>
      <c r="D14" s="4">
        <v>272064.126953125</v>
      </c>
      <c r="E14" s="4">
        <v>261077.916015625</v>
      </c>
      <c r="F14" s="4"/>
      <c r="G14" s="4">
        <v>274833.07421875</v>
      </c>
      <c r="H14" s="4"/>
      <c r="I14" s="4"/>
      <c r="J14" s="4"/>
      <c r="K14" s="4">
        <v>168953.8642578125</v>
      </c>
      <c r="L14" s="4">
        <v>178008.9638671875</v>
      </c>
      <c r="M14" s="4"/>
      <c r="N14" s="4"/>
      <c r="O14" s="4"/>
      <c r="P14" s="4">
        <v>1274481.25</v>
      </c>
      <c r="Q14" s="4">
        <v>244027.103515625</v>
      </c>
      <c r="R14" s="4">
        <v>2122646.71875</v>
      </c>
      <c r="S14" s="4">
        <v>629765.26953125</v>
      </c>
      <c r="T14" s="4">
        <v>164424.943359375</v>
      </c>
      <c r="U14" s="4">
        <v>263265.54296875</v>
      </c>
      <c r="V14" s="4">
        <v>769381.9296875</v>
      </c>
      <c r="W14" s="4">
        <v>282113.248046875</v>
      </c>
      <c r="X14" s="4">
        <v>218979.83984375</v>
      </c>
      <c r="Y14" s="4">
        <v>1276699.5625</v>
      </c>
      <c r="Z14" s="4">
        <v>0</v>
      </c>
      <c r="AA14" s="4">
        <v>218979.83984375</v>
      </c>
      <c r="AB14" s="4">
        <v>6190283.998046875</v>
      </c>
      <c r="AC14" s="4">
        <v>561823.234375</v>
      </c>
      <c r="AD14" s="4">
        <v>0</v>
      </c>
      <c r="AE14" s="4">
        <v>0</v>
      </c>
      <c r="AF14" s="4"/>
      <c r="AG14" s="4">
        <v>1069886.8203125</v>
      </c>
      <c r="AH14" s="4"/>
      <c r="AI14" s="4">
        <v>1086832.125</v>
      </c>
      <c r="AJ14" s="4">
        <v>2718542.1796875</v>
      </c>
      <c r="AK14" s="4">
        <v>10183307.427734375</v>
      </c>
    </row>
    <row r="15" spans="1:37" x14ac:dyDescent="0.25">
      <c r="A15" s="3" t="s">
        <v>51</v>
      </c>
      <c r="B15" s="4"/>
      <c r="C15" s="4">
        <v>95634.64794921875</v>
      </c>
      <c r="D15" s="4">
        <v>253019.638671875</v>
      </c>
      <c r="E15" s="4">
        <v>216694.642578125</v>
      </c>
      <c r="F15" s="4"/>
      <c r="G15" s="4">
        <v>230859.791015625</v>
      </c>
      <c r="H15" s="4"/>
      <c r="I15" s="4"/>
      <c r="J15" s="4"/>
      <c r="K15" s="4">
        <v>121646.7724609375</v>
      </c>
      <c r="L15" s="4">
        <v>163768.251953125</v>
      </c>
      <c r="M15" s="4"/>
      <c r="N15" s="4"/>
      <c r="O15" s="4"/>
      <c r="P15" s="4">
        <v>1081623.7446289063</v>
      </c>
      <c r="Q15" s="4">
        <v>224504.931640625</v>
      </c>
      <c r="R15" s="4">
        <v>1372871.828125</v>
      </c>
      <c r="S15" s="4">
        <v>591979.2734375</v>
      </c>
      <c r="T15" s="4">
        <v>131539.951171875</v>
      </c>
      <c r="U15" s="4">
        <v>218510.38671875</v>
      </c>
      <c r="V15" s="4">
        <v>692443.7265625</v>
      </c>
      <c r="W15" s="4">
        <v>253901.908203125</v>
      </c>
      <c r="X15" s="4">
        <v>159011.982421875</v>
      </c>
      <c r="Y15" s="4">
        <v>825735.6640625</v>
      </c>
      <c r="Z15" s="4">
        <v>0</v>
      </c>
      <c r="AA15" s="4">
        <v>159011.982421875</v>
      </c>
      <c r="AB15" s="4">
        <v>4629511.634765625</v>
      </c>
      <c r="AC15" s="4">
        <v>427278.978515625</v>
      </c>
      <c r="AD15" s="4">
        <v>0</v>
      </c>
      <c r="AE15" s="4">
        <v>0</v>
      </c>
      <c r="AF15" s="4"/>
      <c r="AG15" s="4">
        <v>886017.578125</v>
      </c>
      <c r="AH15" s="4"/>
      <c r="AI15" s="4">
        <v>900050.671875</v>
      </c>
      <c r="AJ15" s="4">
        <v>2213347.228515625</v>
      </c>
      <c r="AK15" s="4">
        <v>7924482.6079101563</v>
      </c>
    </row>
    <row r="16" spans="1:37" x14ac:dyDescent="0.25">
      <c r="A16" s="3" t="s">
        <v>52</v>
      </c>
      <c r="B16" s="4"/>
      <c r="C16" s="4">
        <v>76507.72119140625</v>
      </c>
      <c r="D16" s="4">
        <v>235308.267578125</v>
      </c>
      <c r="E16" s="4">
        <v>179856.5458984375</v>
      </c>
      <c r="F16" s="4"/>
      <c r="G16" s="4">
        <v>193922.2158203125</v>
      </c>
      <c r="H16" s="4"/>
      <c r="I16" s="4"/>
      <c r="J16" s="4"/>
      <c r="K16" s="4">
        <v>87585.677734375</v>
      </c>
      <c r="L16" s="4">
        <v>150666.7958984375</v>
      </c>
      <c r="M16" s="4"/>
      <c r="N16" s="4"/>
      <c r="O16" s="4"/>
      <c r="P16" s="4">
        <v>923847.22412109375</v>
      </c>
      <c r="Q16" s="4">
        <v>206544.533203125</v>
      </c>
      <c r="R16" s="4">
        <v>887937.34765625</v>
      </c>
      <c r="S16" s="4">
        <v>556460.45703125</v>
      </c>
      <c r="T16" s="4">
        <v>105231.95654296875</v>
      </c>
      <c r="U16" s="4">
        <v>181363.5986328125</v>
      </c>
      <c r="V16" s="4">
        <v>623199.2890625</v>
      </c>
      <c r="W16" s="4">
        <v>228511.712890625</v>
      </c>
      <c r="X16" s="4">
        <v>46638.5302734375</v>
      </c>
      <c r="Y16" s="4">
        <v>534063.9921875</v>
      </c>
      <c r="Z16" s="4">
        <v>0</v>
      </c>
      <c r="AA16" s="4">
        <v>46638.5302734375</v>
      </c>
      <c r="AB16" s="4">
        <v>3416589.9477539063</v>
      </c>
      <c r="AC16" s="4">
        <v>23598.25</v>
      </c>
      <c r="AD16" s="4">
        <v>2433333.59375</v>
      </c>
      <c r="AE16" s="4">
        <v>0</v>
      </c>
      <c r="AF16" s="4"/>
      <c r="AG16" s="4">
        <v>733747.87890625</v>
      </c>
      <c r="AH16" s="4"/>
      <c r="AI16" s="4">
        <v>745369.26953125</v>
      </c>
      <c r="AJ16" s="4">
        <v>3936048.9921875</v>
      </c>
      <c r="AK16" s="4">
        <v>8276486.1640625</v>
      </c>
    </row>
    <row r="17" spans="1:37" x14ac:dyDescent="0.25">
      <c r="A17" s="3" t="s">
        <v>53</v>
      </c>
      <c r="B17" s="4"/>
      <c r="C17" s="4">
        <v>61206.18212890625</v>
      </c>
      <c r="D17" s="4">
        <v>218836.720703125</v>
      </c>
      <c r="E17" s="4">
        <v>149280.9228515625</v>
      </c>
      <c r="F17" s="4"/>
      <c r="G17" s="4">
        <v>162894.6611328125</v>
      </c>
      <c r="H17" s="4"/>
      <c r="I17" s="4"/>
      <c r="J17" s="4"/>
      <c r="K17" s="4">
        <v>63061.6865234375</v>
      </c>
      <c r="L17" s="4">
        <v>138613.46875</v>
      </c>
      <c r="M17" s="4"/>
      <c r="N17" s="4"/>
      <c r="O17" s="4"/>
      <c r="P17" s="4">
        <v>793893.64208984375</v>
      </c>
      <c r="Q17" s="4">
        <v>190020.98046875</v>
      </c>
      <c r="R17" s="4">
        <v>574294.41015625</v>
      </c>
      <c r="S17" s="4">
        <v>523072.80078125</v>
      </c>
      <c r="T17" s="4">
        <v>84185.56591796875</v>
      </c>
      <c r="U17" s="4">
        <v>150531.7841796875</v>
      </c>
      <c r="V17" s="4">
        <v>560879.328125</v>
      </c>
      <c r="W17" s="4">
        <v>205660.52734375</v>
      </c>
      <c r="X17" s="4"/>
      <c r="Y17" s="4">
        <v>140277.064453125</v>
      </c>
      <c r="Z17" s="4">
        <v>687099.2578125</v>
      </c>
      <c r="AA17" s="4"/>
      <c r="AB17" s="4">
        <v>3116021.7192382813</v>
      </c>
      <c r="AC17" s="4"/>
      <c r="AD17" s="4">
        <v>2815939.515625</v>
      </c>
      <c r="AE17" s="4">
        <v>0</v>
      </c>
      <c r="AF17" s="4"/>
      <c r="AG17" s="4">
        <v>607646.9609375</v>
      </c>
      <c r="AH17" s="4"/>
      <c r="AI17" s="4">
        <v>617271.12109375</v>
      </c>
      <c r="AJ17" s="4">
        <v>4040857.59765625</v>
      </c>
      <c r="AK17" s="4">
        <v>7950772.958984375</v>
      </c>
    </row>
    <row r="18" spans="1:37" x14ac:dyDescent="0.25">
      <c r="A18" s="3" t="s">
        <v>54</v>
      </c>
      <c r="B18" s="4"/>
      <c r="C18" s="4">
        <v>4510.52099609375</v>
      </c>
      <c r="D18" s="4">
        <v>203518.15625</v>
      </c>
      <c r="E18" s="4">
        <v>85139.1474609375</v>
      </c>
      <c r="F18" s="4"/>
      <c r="G18" s="4">
        <v>136831.5234375</v>
      </c>
      <c r="H18" s="4"/>
      <c r="I18" s="4"/>
      <c r="J18" s="4"/>
      <c r="K18" s="4"/>
      <c r="L18" s="4">
        <v>127524.4091796875</v>
      </c>
      <c r="M18" s="4"/>
      <c r="N18" s="4"/>
      <c r="O18" s="4"/>
      <c r="P18" s="4">
        <v>557523.75732421875</v>
      </c>
      <c r="Q18" s="4">
        <v>174819.2890625</v>
      </c>
      <c r="R18" s="4">
        <v>213940.775390625</v>
      </c>
      <c r="S18" s="4">
        <v>491688.41796875</v>
      </c>
      <c r="T18" s="4">
        <v>67348.4521484375</v>
      </c>
      <c r="U18" s="4">
        <v>124941.3681640625</v>
      </c>
      <c r="V18" s="4">
        <v>504791.4453125</v>
      </c>
      <c r="W18" s="4">
        <v>185094.474609375</v>
      </c>
      <c r="X18" s="4"/>
      <c r="Y18" s="4"/>
      <c r="Z18" s="4">
        <v>1194291.2578125</v>
      </c>
      <c r="AA18" s="4"/>
      <c r="AB18" s="4">
        <v>2956915.48046875</v>
      </c>
      <c r="AC18" s="4"/>
      <c r="AD18" s="4">
        <v>1973951.265625</v>
      </c>
      <c r="AE18" s="4">
        <v>0</v>
      </c>
      <c r="AF18" s="4"/>
      <c r="AG18" s="4">
        <v>503217.54296875</v>
      </c>
      <c r="AH18" s="4"/>
      <c r="AI18" s="4">
        <v>511187.70703125</v>
      </c>
      <c r="AJ18" s="4">
        <v>2988356.515625</v>
      </c>
      <c r="AK18" s="4">
        <v>6502795.7534179688</v>
      </c>
    </row>
    <row r="19" spans="1:37" x14ac:dyDescent="0.25">
      <c r="A19" s="3" t="s">
        <v>55</v>
      </c>
      <c r="B19" s="4"/>
      <c r="C19" s="4"/>
      <c r="D19" s="4">
        <v>189271.908203125</v>
      </c>
      <c r="E19" s="4"/>
      <c r="F19" s="4"/>
      <c r="G19" s="4">
        <v>114938.4775390625</v>
      </c>
      <c r="H19" s="4"/>
      <c r="I19" s="4"/>
      <c r="J19" s="4"/>
      <c r="K19" s="4"/>
      <c r="L19" s="4">
        <v>117322.462890625</v>
      </c>
      <c r="M19" s="4"/>
      <c r="N19" s="4"/>
      <c r="O19" s="4"/>
      <c r="P19" s="4">
        <v>421532.8486328125</v>
      </c>
      <c r="Q19" s="4">
        <v>160833.7392578125</v>
      </c>
      <c r="R19" s="4"/>
      <c r="S19" s="4">
        <v>462187.12109375</v>
      </c>
      <c r="T19" s="4">
        <v>28440.66015625</v>
      </c>
      <c r="U19" s="4">
        <v>103701.32275390625</v>
      </c>
      <c r="V19" s="4">
        <v>454312.28125</v>
      </c>
      <c r="W19" s="4">
        <v>166585.025390625</v>
      </c>
      <c r="X19" s="4"/>
      <c r="Y19" s="4"/>
      <c r="Z19" s="4">
        <v>989041.90625</v>
      </c>
      <c r="AA19" s="4"/>
      <c r="AB19" s="4">
        <v>2365102.0561523438</v>
      </c>
      <c r="AC19" s="4"/>
      <c r="AD19" s="4">
        <v>1276699.5625</v>
      </c>
      <c r="AE19" s="4">
        <v>0</v>
      </c>
      <c r="AF19" s="4"/>
      <c r="AG19" s="4">
        <v>416735.173828125</v>
      </c>
      <c r="AH19" s="4"/>
      <c r="AI19" s="4">
        <v>423335.60546875</v>
      </c>
      <c r="AJ19" s="4">
        <v>2116770.341796875</v>
      </c>
      <c r="AK19" s="4">
        <v>4903405.2465820313</v>
      </c>
    </row>
    <row r="20" spans="1:37" x14ac:dyDescent="0.25">
      <c r="A20" s="3" t="s">
        <v>37</v>
      </c>
      <c r="B20" s="4">
        <v>1377615.47265625</v>
      </c>
      <c r="C20" s="4">
        <v>2946233.119140625</v>
      </c>
      <c r="D20" s="4">
        <v>4183480.3828125</v>
      </c>
      <c r="E20" s="4">
        <v>5568355.1494140625</v>
      </c>
      <c r="F20" s="4">
        <v>5047970.3515625</v>
      </c>
      <c r="G20" s="4">
        <v>5747752.5068359375</v>
      </c>
      <c r="H20" s="4">
        <v>3600529.046875</v>
      </c>
      <c r="I20" s="4">
        <v>14978.573486328125</v>
      </c>
      <c r="J20" s="4">
        <v>1384558.5302734375</v>
      </c>
      <c r="K20" s="4">
        <v>6927354.2685546875</v>
      </c>
      <c r="L20" s="4">
        <v>2809354.4580078125</v>
      </c>
      <c r="M20" s="4">
        <v>509291.07421875</v>
      </c>
      <c r="N20" s="4">
        <v>1566908.421875</v>
      </c>
      <c r="O20" s="4">
        <v>3318542.9375</v>
      </c>
      <c r="P20" s="4">
        <v>45002924.293212891</v>
      </c>
      <c r="Q20" s="4">
        <v>2467909.8056640625</v>
      </c>
      <c r="R20" s="4">
        <v>10000000.658203125</v>
      </c>
      <c r="S20" s="4">
        <v>4395351.13671875</v>
      </c>
      <c r="T20" s="4">
        <v>4061210.2265625</v>
      </c>
      <c r="U20" s="4">
        <v>5289874.3217773438</v>
      </c>
      <c r="V20" s="4">
        <v>11856437.890625</v>
      </c>
      <c r="W20" s="4">
        <v>4195467.7734375</v>
      </c>
      <c r="X20" s="4">
        <v>2999999.7431640625</v>
      </c>
      <c r="Y20" s="4">
        <v>10000000.658203125</v>
      </c>
      <c r="Z20" s="4">
        <v>2870432.421875</v>
      </c>
      <c r="AA20" s="4">
        <v>2999999.7431640625</v>
      </c>
      <c r="AB20" s="4">
        <v>61136684.379394531</v>
      </c>
      <c r="AC20" s="4">
        <v>3999999.525390625</v>
      </c>
      <c r="AD20" s="4">
        <v>8499923.9375</v>
      </c>
      <c r="AE20" s="4">
        <v>0</v>
      </c>
      <c r="AF20" s="4">
        <v>10000000.658203125</v>
      </c>
      <c r="AG20" s="4">
        <v>5628227.384765625</v>
      </c>
      <c r="AH20" s="4">
        <v>10000000.658203125</v>
      </c>
      <c r="AI20" s="4">
        <v>5596421.7109375</v>
      </c>
      <c r="AJ20" s="4">
        <v>43724573.875</v>
      </c>
      <c r="AK20" s="4">
        <v>149864182.54760742</v>
      </c>
    </row>
  </sheetData>
  <pageMargins left="0.7" right="0.7" top="0.75" bottom="0.75" header="0.3" footer="0.3"/>
  <pageSetup orientation="portrait" verticalDpi="0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339EC-E459-4F63-9F5C-339FC50612F2}">
  <sheetPr codeName="Sheet1"/>
  <dimension ref="A1"/>
  <sheetViews>
    <sheetView topLeftCell="A10" workbookViewId="0">
      <selection activeCell="M48" sqref="M48"/>
    </sheetView>
  </sheetViews>
  <sheetFormatPr defaultRowHeight="15" x14ac:dyDescent="0.25"/>
  <cols>
    <col min="1" max="1" width="20.7109375" bestFit="1" customWidth="1"/>
    <col min="2" max="2" width="13.5703125" bestFit="1" customWidth="1"/>
    <col min="3" max="3" width="37.7109375" bestFit="1" customWidth="1"/>
    <col min="4" max="4" width="8.85546875" bestFit="1" customWidth="1"/>
    <col min="5" max="5" width="10.7109375" bestFit="1" customWidth="1"/>
    <col min="6" max="6" width="12" bestFit="1" customWidth="1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5E859-6E47-4BF3-B79B-79441F82BA9B}">
  <sheetPr codeName="Sheet3"/>
  <dimension ref="A1:N2000"/>
  <sheetViews>
    <sheetView tabSelected="1" topLeftCell="G1" workbookViewId="0">
      <selection activeCell="N4" sqref="N4"/>
    </sheetView>
  </sheetViews>
  <sheetFormatPr defaultRowHeight="15" x14ac:dyDescent="0.25"/>
  <cols>
    <col min="1" max="1" width="11" bestFit="1" customWidth="1"/>
    <col min="2" max="2" width="12" bestFit="1" customWidth="1"/>
    <col min="3" max="4" width="12" customWidth="1"/>
    <col min="5" max="5" width="12" bestFit="1" customWidth="1"/>
    <col min="6" max="6" width="12" customWidth="1"/>
    <col min="7" max="7" width="12" bestFit="1" customWidth="1"/>
    <col min="9" max="9" width="10.7109375" bestFit="1" customWidth="1"/>
    <col min="10" max="10" width="9.7109375" bestFit="1" customWidth="1"/>
  </cols>
  <sheetData>
    <row r="1" spans="1:14" x14ac:dyDescent="0.25">
      <c r="A1" s="6" t="s">
        <v>60</v>
      </c>
      <c r="B1" s="6"/>
      <c r="C1" s="6"/>
      <c r="D1" s="6"/>
      <c r="E1" s="6"/>
      <c r="F1" s="6"/>
      <c r="G1" s="6"/>
      <c r="H1" s="6"/>
      <c r="J1" s="5" t="s">
        <v>59</v>
      </c>
      <c r="K1" s="5"/>
      <c r="L1" s="5"/>
      <c r="N1">
        <v>164849</v>
      </c>
    </row>
    <row r="2" spans="1:14" x14ac:dyDescent="0.25">
      <c r="A2" t="s">
        <v>0</v>
      </c>
      <c r="B2" t="s">
        <v>61</v>
      </c>
      <c r="C2" t="s">
        <v>62</v>
      </c>
      <c r="D2" t="s">
        <v>57</v>
      </c>
      <c r="E2" t="s">
        <v>63</v>
      </c>
      <c r="F2" t="s">
        <v>64</v>
      </c>
      <c r="G2" t="s">
        <v>58</v>
      </c>
      <c r="I2" t="s">
        <v>0</v>
      </c>
      <c r="J2" t="s">
        <v>57</v>
      </c>
      <c r="K2" t="s">
        <v>58</v>
      </c>
      <c r="L2" t="s">
        <v>65</v>
      </c>
      <c r="N2">
        <v>0.3</v>
      </c>
    </row>
    <row r="3" spans="1:14" x14ac:dyDescent="0.25">
      <c r="A3" s="1">
        <v>44957</v>
      </c>
      <c r="B3">
        <v>-6297.4517019171499</v>
      </c>
      <c r="C3">
        <v>83.262905562551396</v>
      </c>
      <c r="D3">
        <f>SUM(B3:C3)</f>
        <v>-6214.1887963545987</v>
      </c>
      <c r="E3">
        <v>4992.7436266513196</v>
      </c>
      <c r="F3">
        <v>0</v>
      </c>
      <c r="G3">
        <v>155000</v>
      </c>
      <c r="H3">
        <v>1</v>
      </c>
      <c r="I3" s="1">
        <v>44960</v>
      </c>
      <c r="J3">
        <f t="array" ref="J3">INDEX($D$3:$D$62,MATCH(1, (YEAR(I3)=YEAR($A$3:$A$62))*(MONTH(I3)=MONTH($A$3:$A$62)),0))</f>
        <v>158924.7853942872</v>
      </c>
      <c r="K3">
        <f t="array" ref="K3">INDEX($G$3:$G$200,MATCH(1, (YEAR(I3)=YEAR($A$3:$A$2000))*(MONTH(I3)=MONTH($A$3:$A$2000)),0))</f>
        <v>164849.57980218195</v>
      </c>
      <c r="L3">
        <f xml:space="preserve"> $K$3 * ( 1 + $N$3 * $N$2/365 * H3)^(-N3^-1)</f>
        <v>164714.17047408473</v>
      </c>
      <c r="N3">
        <v>0.5</v>
      </c>
    </row>
    <row r="4" spans="1:14" x14ac:dyDescent="0.25">
      <c r="A4" s="1">
        <v>44985</v>
      </c>
      <c r="B4">
        <v>146628.60449540001</v>
      </c>
      <c r="C4">
        <v>12296.1808988872</v>
      </c>
      <c r="D4">
        <f t="shared" ref="D4:D67" si="0">SUM(B4:C4)</f>
        <v>158924.7853942872</v>
      </c>
      <c r="E4">
        <v>5924.7944078947403</v>
      </c>
      <c r="F4">
        <v>0</v>
      </c>
      <c r="G4">
        <f>SUM(E4:F4,B4:C4)</f>
        <v>164849.57980218195</v>
      </c>
      <c r="H4">
        <v>2</v>
      </c>
      <c r="I4" s="1">
        <v>44961</v>
      </c>
      <c r="J4">
        <f t="array" ref="J4">INDEX($D$3:$D$62,MATCH(1, (YEAR(I4)=YEAR($A$3:$A$62))*(MONTH(I4)=MONTH($A$3:$A$62)),0))</f>
        <v>158924.7853942872</v>
      </c>
      <c r="K4">
        <f t="array" ref="K4">INDEX($G$3:$G$200,MATCH(1, (YEAR(I4)=YEAR($A$3:$A$2000))*(MONTH(I4)=MONTH($A$3:$A$2000)),0))</f>
        <v>164849.57980218195</v>
      </c>
      <c r="L4" t="e">
        <f xml:space="preserve"> $K$3 * ( 1 + $N$3 * $N$2/365 * H4)^(-1/$N$4)</f>
        <v>#DIV/0!</v>
      </c>
    </row>
    <row r="5" spans="1:14" x14ac:dyDescent="0.25">
      <c r="A5" s="1">
        <v>45016</v>
      </c>
      <c r="B5">
        <v>138864.86608404899</v>
      </c>
      <c r="C5">
        <v>11949.677538419999</v>
      </c>
      <c r="D5">
        <f t="shared" si="0"/>
        <v>150814.54362246898</v>
      </c>
      <c r="E5">
        <v>7935.7823422146403</v>
      </c>
      <c r="F5">
        <v>0</v>
      </c>
      <c r="G5">
        <f>SUM(E5:F5,B5:C5)</f>
        <v>158750.32596468361</v>
      </c>
      <c r="H5">
        <v>3</v>
      </c>
      <c r="I5" s="1">
        <v>44962</v>
      </c>
      <c r="J5">
        <f t="array" ref="J5">INDEX($D$3:$D$62,MATCH(1, (YEAR(I5)=YEAR($A$3:$A$62))*(MONTH(I5)=MONTH($A$3:$A$62)),0))</f>
        <v>158924.7853942872</v>
      </c>
      <c r="K5">
        <f t="array" ref="K5">INDEX($G$3:$G$200,MATCH(1, (YEAR(I5)=YEAR($A$3:$A$2000))*(MONTH(I5)=MONTH($A$3:$A$2000)),0))</f>
        <v>164849.57980218195</v>
      </c>
      <c r="L5">
        <f t="shared" ref="L4:L67" si="1">0.000000012*H5^4-0.000070439*H5^3+0.160688168*H5^2-194.849290676*H5+144481.718306784</f>
        <v>143898.614727387</v>
      </c>
    </row>
    <row r="6" spans="1:14" x14ac:dyDescent="0.25">
      <c r="A6" s="1">
        <v>45046</v>
      </c>
      <c r="B6">
        <v>132087.778179771</v>
      </c>
      <c r="C6">
        <v>11621.3837016859</v>
      </c>
      <c r="D6">
        <f t="shared" si="0"/>
        <v>143709.16188145691</v>
      </c>
      <c r="E6">
        <v>14776.589066358099</v>
      </c>
      <c r="F6">
        <v>0</v>
      </c>
      <c r="G6">
        <f>SUM(E6:F6,B6:C6)</f>
        <v>158485.75094781502</v>
      </c>
      <c r="H6">
        <v>4</v>
      </c>
      <c r="I6" s="1">
        <v>44963</v>
      </c>
      <c r="J6">
        <f t="array" ref="J6">INDEX($D$3:$D$62,MATCH(1, (YEAR(I6)=YEAR($A$3:$A$62))*(MONTH(I6)=MONTH($A$3:$A$62)),0))</f>
        <v>158924.7853942872</v>
      </c>
      <c r="K6">
        <f t="array" ref="K6">INDEX($G$3:$G$200,MATCH(1, (YEAR(I6)=YEAR($A$3:$A$2000))*(MONTH(I6)=MONTH($A$3:$A$2000)),0))</f>
        <v>164849.57980218195</v>
      </c>
      <c r="L6">
        <f t="shared" si="1"/>
        <v>143704.88764974399</v>
      </c>
    </row>
    <row r="7" spans="1:14" x14ac:dyDescent="0.25">
      <c r="A7" s="1">
        <v>45077</v>
      </c>
      <c r="B7">
        <v>126348.474847894</v>
      </c>
      <c r="C7">
        <v>11309.8644744873</v>
      </c>
      <c r="D7">
        <f t="shared" si="0"/>
        <v>137658.3393223813</v>
      </c>
      <c r="E7">
        <v>19782.2024054309</v>
      </c>
      <c r="F7">
        <v>0</v>
      </c>
      <c r="G7">
        <f>SUM(E7:F7,B7:C7)</f>
        <v>157440.54172781217</v>
      </c>
      <c r="H7">
        <v>5</v>
      </c>
      <c r="I7" s="1">
        <v>44964</v>
      </c>
      <c r="J7">
        <f t="array" ref="J7">INDEX($D$3:$D$62,MATCH(1, (YEAR(I7)=YEAR($A$3:$A$62))*(MONTH(I7)=MONTH($A$3:$A$62)),0))</f>
        <v>158924.7853942872</v>
      </c>
      <c r="K7">
        <f t="array" ref="K7">INDEX($G$3:$G$200,MATCH(1, (YEAR(I7)=YEAR($A$3:$A$2000))*(MONTH(I7)=MONTH($A$3:$A$2000)),0))</f>
        <v>164849.57980218195</v>
      </c>
      <c r="L7">
        <f t="shared" si="1"/>
        <v>143511.480260229</v>
      </c>
    </row>
    <row r="8" spans="1:14" x14ac:dyDescent="0.25">
      <c r="A8" s="1">
        <v>45107</v>
      </c>
      <c r="B8">
        <v>121144.762147602</v>
      </c>
      <c r="C8">
        <v>11013.828716559199</v>
      </c>
      <c r="D8">
        <f t="shared" si="0"/>
        <v>132158.5908641612</v>
      </c>
      <c r="E8">
        <v>28660.072053608099</v>
      </c>
      <c r="F8">
        <v>1239.7674778988501</v>
      </c>
      <c r="G8">
        <f>SUM(E8:F8,B8:C8)</f>
        <v>162058.43039566814</v>
      </c>
      <c r="H8">
        <v>6</v>
      </c>
      <c r="I8" s="1">
        <v>44965</v>
      </c>
      <c r="J8">
        <f t="array" ref="J8">INDEX($D$3:$D$62,MATCH(1, (YEAR(I8)=YEAR($A$3:$A$62))*(MONTH(I8)=MONTH($A$3:$A$62)),0))</f>
        <v>158924.7853942872</v>
      </c>
      <c r="K8">
        <f t="array" ref="K8">INDEX($G$3:$G$200,MATCH(1, (YEAR(I8)=YEAR($A$3:$A$2000))*(MONTH(I8)=MONTH($A$3:$A$2000)),0))</f>
        <v>164849.57980218195</v>
      </c>
      <c r="L8">
        <f t="shared" si="1"/>
        <v>143318.39213750401</v>
      </c>
    </row>
    <row r="9" spans="1:14" x14ac:dyDescent="0.25">
      <c r="A9" s="1">
        <v>45138</v>
      </c>
      <c r="B9">
        <v>116419.297786512</v>
      </c>
      <c r="C9">
        <v>10732.111416465401</v>
      </c>
      <c r="D9">
        <f t="shared" si="0"/>
        <v>127151.4092029774</v>
      </c>
      <c r="E9">
        <v>29332.732319079001</v>
      </c>
      <c r="F9">
        <v>2450.1668045847</v>
      </c>
      <c r="G9">
        <f>SUM(E9:F9,B9:C9)</f>
        <v>158934.3083266411</v>
      </c>
      <c r="H9">
        <v>7</v>
      </c>
      <c r="I9" s="1">
        <v>44966</v>
      </c>
      <c r="J9">
        <f t="array" ref="J9">INDEX($D$3:$D$62,MATCH(1, (YEAR(I9)=YEAR($A$3:$A$62))*(MONTH(I9)=MONTH($A$3:$A$62)),0))</f>
        <v>158924.7853942872</v>
      </c>
      <c r="K9">
        <f t="array" ref="K9">INDEX($G$3:$G$200,MATCH(1, (YEAR(I9)=YEAR($A$3:$A$2000))*(MONTH(I9)=MONTH($A$3:$A$2000)),0))</f>
        <v>164849.57980218195</v>
      </c>
      <c r="L9">
        <f t="shared" si="1"/>
        <v>143125.62286051898</v>
      </c>
    </row>
    <row r="10" spans="1:14" x14ac:dyDescent="0.25">
      <c r="A10" s="1">
        <v>45169</v>
      </c>
      <c r="B10">
        <v>112082.399364271</v>
      </c>
      <c r="C10">
        <v>10463.659189645899</v>
      </c>
      <c r="D10">
        <f t="shared" si="0"/>
        <v>122546.0585539169</v>
      </c>
      <c r="E10">
        <v>30718.180606243001</v>
      </c>
      <c r="F10">
        <v>3631.89364977385</v>
      </c>
      <c r="G10">
        <f>SUM(E10:F10,B10:C10)</f>
        <v>156896.13280993374</v>
      </c>
      <c r="H10">
        <v>8</v>
      </c>
      <c r="I10" s="1">
        <v>44967</v>
      </c>
      <c r="J10">
        <f t="array" ref="J10">INDEX($D$3:$D$62,MATCH(1, (YEAR(I10)=YEAR($A$3:$A$62))*(MONTH(I10)=MONTH($A$3:$A$62)),0))</f>
        <v>158924.7853942872</v>
      </c>
      <c r="K10">
        <f t="array" ref="K10">INDEX($G$3:$G$200,MATCH(1, (YEAR(I10)=YEAR($A$3:$A$2000))*(MONTH(I10)=MONTH($A$3:$A$2000)),0))</f>
        <v>164849.57980218195</v>
      </c>
      <c r="L10">
        <f t="shared" si="1"/>
        <v>142933.17200851199</v>
      </c>
    </row>
    <row r="11" spans="1:14" x14ac:dyDescent="0.25">
      <c r="A11" s="1">
        <v>45199</v>
      </c>
      <c r="B11">
        <v>107966.701338919</v>
      </c>
      <c r="C11">
        <v>10207.5167411403</v>
      </c>
      <c r="D11">
        <f t="shared" si="0"/>
        <v>118174.21808005929</v>
      </c>
      <c r="E11">
        <v>30271.5295731394</v>
      </c>
      <c r="F11">
        <v>5395.1965190686697</v>
      </c>
      <c r="G11">
        <f>SUM(E11:F11,B11:C11)</f>
        <v>153840.94417226737</v>
      </c>
      <c r="H11">
        <v>9</v>
      </c>
      <c r="I11" s="1">
        <v>44968</v>
      </c>
      <c r="J11">
        <f t="array" ref="J11">INDEX($D$3:$D$62,MATCH(1, (YEAR(I11)=YEAR($A$3:$A$62))*(MONTH(I11)=MONTH($A$3:$A$62)),0))</f>
        <v>158924.7853942872</v>
      </c>
      <c r="K11">
        <f t="array" ref="K11">INDEX($G$3:$G$200,MATCH(1, (YEAR(I11)=YEAR($A$3:$A$2000))*(MONTH(I11)=MONTH($A$3:$A$2000)),0))</f>
        <v>164849.57980218195</v>
      </c>
      <c r="L11">
        <f t="shared" si="1"/>
        <v>142741.03916100899</v>
      </c>
    </row>
    <row r="12" spans="1:14" x14ac:dyDescent="0.25">
      <c r="A12" s="1">
        <v>45230</v>
      </c>
      <c r="B12">
        <v>103792.475814819</v>
      </c>
      <c r="C12">
        <v>9962.8160845304792</v>
      </c>
      <c r="D12">
        <f t="shared" si="0"/>
        <v>113755.29189934948</v>
      </c>
      <c r="E12">
        <v>44871.210423519697</v>
      </c>
      <c r="F12">
        <v>7096.9567459909504</v>
      </c>
      <c r="G12">
        <f>SUM(E12:F12,B12:C12)</f>
        <v>165723.45906886013</v>
      </c>
      <c r="H12">
        <v>10</v>
      </c>
      <c r="I12" s="1">
        <v>44969</v>
      </c>
      <c r="J12">
        <f t="array" ref="J12">INDEX($D$3:$D$62,MATCH(1, (YEAR(I12)=YEAR($A$3:$A$62))*(MONTH(I12)=MONTH($A$3:$A$62)),0))</f>
        <v>158924.7853942872</v>
      </c>
      <c r="K12">
        <f t="array" ref="K12">INDEX($G$3:$G$200,MATCH(1, (YEAR(I12)=YEAR($A$3:$A$2000))*(MONTH(I12)=MONTH($A$3:$A$2000)),0))</f>
        <v>164849.57980218195</v>
      </c>
      <c r="L12">
        <f t="shared" si="1"/>
        <v>142549.22389782401</v>
      </c>
    </row>
    <row r="13" spans="1:14" x14ac:dyDescent="0.25">
      <c r="A13" s="1">
        <v>45260</v>
      </c>
      <c r="B13">
        <v>100276.559090865</v>
      </c>
      <c r="C13">
        <v>9728.7680188630802</v>
      </c>
      <c r="D13">
        <f t="shared" si="0"/>
        <v>110005.32710972808</v>
      </c>
      <c r="E13">
        <v>53265.117926346597</v>
      </c>
      <c r="F13">
        <v>7499.9744616056796</v>
      </c>
      <c r="G13">
        <f>SUM(E13:F13,B13:C13)</f>
        <v>170770.41949768036</v>
      </c>
      <c r="H13">
        <v>11</v>
      </c>
      <c r="I13" s="1">
        <v>44970</v>
      </c>
      <c r="J13">
        <f t="array" ref="J13">INDEX($D$3:$D$62,MATCH(1, (YEAR(I13)=YEAR($A$3:$A$62))*(MONTH(I13)=MONTH($A$3:$A$62)),0))</f>
        <v>158924.7853942872</v>
      </c>
      <c r="K13">
        <f t="array" ref="K13">INDEX($G$3:$G$200,MATCH(1, (YEAR(I13)=YEAR($A$3:$A$2000))*(MONTH(I13)=MONTH($A$3:$A$2000)),0))</f>
        <v>164849.57980218195</v>
      </c>
      <c r="L13">
        <f t="shared" si="1"/>
        <v>142357.725799059</v>
      </c>
    </row>
    <row r="14" spans="1:14" x14ac:dyDescent="0.25">
      <c r="A14" s="1">
        <v>45291</v>
      </c>
      <c r="B14">
        <v>96164.017342015301</v>
      </c>
      <c r="C14">
        <v>9504.6517610248793</v>
      </c>
      <c r="D14">
        <f t="shared" si="0"/>
        <v>105668.66910304019</v>
      </c>
      <c r="E14">
        <v>51713.5986328125</v>
      </c>
      <c r="F14">
        <v>7571.0452052066203</v>
      </c>
      <c r="G14">
        <f>SUM(E14:F14,B14:C14)</f>
        <v>164953.3129410593</v>
      </c>
      <c r="H14">
        <v>12</v>
      </c>
      <c r="I14" s="1">
        <v>44971</v>
      </c>
      <c r="J14">
        <f t="array" ref="J14">INDEX($D$3:$D$62,MATCH(1, (YEAR(I14)=YEAR($A$3:$A$62))*(MONTH(I14)=MONTH($A$3:$A$62)),0))</f>
        <v>158924.7853942872</v>
      </c>
      <c r="K14">
        <f t="array" ref="K14">INDEX($G$3:$G$200,MATCH(1, (YEAR(I14)=YEAR($A$3:$A$2000))*(MONTH(I14)=MONTH($A$3:$A$2000)),0))</f>
        <v>164849.57980218195</v>
      </c>
      <c r="L14">
        <f t="shared" si="1"/>
        <v>142166.54444510399</v>
      </c>
    </row>
    <row r="15" spans="1:14" x14ac:dyDescent="0.25">
      <c r="A15" s="1">
        <v>45322</v>
      </c>
      <c r="B15">
        <v>92376.231970536101</v>
      </c>
      <c r="C15">
        <v>9289.8102071661706</v>
      </c>
      <c r="D15">
        <f t="shared" si="0"/>
        <v>101666.04217770227</v>
      </c>
      <c r="E15">
        <v>49726.037469161201</v>
      </c>
      <c r="F15">
        <v>7328.9072811729002</v>
      </c>
      <c r="G15">
        <f>SUM(E15:F15,B15:C15)</f>
        <v>158720.98692803638</v>
      </c>
      <c r="H15">
        <v>13</v>
      </c>
      <c r="I15" s="1">
        <v>44972</v>
      </c>
      <c r="J15">
        <f t="array" ref="J15">INDEX($D$3:$D$62,MATCH(1, (YEAR(I15)=YEAR($A$3:$A$62))*(MONTH(I15)=MONTH($A$3:$A$62)),0))</f>
        <v>158924.7853942872</v>
      </c>
      <c r="K15">
        <f t="array" ref="K15">INDEX($G$3:$G$200,MATCH(1, (YEAR(I15)=YEAR($A$3:$A$2000))*(MONTH(I15)=MONTH($A$3:$A$2000)),0))</f>
        <v>164849.57980218195</v>
      </c>
      <c r="L15">
        <f t="shared" si="1"/>
        <v>141975.67941663699</v>
      </c>
    </row>
    <row r="16" spans="1:14" x14ac:dyDescent="0.25">
      <c r="A16" s="1">
        <v>45351</v>
      </c>
      <c r="B16">
        <v>88704.667470831599</v>
      </c>
      <c r="C16">
        <v>8928.3631617495903</v>
      </c>
      <c r="D16">
        <f t="shared" si="0"/>
        <v>97633.030632581183</v>
      </c>
      <c r="E16">
        <v>48312.027266653</v>
      </c>
      <c r="F16">
        <v>7096.0294902600799</v>
      </c>
      <c r="G16">
        <f>SUM(E16:F16,B16:C16)</f>
        <v>153041.08738949426</v>
      </c>
      <c r="H16">
        <v>14</v>
      </c>
      <c r="I16" s="1">
        <v>44973</v>
      </c>
      <c r="J16">
        <f t="array" ref="J16">INDEX($D$3:$D$62,MATCH(1, (YEAR(I16)=YEAR($A$3:$A$62))*(MONTH(I16)=MONTH($A$3:$A$62)),0))</f>
        <v>158924.7853942872</v>
      </c>
      <c r="K16">
        <f t="array" ref="K16">INDEX($G$3:$G$200,MATCH(1, (YEAR(I16)=YEAR($A$3:$A$2000))*(MONTH(I16)=MONTH($A$3:$A$2000)),0))</f>
        <v>164849.57980218195</v>
      </c>
      <c r="L16">
        <f t="shared" si="1"/>
        <v>141785.13029462399</v>
      </c>
    </row>
    <row r="17" spans="1:12" x14ac:dyDescent="0.25">
      <c r="A17" s="1">
        <v>45382</v>
      </c>
      <c r="B17">
        <v>85184.707015188105</v>
      </c>
      <c r="C17">
        <v>8740.8595545718508</v>
      </c>
      <c r="D17">
        <f t="shared" si="0"/>
        <v>93925.566569759962</v>
      </c>
      <c r="E17">
        <v>47143.730436626203</v>
      </c>
      <c r="F17">
        <v>6871.9946680972498</v>
      </c>
      <c r="G17">
        <f>SUM(E17:F17,B17:C17)</f>
        <v>147941.29167448342</v>
      </c>
      <c r="H17">
        <v>15</v>
      </c>
      <c r="I17" s="1">
        <v>44974</v>
      </c>
      <c r="J17">
        <f t="array" ref="J17">INDEX($D$3:$D$62,MATCH(1, (YEAR(I17)=YEAR($A$3:$A$62))*(MONTH(I17)=MONTH($A$3:$A$62)),0))</f>
        <v>158924.7853942872</v>
      </c>
      <c r="K17">
        <f t="array" ref="K17">INDEX($G$3:$G$200,MATCH(1, (YEAR(I17)=YEAR($A$3:$A$2000))*(MONTH(I17)=MONTH($A$3:$A$2000)),0))</f>
        <v>164849.57980218195</v>
      </c>
      <c r="L17">
        <f t="shared" si="1"/>
        <v>141594.89666031901</v>
      </c>
    </row>
    <row r="18" spans="1:12" x14ac:dyDescent="0.25">
      <c r="A18" s="1">
        <v>45412</v>
      </c>
      <c r="B18">
        <v>82300.745877717694</v>
      </c>
      <c r="C18">
        <v>8560.2567940159806</v>
      </c>
      <c r="D18">
        <f t="shared" si="0"/>
        <v>90861.002671733673</v>
      </c>
      <c r="E18">
        <v>46017.966902883403</v>
      </c>
      <c r="F18">
        <v>6656.4067035875796</v>
      </c>
      <c r="G18">
        <f>SUM(E18:F18,B18:C18)</f>
        <v>143535.37627820467</v>
      </c>
      <c r="H18">
        <v>16</v>
      </c>
      <c r="I18" s="1">
        <v>44975</v>
      </c>
      <c r="J18">
        <f t="array" ref="J18">INDEX($D$3:$D$62,MATCH(1, (YEAR(I18)=YEAR($A$3:$A$62))*(MONTH(I18)=MONTH($A$3:$A$62)),0))</f>
        <v>158924.7853942872</v>
      </c>
      <c r="K18">
        <f t="array" ref="K18">INDEX($G$3:$G$200,MATCH(1, (YEAR(I18)=YEAR($A$3:$A$2000))*(MONTH(I18)=MONTH($A$3:$A$2000)),0))</f>
        <v>164849.57980218195</v>
      </c>
      <c r="L18">
        <f t="shared" si="1"/>
        <v>141404.978095264</v>
      </c>
    </row>
    <row r="19" spans="1:12" x14ac:dyDescent="0.25">
      <c r="A19" s="1">
        <v>45443</v>
      </c>
      <c r="B19">
        <v>79303.146189639403</v>
      </c>
      <c r="C19">
        <v>8386.1389083059203</v>
      </c>
      <c r="D19">
        <f t="shared" si="0"/>
        <v>87689.285097945321</v>
      </c>
      <c r="E19">
        <v>44932.414245605498</v>
      </c>
      <c r="F19">
        <v>6448.8891820004101</v>
      </c>
      <c r="G19">
        <f>SUM(E19:F19,B19:C19)</f>
        <v>139070.58852555123</v>
      </c>
      <c r="H19">
        <v>17</v>
      </c>
      <c r="I19" s="1">
        <v>44976</v>
      </c>
      <c r="J19">
        <f t="array" ref="J19">INDEX($D$3:$D$62,MATCH(1, (YEAR(I19)=YEAR($A$3:$A$62))*(MONTH(I19)=MONTH($A$3:$A$62)),0))</f>
        <v>158924.7853942872</v>
      </c>
      <c r="K19">
        <f t="array" ref="K19">INDEX($G$3:$G$200,MATCH(1, (YEAR(I19)=YEAR($A$3:$A$2000))*(MONTH(I19)=MONTH($A$3:$A$2000)),0))</f>
        <v>164849.57980218195</v>
      </c>
      <c r="L19">
        <f t="shared" si="1"/>
        <v>141215.37418128899</v>
      </c>
    </row>
    <row r="20" spans="1:12" x14ac:dyDescent="0.25">
      <c r="A20" s="1">
        <v>45473</v>
      </c>
      <c r="B20">
        <v>76170.844409340294</v>
      </c>
      <c r="C20">
        <v>8218.1241610878405</v>
      </c>
      <c r="D20">
        <f t="shared" si="0"/>
        <v>84388.968570428129</v>
      </c>
      <c r="E20">
        <v>43884.920027883403</v>
      </c>
      <c r="F20">
        <v>6249.08455810547</v>
      </c>
      <c r="G20">
        <f>SUM(E20:F20,B20:C20)</f>
        <v>134522.97315641702</v>
      </c>
      <c r="H20">
        <v>18</v>
      </c>
      <c r="I20" s="1">
        <v>44977</v>
      </c>
      <c r="J20">
        <f t="array" ref="J20">INDEX($D$3:$D$62,MATCH(1, (YEAR(I20)=YEAR($A$3:$A$62))*(MONTH(I20)=MONTH($A$3:$A$62)),0))</f>
        <v>158924.7853942872</v>
      </c>
      <c r="K20">
        <f t="array" ref="K20">INDEX($G$3:$G$200,MATCH(1, (YEAR(I20)=YEAR($A$3:$A$2000))*(MONTH(I20)=MONTH($A$3:$A$2000)),0))</f>
        <v>164849.57980218195</v>
      </c>
      <c r="L20">
        <f t="shared" si="1"/>
        <v>141026.08450051199</v>
      </c>
    </row>
    <row r="21" spans="1:12" x14ac:dyDescent="0.25">
      <c r="A21" s="1">
        <v>45504</v>
      </c>
      <c r="B21">
        <v>72758.636574996199</v>
      </c>
      <c r="C21">
        <v>8055.8615319502996</v>
      </c>
      <c r="D21">
        <f t="shared" si="0"/>
        <v>80814.498106946499</v>
      </c>
      <c r="E21">
        <v>42873.489974172502</v>
      </c>
      <c r="F21">
        <v>6056.6532232987302</v>
      </c>
      <c r="G21">
        <f>SUM(E21:F21,B21:C21)</f>
        <v>129744.64130441773</v>
      </c>
      <c r="H21">
        <v>19</v>
      </c>
      <c r="I21" s="1">
        <v>44978</v>
      </c>
      <c r="J21">
        <f t="array" ref="J21">INDEX($D$3:$D$62,MATCH(1, (YEAR(I21)=YEAR($A$3:$A$62))*(MONTH(I21)=MONTH($A$3:$A$62)),0))</f>
        <v>158924.7853942872</v>
      </c>
      <c r="K21">
        <f t="array" ref="K21">INDEX($G$3:$G$200,MATCH(1, (YEAR(I21)=YEAR($A$3:$A$2000))*(MONTH(I21)=MONTH($A$3:$A$2000)),0))</f>
        <v>164849.57980218195</v>
      </c>
      <c r="L21">
        <f t="shared" si="1"/>
        <v>140837.10863533898</v>
      </c>
    </row>
    <row r="22" spans="1:12" x14ac:dyDescent="0.25">
      <c r="A22" s="1">
        <v>45535</v>
      </c>
      <c r="B22">
        <v>70478.459765785607</v>
      </c>
      <c r="C22">
        <v>7899.0272393477599</v>
      </c>
      <c r="D22">
        <f t="shared" si="0"/>
        <v>78377.487005133371</v>
      </c>
      <c r="E22">
        <v>41896.272486636502</v>
      </c>
      <c r="F22">
        <v>5871.27233950966</v>
      </c>
      <c r="G22">
        <f>SUM(E22:F22,B22:C22)</f>
        <v>126145.03183127953</v>
      </c>
      <c r="H22">
        <v>20</v>
      </c>
      <c r="I22" s="1">
        <v>44979</v>
      </c>
      <c r="J22">
        <f t="array" ref="J22">INDEX($D$3:$D$62,MATCH(1, (YEAR(I22)=YEAR($A$3:$A$62))*(MONTH(I22)=MONTH($A$3:$A$62)),0))</f>
        <v>158924.7853942872</v>
      </c>
      <c r="K22">
        <f t="array" ref="K22">INDEX($G$3:$G$200,MATCH(1, (YEAR(I22)=YEAR($A$3:$A$2000))*(MONTH(I22)=MONTH($A$3:$A$2000)),0))</f>
        <v>164849.57980218195</v>
      </c>
      <c r="L22">
        <f t="shared" si="1"/>
        <v>140648.446168464</v>
      </c>
    </row>
    <row r="23" spans="1:12" x14ac:dyDescent="0.25">
      <c r="A23" s="1">
        <v>45565</v>
      </c>
      <c r="B23">
        <v>68608.228651347905</v>
      </c>
      <c r="C23">
        <v>7747.3232670834204</v>
      </c>
      <c r="D23">
        <f t="shared" si="0"/>
        <v>76355.551918431331</v>
      </c>
      <c r="E23">
        <v>28311.6223787007</v>
      </c>
      <c r="F23">
        <v>5692.6348639237303</v>
      </c>
      <c r="G23">
        <f>SUM(E23:F23,B23:C23)</f>
        <v>110359.80916105576</v>
      </c>
      <c r="H23">
        <v>21</v>
      </c>
      <c r="I23" s="1">
        <v>44980</v>
      </c>
      <c r="J23">
        <f t="array" ref="J23">INDEX($D$3:$D$62,MATCH(1, (YEAR(I23)=YEAR($A$3:$A$62))*(MONTH(I23)=MONTH($A$3:$A$62)),0))</f>
        <v>158924.7853942872</v>
      </c>
      <c r="K23">
        <f t="array" ref="K23">INDEX($G$3:$G$200,MATCH(1, (YEAR(I23)=YEAR($A$3:$A$2000))*(MONTH(I23)=MONTH($A$3:$A$2000)),0))</f>
        <v>164849.57980218195</v>
      </c>
      <c r="L23">
        <f t="shared" si="1"/>
        <v>140460.09668286899</v>
      </c>
    </row>
    <row r="24" spans="1:12" x14ac:dyDescent="0.25">
      <c r="A24" s="1">
        <v>45596</v>
      </c>
      <c r="B24">
        <v>66828.426080000994</v>
      </c>
      <c r="C24">
        <v>7600.4743112664501</v>
      </c>
      <c r="D24">
        <f t="shared" si="0"/>
        <v>74428.900391267438</v>
      </c>
      <c r="E24">
        <v>27636.6834941663</v>
      </c>
      <c r="F24">
        <v>5520.4491037469197</v>
      </c>
      <c r="G24">
        <f>SUM(E24:F24,B24:C24)</f>
        <v>107586.03298918066</v>
      </c>
      <c r="H24">
        <v>22</v>
      </c>
      <c r="I24" s="1">
        <v>44981</v>
      </c>
      <c r="J24">
        <f t="array" ref="J24">INDEX($D$3:$D$62,MATCH(1, (YEAR(I24)=YEAR($A$3:$A$62))*(MONTH(I24)=MONTH($A$3:$A$62)),0))</f>
        <v>158924.7853942872</v>
      </c>
      <c r="K24">
        <f t="array" ref="K24">INDEX($G$3:$G$200,MATCH(1, (YEAR(I24)=YEAR($A$3:$A$2000))*(MONTH(I24)=MONTH($A$3:$A$2000)),0))</f>
        <v>164849.57980218195</v>
      </c>
      <c r="L24">
        <f t="shared" si="1"/>
        <v>140272.059761824</v>
      </c>
    </row>
    <row r="25" spans="1:12" x14ac:dyDescent="0.25">
      <c r="A25" s="1">
        <v>45626</v>
      </c>
      <c r="B25">
        <v>64980.621470401202</v>
      </c>
      <c r="C25">
        <v>7132.1079803466801</v>
      </c>
      <c r="D25">
        <f t="shared" si="0"/>
        <v>72112.72945074788</v>
      </c>
      <c r="E25">
        <v>26985.868875603901</v>
      </c>
      <c r="F25">
        <v>5354.4377091257202</v>
      </c>
      <c r="G25">
        <f>SUM(E25:F25,B25:C25)</f>
        <v>104453.0360354775</v>
      </c>
      <c r="H25">
        <v>23</v>
      </c>
      <c r="I25" s="1">
        <v>44982</v>
      </c>
      <c r="J25">
        <f t="array" ref="J25">INDEX($D$3:$D$62,MATCH(1, (YEAR(I25)=YEAR($A$3:$A$62))*(MONTH(I25)=MONTH($A$3:$A$62)),0))</f>
        <v>158924.7853942872</v>
      </c>
      <c r="K25">
        <f t="array" ref="K25">INDEX($G$3:$G$200,MATCH(1, (YEAR(I25)=YEAR($A$3:$A$2000))*(MONTH(I25)=MONTH($A$3:$A$2000)),0))</f>
        <v>164849.57980218195</v>
      </c>
      <c r="L25">
        <f t="shared" si="1"/>
        <v>140084.33498888699</v>
      </c>
    </row>
    <row r="26" spans="1:12" x14ac:dyDescent="0.25">
      <c r="A26" s="1">
        <v>45657</v>
      </c>
      <c r="B26">
        <v>63361.5137561999</v>
      </c>
      <c r="C26">
        <v>6951.8603692305696</v>
      </c>
      <c r="D26">
        <f t="shared" si="0"/>
        <v>70313.374125430477</v>
      </c>
      <c r="E26">
        <v>26357.953868665201</v>
      </c>
      <c r="F26">
        <v>5194.3367084703996</v>
      </c>
      <c r="G26">
        <f>SUM(E26:F26,B26:C26)</f>
        <v>101865.66470256608</v>
      </c>
      <c r="H26">
        <v>24</v>
      </c>
      <c r="I26" s="1">
        <v>44983</v>
      </c>
      <c r="J26">
        <f t="array" ref="J26">INDEX($D$3:$D$62,MATCH(1, (YEAR(I26)=YEAR($A$3:$A$62))*(MONTH(I26)=MONTH($A$3:$A$62)),0))</f>
        <v>158924.7853942872</v>
      </c>
      <c r="K26">
        <f t="array" ref="K26">INDEX($G$3:$G$200,MATCH(1, (YEAR(I26)=YEAR($A$3:$A$2000))*(MONTH(I26)=MONTH($A$3:$A$2000)),0))</f>
        <v>164849.57980218195</v>
      </c>
      <c r="L26">
        <f t="shared" si="1"/>
        <v>139896.92194790399</v>
      </c>
    </row>
    <row r="27" spans="1:12" x14ac:dyDescent="0.25">
      <c r="A27" s="1">
        <v>45688</v>
      </c>
      <c r="B27">
        <v>61676.496666356099</v>
      </c>
      <c r="C27">
        <v>6826.6484864887398</v>
      </c>
      <c r="D27">
        <f t="shared" si="0"/>
        <v>68503.145152844838</v>
      </c>
      <c r="E27">
        <v>25657.076496325</v>
      </c>
      <c r="F27">
        <v>5039.8950632195701</v>
      </c>
      <c r="G27">
        <f>SUM(E27:F27,B27:C27)</f>
        <v>99200.116712389412</v>
      </c>
      <c r="H27">
        <v>25</v>
      </c>
      <c r="I27" s="1">
        <v>44984</v>
      </c>
      <c r="J27">
        <f t="array" ref="J27">INDEX($D$3:$D$62,MATCH(1, (YEAR(I27)=YEAR($A$3:$A$62))*(MONTH(I27)=MONTH($A$3:$A$62)),0))</f>
        <v>158924.7853942872</v>
      </c>
      <c r="K27">
        <f t="array" ref="K27">INDEX($G$3:$G$200,MATCH(1, (YEAR(I27)=YEAR($A$3:$A$2000))*(MONTH(I27)=MONTH($A$3:$A$2000)),0))</f>
        <v>164849.57980218195</v>
      </c>
      <c r="L27">
        <f t="shared" si="1"/>
        <v>139709.82022300898</v>
      </c>
    </row>
    <row r="28" spans="1:12" x14ac:dyDescent="0.25">
      <c r="A28" s="1">
        <v>45716</v>
      </c>
      <c r="B28">
        <v>60070.406136763697</v>
      </c>
      <c r="C28">
        <v>6705.1102940609599</v>
      </c>
      <c r="D28">
        <f t="shared" si="0"/>
        <v>66775.51643082466</v>
      </c>
      <c r="E28">
        <v>24985.9365844727</v>
      </c>
      <c r="F28">
        <v>4890.8740953947399</v>
      </c>
      <c r="G28">
        <f>SUM(E28:F28,B28:C28)</f>
        <v>96652.327110692102</v>
      </c>
      <c r="H28">
        <v>26</v>
      </c>
      <c r="I28" s="1">
        <v>44985</v>
      </c>
      <c r="J28">
        <f t="array" ref="J28">INDEX($D$3:$D$62,MATCH(1, (YEAR(I28)=YEAR($A$3:$A$62))*(MONTH(I28)=MONTH($A$3:$A$62)),0))</f>
        <v>158924.7853942872</v>
      </c>
      <c r="K28">
        <f t="array" ref="K28">INDEX($G$3:$G$200,MATCH(1, (YEAR(I28)=YEAR($A$3:$A$2000))*(MONTH(I28)=MONTH($A$3:$A$2000)),0))</f>
        <v>164849.57980218195</v>
      </c>
      <c r="L28">
        <f t="shared" si="1"/>
        <v>139523.029398624</v>
      </c>
    </row>
    <row r="29" spans="1:12" x14ac:dyDescent="0.25">
      <c r="A29" s="1">
        <v>45747</v>
      </c>
      <c r="B29">
        <v>58581.359281038</v>
      </c>
      <c r="C29">
        <v>6587.0690493934999</v>
      </c>
      <c r="D29">
        <f t="shared" si="0"/>
        <v>65168.428330431503</v>
      </c>
      <c r="E29">
        <v>24437.400239643299</v>
      </c>
      <c r="F29">
        <v>4747.04641691509</v>
      </c>
      <c r="G29">
        <f>SUM(E29:F29,B29:C29)</f>
        <v>94352.874986989889</v>
      </c>
      <c r="H29">
        <v>27</v>
      </c>
      <c r="I29" s="1">
        <v>44986</v>
      </c>
      <c r="J29">
        <f t="array" ref="J29">INDEX($D$3:$D$62,MATCH(1, (YEAR(I29)=YEAR($A$3:$A$62))*(MONTH(I29)=MONTH($A$3:$A$62)),0))</f>
        <v>150814.54362246898</v>
      </c>
      <c r="K29">
        <f t="array" ref="K29">INDEX($G$3:$G$200,MATCH(1, (YEAR(I29)=YEAR($A$3:$A$2000))*(MONTH(I29)=MONTH($A$3:$A$2000)),0))</f>
        <v>158750.32596468361</v>
      </c>
      <c r="L29">
        <f t="shared" si="1"/>
        <v>139336.54905945901</v>
      </c>
    </row>
    <row r="30" spans="1:12" x14ac:dyDescent="0.25">
      <c r="A30" s="1">
        <v>45777</v>
      </c>
      <c r="B30">
        <v>56569.497479890502</v>
      </c>
      <c r="C30">
        <v>6472.3601266961396</v>
      </c>
      <c r="D30">
        <f t="shared" si="0"/>
        <v>63041.857606586644</v>
      </c>
      <c r="E30">
        <v>23905.994190416801</v>
      </c>
      <c r="F30">
        <v>4608.1956963790099</v>
      </c>
      <c r="G30">
        <f>SUM(E30:F30,B30:C30)</f>
        <v>91556.047493382444</v>
      </c>
      <c r="H30">
        <v>28</v>
      </c>
      <c r="I30" s="1">
        <v>44987</v>
      </c>
      <c r="J30">
        <f t="array" ref="J30">INDEX($D$3:$D$62,MATCH(1, (YEAR(I30)=YEAR($A$3:$A$62))*(MONTH(I30)=MONTH($A$3:$A$62)),0))</f>
        <v>150814.54362246898</v>
      </c>
      <c r="K30">
        <f t="array" ref="K30">INDEX($G$3:$G$200,MATCH(1, (YEAR(I30)=YEAR($A$3:$A$2000))*(MONTH(I30)=MONTH($A$3:$A$2000)),0))</f>
        <v>158750.32596468361</v>
      </c>
      <c r="L30">
        <f t="shared" si="1"/>
        <v>139150.37879051198</v>
      </c>
    </row>
    <row r="31" spans="1:12" x14ac:dyDescent="0.25">
      <c r="A31" s="1">
        <v>45808</v>
      </c>
      <c r="B31">
        <v>55007.8434873882</v>
      </c>
      <c r="C31">
        <v>6360.8305081016097</v>
      </c>
      <c r="D31">
        <f t="shared" si="0"/>
        <v>61368.673995489808</v>
      </c>
      <c r="E31">
        <v>23391.0076342131</v>
      </c>
      <c r="F31">
        <v>4474.1158533999796</v>
      </c>
      <c r="G31">
        <f>SUM(E31:F31,B31:C31)</f>
        <v>89233.797483102899</v>
      </c>
      <c r="H31">
        <v>29</v>
      </c>
      <c r="I31" s="1">
        <v>44988</v>
      </c>
      <c r="J31">
        <f t="array" ref="J31">INDEX($D$3:$D$62,MATCH(1, (YEAR(I31)=YEAR($A$3:$A$62))*(MONTH(I31)=MONTH($A$3:$A$62)),0))</f>
        <v>150814.54362246898</v>
      </c>
      <c r="K31">
        <f t="array" ref="K31">INDEX($G$3:$G$200,MATCH(1, (YEAR(I31)=YEAR($A$3:$A$2000))*(MONTH(I31)=MONTH($A$3:$A$2000)),0))</f>
        <v>158750.32596468361</v>
      </c>
      <c r="L31">
        <f t="shared" si="1"/>
        <v>138964.518177069</v>
      </c>
    </row>
    <row r="32" spans="1:12" x14ac:dyDescent="0.25">
      <c r="A32" s="1">
        <v>45838</v>
      </c>
      <c r="B32">
        <v>53444.622409218202</v>
      </c>
      <c r="C32">
        <v>6252.3373048481199</v>
      </c>
      <c r="D32">
        <f t="shared" si="0"/>
        <v>59696.959714066325</v>
      </c>
      <c r="E32">
        <v>22797.047311883201</v>
      </c>
      <c r="F32">
        <v>4344.6107829846796</v>
      </c>
      <c r="G32">
        <f>SUM(E32:F32,B32:C32)</f>
        <v>86838.617808934199</v>
      </c>
      <c r="H32">
        <v>30</v>
      </c>
      <c r="I32" s="1">
        <v>44989</v>
      </c>
      <c r="J32">
        <f t="array" ref="J32">INDEX($D$3:$D$62,MATCH(1, (YEAR(I32)=YEAR($A$3:$A$62))*(MONTH(I32)=MONTH($A$3:$A$62)),0))</f>
        <v>150814.54362246898</v>
      </c>
      <c r="K32">
        <f t="array" ref="K32">INDEX($G$3:$G$200,MATCH(1, (YEAR(I32)=YEAR($A$3:$A$2000))*(MONTH(I32)=MONTH($A$3:$A$2000)),0))</f>
        <v>158750.32596468361</v>
      </c>
      <c r="L32">
        <f t="shared" si="1"/>
        <v>138778.96680470399</v>
      </c>
    </row>
    <row r="33" spans="1:12" x14ac:dyDescent="0.25">
      <c r="A33" s="1">
        <v>45869</v>
      </c>
      <c r="B33">
        <v>51431.850794742</v>
      </c>
      <c r="C33">
        <v>6102.8805098684197</v>
      </c>
      <c r="D33">
        <f t="shared" si="0"/>
        <v>57534.731304610417</v>
      </c>
      <c r="E33">
        <v>22227.243395353598</v>
      </c>
      <c r="F33">
        <v>4219.4935710706204</v>
      </c>
      <c r="G33">
        <f>SUM(E33:F33,B33:C33)</f>
        <v>83981.468271034639</v>
      </c>
      <c r="H33">
        <v>31</v>
      </c>
      <c r="I33" s="1">
        <v>44990</v>
      </c>
      <c r="J33">
        <f t="array" ref="J33">INDEX($D$3:$D$62,MATCH(1, (YEAR(I33)=YEAR($A$3:$A$62))*(MONTH(I33)=MONTH($A$3:$A$62)),0))</f>
        <v>150814.54362246898</v>
      </c>
      <c r="K33">
        <f t="array" ref="K33">INDEX($G$3:$G$200,MATCH(1, (YEAR(I33)=YEAR($A$3:$A$2000))*(MONTH(I33)=MONTH($A$3:$A$2000)),0))</f>
        <v>158750.32596468361</v>
      </c>
      <c r="L33">
        <f t="shared" si="1"/>
        <v>138593.724259279</v>
      </c>
    </row>
    <row r="34" spans="1:12" x14ac:dyDescent="0.25">
      <c r="A34" s="1">
        <v>45900</v>
      </c>
      <c r="B34">
        <v>49720.380658601498</v>
      </c>
      <c r="C34">
        <v>6004.2721951133299</v>
      </c>
      <c r="D34">
        <f t="shared" si="0"/>
        <v>55724.652853714826</v>
      </c>
      <c r="E34">
        <v>21774.854318719201</v>
      </c>
      <c r="F34">
        <v>4098.5861871016696</v>
      </c>
      <c r="G34">
        <f>SUM(E34:F34,B34:C34)</f>
        <v>81598.093359535706</v>
      </c>
      <c r="H34">
        <v>32</v>
      </c>
      <c r="I34" s="1">
        <v>44991</v>
      </c>
      <c r="J34">
        <f t="array" ref="J34">INDEX($D$3:$D$62,MATCH(1, (YEAR(I34)=YEAR($A$3:$A$62))*(MONTH(I34)=MONTH($A$3:$A$62)),0))</f>
        <v>150814.54362246898</v>
      </c>
      <c r="K34">
        <f t="array" ref="K34">INDEX($G$3:$G$200,MATCH(1, (YEAR(I34)=YEAR($A$3:$A$2000))*(MONTH(I34)=MONTH($A$3:$A$2000)),0))</f>
        <v>158750.32596468361</v>
      </c>
      <c r="L34">
        <f t="shared" si="1"/>
        <v>138408.79012694399</v>
      </c>
    </row>
    <row r="35" spans="1:12" x14ac:dyDescent="0.25">
      <c r="A35" s="1">
        <v>45930</v>
      </c>
      <c r="B35">
        <v>48447.782022576597</v>
      </c>
      <c r="C35">
        <v>5907.9233546206797</v>
      </c>
      <c r="D35">
        <f t="shared" si="0"/>
        <v>54355.705377197279</v>
      </c>
      <c r="E35">
        <v>21334.7673918072</v>
      </c>
      <c r="F35">
        <v>3981.7189115825499</v>
      </c>
      <c r="G35">
        <f>SUM(E35:F35,B35:C35)</f>
        <v>79672.191680587028</v>
      </c>
      <c r="H35">
        <v>33</v>
      </c>
      <c r="I35" s="1">
        <v>44992</v>
      </c>
      <c r="J35">
        <f t="array" ref="J35">INDEX($D$3:$D$62,MATCH(1, (YEAR(I35)=YEAR($A$3:$A$62))*(MONTH(I35)=MONTH($A$3:$A$62)),0))</f>
        <v>150814.54362246898</v>
      </c>
      <c r="K35">
        <f t="array" ref="K35">INDEX($G$3:$G$200,MATCH(1, (YEAR(I35)=YEAR($A$3:$A$2000))*(MONTH(I35)=MONTH($A$3:$A$2000)),0))</f>
        <v>158750.32596468361</v>
      </c>
      <c r="L35">
        <f t="shared" si="1"/>
        <v>138224.16399413699</v>
      </c>
    </row>
    <row r="36" spans="1:12" x14ac:dyDescent="0.25">
      <c r="A36" s="1">
        <v>45961</v>
      </c>
      <c r="B36">
        <v>47270.686304192801</v>
      </c>
      <c r="C36">
        <v>5813.7634132786798</v>
      </c>
      <c r="D36">
        <f t="shared" si="0"/>
        <v>53084.449717471478</v>
      </c>
      <c r="E36">
        <v>20906.601899799502</v>
      </c>
      <c r="F36">
        <v>3868.7301717657801</v>
      </c>
      <c r="G36">
        <f>SUM(E36:F36,B36:C36)</f>
        <v>77859.781789036759</v>
      </c>
      <c r="H36">
        <v>34</v>
      </c>
      <c r="I36" s="1">
        <v>44993</v>
      </c>
      <c r="J36">
        <f t="array" ref="J36">INDEX($D$3:$D$62,MATCH(1, (YEAR(I36)=YEAR($A$3:$A$62))*(MONTH(I36)=MONTH($A$3:$A$62)),0))</f>
        <v>150814.54362246898</v>
      </c>
      <c r="K36">
        <f t="array" ref="K36">INDEX($G$3:$G$200,MATCH(1, (YEAR(I36)=YEAR($A$3:$A$2000))*(MONTH(I36)=MONTH($A$3:$A$2000)),0))</f>
        <v>158750.32596468361</v>
      </c>
      <c r="L36">
        <f t="shared" si="1"/>
        <v>138039.845447584</v>
      </c>
    </row>
    <row r="37" spans="1:12" x14ac:dyDescent="0.25">
      <c r="A37" s="1">
        <v>45991</v>
      </c>
      <c r="B37">
        <v>46280.660364251402</v>
      </c>
      <c r="C37">
        <v>5721.7246423018596</v>
      </c>
      <c r="D37">
        <f t="shared" si="0"/>
        <v>52002.385006553261</v>
      </c>
      <c r="E37">
        <v>20489.9897043329</v>
      </c>
      <c r="F37">
        <v>3759.4656723825601</v>
      </c>
      <c r="G37">
        <f>SUM(E37:F37,B37:C37)</f>
        <v>76251.840383268733</v>
      </c>
      <c r="H37">
        <v>35</v>
      </c>
      <c r="I37" s="1">
        <v>44994</v>
      </c>
      <c r="J37">
        <f t="array" ref="J37">INDEX($D$3:$D$62,MATCH(1, (YEAR(I37)=YEAR($A$3:$A$62))*(MONTH(I37)=MONTH($A$3:$A$62)),0))</f>
        <v>150814.54362246898</v>
      </c>
      <c r="K37">
        <f t="array" ref="K37">INDEX($G$3:$G$200,MATCH(1, (YEAR(I37)=YEAR($A$3:$A$2000))*(MONTH(I37)=MONTH($A$3:$A$2000)),0))</f>
        <v>158750.32596468361</v>
      </c>
      <c r="L37">
        <f t="shared" si="1"/>
        <v>137855.834074299</v>
      </c>
    </row>
    <row r="38" spans="1:12" x14ac:dyDescent="0.25">
      <c r="A38" s="1">
        <v>46022</v>
      </c>
      <c r="B38">
        <v>44827.529461509301</v>
      </c>
      <c r="C38">
        <v>5253.0830657959004</v>
      </c>
      <c r="D38">
        <f t="shared" si="0"/>
        <v>50080.612527305202</v>
      </c>
      <c r="E38">
        <v>20084.5744564659</v>
      </c>
      <c r="F38">
        <v>3653.7784221448401</v>
      </c>
      <c r="G38">
        <f>SUM(E38:F38,B38:C38)</f>
        <v>73818.965405915937</v>
      </c>
      <c r="H38">
        <v>36</v>
      </c>
      <c r="I38" s="1">
        <v>44995</v>
      </c>
      <c r="J38">
        <f t="array" ref="J38">INDEX($D$3:$D$62,MATCH(1, (YEAR(I38)=YEAR($A$3:$A$62))*(MONTH(I38)=MONTH($A$3:$A$62)),0))</f>
        <v>150814.54362246898</v>
      </c>
      <c r="K38">
        <f t="array" ref="K38">INDEX($G$3:$G$200,MATCH(1, (YEAR(I38)=YEAR($A$3:$A$2000))*(MONTH(I38)=MONTH($A$3:$A$2000)),0))</f>
        <v>158750.32596468361</v>
      </c>
      <c r="L38">
        <f t="shared" si="1"/>
        <v>137672.129461584</v>
      </c>
    </row>
    <row r="39" spans="1:12" x14ac:dyDescent="0.25">
      <c r="A39" s="1">
        <v>46053</v>
      </c>
      <c r="B39">
        <v>43909.471154463899</v>
      </c>
      <c r="C39">
        <v>5169.4422507838199</v>
      </c>
      <c r="D39">
        <f t="shared" si="0"/>
        <v>49078.913405247717</v>
      </c>
      <c r="E39">
        <v>19690.0120945981</v>
      </c>
      <c r="F39">
        <v>3551.5281612998601</v>
      </c>
      <c r="G39">
        <f>SUM(E39:F39,B39:C39)</f>
        <v>72320.453661145672</v>
      </c>
      <c r="H39">
        <v>37</v>
      </c>
      <c r="I39" s="1">
        <v>44996</v>
      </c>
      <c r="J39">
        <f t="array" ref="J39">INDEX($D$3:$D$62,MATCH(1, (YEAR(I39)=YEAR($A$3:$A$62))*(MONTH(I39)=MONTH($A$3:$A$62)),0))</f>
        <v>150814.54362246898</v>
      </c>
      <c r="K39">
        <f t="array" ref="K39">INDEX($G$3:$G$200,MATCH(1, (YEAR(I39)=YEAR($A$3:$A$2000))*(MONTH(I39)=MONTH($A$3:$A$2000)),0))</f>
        <v>158750.32596468361</v>
      </c>
      <c r="L39">
        <f t="shared" si="1"/>
        <v>137488.731197029</v>
      </c>
    </row>
    <row r="40" spans="1:12" x14ac:dyDescent="0.25">
      <c r="A40" s="1">
        <v>46081</v>
      </c>
      <c r="B40">
        <v>43017.317360325898</v>
      </c>
      <c r="C40">
        <v>5087.6178531044397</v>
      </c>
      <c r="D40">
        <f t="shared" si="0"/>
        <v>48104.935213430341</v>
      </c>
      <c r="E40">
        <v>19305.9703947368</v>
      </c>
      <c r="F40">
        <v>3452.5811708149199</v>
      </c>
      <c r="G40">
        <f>SUM(E40:F40,B40:C40)</f>
        <v>70863.486778982056</v>
      </c>
      <c r="H40">
        <v>38</v>
      </c>
      <c r="I40" s="1">
        <v>44997</v>
      </c>
      <c r="J40">
        <f t="array" ref="J40">INDEX($D$3:$D$62,MATCH(1, (YEAR(I40)=YEAR($A$3:$A$62))*(MONTH(I40)=MONTH($A$3:$A$62)),0))</f>
        <v>150814.54362246898</v>
      </c>
      <c r="K40">
        <f t="array" ref="K40">INDEX($G$3:$G$200,MATCH(1, (YEAR(I40)=YEAR($A$3:$A$2000))*(MONTH(I40)=MONTH($A$3:$A$2000)),0))</f>
        <v>158750.32596468361</v>
      </c>
      <c r="L40">
        <f t="shared" si="1"/>
        <v>137305.638868512</v>
      </c>
    </row>
    <row r="41" spans="1:12" x14ac:dyDescent="0.25">
      <c r="A41" s="1">
        <v>46112</v>
      </c>
      <c r="B41">
        <v>42150.069158453698</v>
      </c>
      <c r="C41">
        <v>5007.5576795076104</v>
      </c>
      <c r="D41">
        <f t="shared" si="0"/>
        <v>47157.62683796131</v>
      </c>
      <c r="E41">
        <v>18932.1273000617</v>
      </c>
      <c r="F41">
        <v>3356.8096787302102</v>
      </c>
      <c r="G41">
        <f>SUM(E41:F41,B41:C41)</f>
        <v>69446.563816753216</v>
      </c>
      <c r="H41">
        <v>39</v>
      </c>
      <c r="I41" s="1">
        <v>44998</v>
      </c>
      <c r="J41">
        <f t="array" ref="J41">INDEX($D$3:$D$62,MATCH(1, (YEAR(I41)=YEAR($A$3:$A$62))*(MONTH(I41)=MONTH($A$3:$A$62)),0))</f>
        <v>150814.54362246898</v>
      </c>
      <c r="K41">
        <f t="array" ref="K41">INDEX($G$3:$G$200,MATCH(1, (YEAR(I41)=YEAR($A$3:$A$2000))*(MONTH(I41)=MONTH($A$3:$A$2000)),0))</f>
        <v>158750.32596468361</v>
      </c>
      <c r="L41">
        <f t="shared" si="1"/>
        <v>137122.85206419899</v>
      </c>
    </row>
    <row r="42" spans="1:12" x14ac:dyDescent="0.25">
      <c r="A42" s="1">
        <v>46142</v>
      </c>
      <c r="B42">
        <v>41306.778893721697</v>
      </c>
      <c r="C42">
        <v>4929.2119484349296</v>
      </c>
      <c r="D42">
        <f t="shared" si="0"/>
        <v>46235.990842156629</v>
      </c>
      <c r="E42">
        <v>18568.1723664936</v>
      </c>
      <c r="F42">
        <v>3264.0917700516602</v>
      </c>
      <c r="G42">
        <f>SUM(E42:F42,B42:C42)</f>
        <v>68068.25497870188</v>
      </c>
      <c r="H42">
        <v>40</v>
      </c>
      <c r="I42" s="1">
        <v>44999</v>
      </c>
      <c r="J42">
        <f t="array" ref="J42">INDEX($D$3:$D$62,MATCH(1, (YEAR(I42)=YEAR($A$3:$A$62))*(MONTH(I42)=MONTH($A$3:$A$62)),0))</f>
        <v>150814.54362246898</v>
      </c>
      <c r="K42">
        <f t="array" ref="K42">INDEX($G$3:$G$200,MATCH(1, (YEAR(I42)=YEAR($A$3:$A$2000))*(MONTH(I42)=MONTH($A$3:$A$2000)),0))</f>
        <v>158750.32596468361</v>
      </c>
      <c r="L42">
        <f t="shared" si="1"/>
        <v>136940.37037254398</v>
      </c>
    </row>
    <row r="43" spans="1:12" x14ac:dyDescent="0.25">
      <c r="A43" s="1">
        <v>46173</v>
      </c>
      <c r="B43">
        <v>40486.5439686022</v>
      </c>
      <c r="C43">
        <v>4852.5323995489798</v>
      </c>
      <c r="D43">
        <f t="shared" si="0"/>
        <v>45339.076368151182</v>
      </c>
      <c r="E43">
        <v>18213.804514031701</v>
      </c>
      <c r="F43">
        <v>3174.3110475239</v>
      </c>
      <c r="G43">
        <f>SUM(E43:F43,B43:C43)</f>
        <v>66727.19192970678</v>
      </c>
      <c r="H43">
        <v>41</v>
      </c>
      <c r="I43" s="1">
        <v>45000</v>
      </c>
      <c r="J43">
        <f t="array" ref="J43">INDEX($D$3:$D$62,MATCH(1, (YEAR(I43)=YEAR($A$3:$A$62))*(MONTH(I43)=MONTH($A$3:$A$62)),0))</f>
        <v>150814.54362246898</v>
      </c>
      <c r="K43">
        <f t="array" ref="K43">INDEX($G$3:$G$200,MATCH(1, (YEAR(I43)=YEAR($A$3:$A$2000))*(MONTH(I43)=MONTH($A$3:$A$2000)),0))</f>
        <v>158750.32596468361</v>
      </c>
      <c r="L43">
        <f t="shared" si="1"/>
        <v>136758.193382289</v>
      </c>
    </row>
    <row r="44" spans="1:12" x14ac:dyDescent="0.25">
      <c r="A44" s="1">
        <v>46203</v>
      </c>
      <c r="B44">
        <v>39539.488425003903</v>
      </c>
      <c r="C44">
        <v>4777.4728237754398</v>
      </c>
      <c r="D44">
        <f t="shared" si="0"/>
        <v>44316.961248779342</v>
      </c>
      <c r="E44">
        <v>17868.732990465702</v>
      </c>
      <c r="F44">
        <v>2996.7433772036902</v>
      </c>
      <c r="G44">
        <f>SUM(E44:F44,B44:C44)</f>
        <v>65182.437616448733</v>
      </c>
      <c r="H44">
        <v>42</v>
      </c>
      <c r="I44" s="1">
        <v>45001</v>
      </c>
      <c r="J44">
        <f t="array" ref="J44">INDEX($D$3:$D$62,MATCH(1, (YEAR(I44)=YEAR($A$3:$A$62))*(MONTH(I44)=MONTH($A$3:$A$62)),0))</f>
        <v>150814.54362246898</v>
      </c>
      <c r="K44">
        <f t="array" ref="K44">INDEX($G$3:$G$200,MATCH(1, (YEAR(I44)=YEAR($A$3:$A$2000))*(MONTH(I44)=MONTH($A$3:$A$2000)),0))</f>
        <v>158750.32596468361</v>
      </c>
      <c r="L44">
        <f t="shared" si="1"/>
        <v>136576.32068246399</v>
      </c>
    </row>
    <row r="45" spans="1:12" x14ac:dyDescent="0.25">
      <c r="A45" s="1">
        <v>46234</v>
      </c>
      <c r="B45">
        <v>38672.514371370002</v>
      </c>
      <c r="C45">
        <v>4703.9887717799102</v>
      </c>
      <c r="D45">
        <f t="shared" si="0"/>
        <v>43376.503143149908</v>
      </c>
      <c r="E45">
        <v>17532.676391601599</v>
      </c>
      <c r="F45">
        <v>2826.981282445</v>
      </c>
      <c r="G45">
        <f>SUM(E45:F45,B45:C45)</f>
        <v>63736.160817196505</v>
      </c>
      <c r="H45">
        <v>43</v>
      </c>
      <c r="I45" s="1">
        <v>45002</v>
      </c>
      <c r="J45">
        <f t="array" ref="J45">INDEX($D$3:$D$62,MATCH(1, (YEAR(I45)=YEAR($A$3:$A$62))*(MONTH(I45)=MONTH($A$3:$A$62)),0))</f>
        <v>150814.54362246898</v>
      </c>
      <c r="K45">
        <f t="array" ref="K45">INDEX($G$3:$G$200,MATCH(1, (YEAR(I45)=YEAR($A$3:$A$2000))*(MONTH(I45)=MONTH($A$3:$A$2000)),0))</f>
        <v>158750.32596468361</v>
      </c>
      <c r="L45">
        <f t="shared" si="1"/>
        <v>136394.751862387</v>
      </c>
    </row>
    <row r="46" spans="1:12" x14ac:dyDescent="0.25">
      <c r="A46" s="1">
        <v>46265</v>
      </c>
      <c r="B46">
        <v>37640.900894968101</v>
      </c>
      <c r="C46">
        <v>4632.0372147409498</v>
      </c>
      <c r="D46">
        <f t="shared" si="0"/>
        <v>42272.938109709052</v>
      </c>
      <c r="E46">
        <v>17205.363014622701</v>
      </c>
      <c r="F46">
        <v>2664.6378589830902</v>
      </c>
      <c r="G46">
        <f>SUM(E46:F46,B46:C46)</f>
        <v>62142.938983314845</v>
      </c>
      <c r="H46">
        <v>44</v>
      </c>
      <c r="I46" s="1">
        <v>45003</v>
      </c>
      <c r="J46">
        <f t="array" ref="J46">INDEX($D$3:$D$62,MATCH(1, (YEAR(I46)=YEAR($A$3:$A$62))*(MONTH(I46)=MONTH($A$3:$A$62)),0))</f>
        <v>150814.54362246898</v>
      </c>
      <c r="K46">
        <f t="array" ref="K46">INDEX($G$3:$G$200,MATCH(1, (YEAR(I46)=YEAR($A$3:$A$2000))*(MONTH(I46)=MONTH($A$3:$A$2000)),0))</f>
        <v>158750.32596468361</v>
      </c>
      <c r="L46">
        <f t="shared" si="1"/>
        <v>136213.486511664</v>
      </c>
    </row>
    <row r="47" spans="1:12" x14ac:dyDescent="0.25">
      <c r="A47" s="1">
        <v>46295</v>
      </c>
      <c r="B47">
        <v>36931.244446603901</v>
      </c>
      <c r="C47">
        <v>4561.5769630833702</v>
      </c>
      <c r="D47">
        <f t="shared" si="0"/>
        <v>41492.821409687269</v>
      </c>
      <c r="E47">
        <v>16886.529942562702</v>
      </c>
      <c r="F47">
        <v>2554.65320723684</v>
      </c>
      <c r="G47">
        <f>SUM(E47:F47,B47:C47)</f>
        <v>60934.004559486813</v>
      </c>
      <c r="H47">
        <v>45</v>
      </c>
      <c r="I47" s="1">
        <v>45004</v>
      </c>
      <c r="J47">
        <f t="array" ref="J47">INDEX($D$3:$D$62,MATCH(1, (YEAR(I47)=YEAR($A$3:$A$62))*(MONTH(I47)=MONTH($A$3:$A$62)),0))</f>
        <v>150814.54362246898</v>
      </c>
      <c r="K47">
        <f t="array" ref="K47">INDEX($G$3:$G$200,MATCH(1, (YEAR(I47)=YEAR($A$3:$A$2000))*(MONTH(I47)=MONTH($A$3:$A$2000)),0))</f>
        <v>158750.32596468361</v>
      </c>
      <c r="L47">
        <f t="shared" si="1"/>
        <v>136032.52422018899</v>
      </c>
    </row>
    <row r="48" spans="1:12" x14ac:dyDescent="0.25">
      <c r="A48" s="1">
        <v>46326</v>
      </c>
      <c r="B48">
        <v>36239.282724480901</v>
      </c>
      <c r="C48">
        <v>4492.5680940326902</v>
      </c>
      <c r="D48">
        <f t="shared" si="0"/>
        <v>40731.850818513594</v>
      </c>
      <c r="E48">
        <v>16575.9223215204</v>
      </c>
      <c r="F48">
        <v>2494.1374897204</v>
      </c>
      <c r="G48">
        <f>SUM(E48:F48,B48:C48)</f>
        <v>59801.910629754399</v>
      </c>
      <c r="H48">
        <v>46</v>
      </c>
      <c r="I48" s="1">
        <v>45005</v>
      </c>
      <c r="J48">
        <f t="array" ref="J48">INDEX($D$3:$D$62,MATCH(1, (YEAR(I48)=YEAR($A$3:$A$62))*(MONTH(I48)=MONTH($A$3:$A$62)),0))</f>
        <v>150814.54362246898</v>
      </c>
      <c r="K48">
        <f t="array" ref="K48">INDEX($G$3:$G$200,MATCH(1, (YEAR(I48)=YEAR($A$3:$A$2000))*(MONTH(I48)=MONTH($A$3:$A$2000)),0))</f>
        <v>158750.32596468361</v>
      </c>
      <c r="L48">
        <f t="shared" si="1"/>
        <v>135851.86457814398</v>
      </c>
    </row>
    <row r="49" spans="1:12" x14ac:dyDescent="0.25">
      <c r="A49" s="1">
        <v>46356</v>
      </c>
      <c r="B49">
        <v>35418.632627788298</v>
      </c>
      <c r="C49">
        <v>3766.1215070222602</v>
      </c>
      <c r="D49">
        <f t="shared" si="0"/>
        <v>39184.754134810559</v>
      </c>
      <c r="E49">
        <v>16273.294195877899</v>
      </c>
      <c r="F49">
        <v>2435.0552605879898</v>
      </c>
      <c r="G49">
        <f>SUM(E49:F49,B49:C49)</f>
        <v>57893.103591276449</v>
      </c>
      <c r="H49">
        <v>47</v>
      </c>
      <c r="I49" s="1">
        <v>45006</v>
      </c>
      <c r="J49">
        <f t="array" ref="J49">INDEX($D$3:$D$62,MATCH(1, (YEAR(I49)=YEAR($A$3:$A$62))*(MONTH(I49)=MONTH($A$3:$A$62)),0))</f>
        <v>150814.54362246898</v>
      </c>
      <c r="K49">
        <f t="array" ref="K49">INDEX($G$3:$G$200,MATCH(1, (YEAR(I49)=YEAR($A$3:$A$2000))*(MONTH(I49)=MONTH($A$3:$A$2000)),0))</f>
        <v>158750.32596468361</v>
      </c>
      <c r="L49">
        <f t="shared" si="1"/>
        <v>135671.507175999</v>
      </c>
    </row>
    <row r="50" spans="1:12" x14ac:dyDescent="0.25">
      <c r="A50" s="1">
        <v>46387</v>
      </c>
      <c r="B50">
        <v>34765.000184711702</v>
      </c>
      <c r="C50">
        <v>3703.4390143143501</v>
      </c>
      <c r="D50">
        <f t="shared" si="0"/>
        <v>38468.439199026048</v>
      </c>
      <c r="E50">
        <v>15978.4074964021</v>
      </c>
      <c r="F50">
        <v>2377.37259714227</v>
      </c>
      <c r="G50">
        <f>SUM(E50:F50,B50:C50)</f>
        <v>56824.219292570429</v>
      </c>
      <c r="H50">
        <v>48</v>
      </c>
      <c r="I50" s="1">
        <v>45007</v>
      </c>
      <c r="J50">
        <f t="array" ref="J50">INDEX($D$3:$D$62,MATCH(1, (YEAR(I50)=YEAR($A$3:$A$62))*(MONTH(I50)=MONTH($A$3:$A$62)),0))</f>
        <v>150814.54362246898</v>
      </c>
      <c r="K50">
        <f t="array" ref="K50">INDEX($G$3:$G$200,MATCH(1, (YEAR(I50)=YEAR($A$3:$A$2000))*(MONTH(I50)=MONTH($A$3:$A$2000)),0))</f>
        <v>158750.32596468361</v>
      </c>
      <c r="L50">
        <f t="shared" si="1"/>
        <v>135491.451604512</v>
      </c>
    </row>
    <row r="51" spans="1:12" x14ac:dyDescent="0.25">
      <c r="A51" s="1">
        <v>46418</v>
      </c>
      <c r="B51">
        <v>33531.760872288804</v>
      </c>
      <c r="C51">
        <v>3642.0775244461902</v>
      </c>
      <c r="D51">
        <f t="shared" si="0"/>
        <v>37173.838396734995</v>
      </c>
      <c r="E51">
        <v>15691.0319438734</v>
      </c>
      <c r="F51">
        <v>2321.05633994655</v>
      </c>
      <c r="G51">
        <f>SUM(E51:F51,B51:C51)</f>
        <v>55185.926680554949</v>
      </c>
      <c r="H51">
        <v>49</v>
      </c>
      <c r="I51" s="1">
        <v>45008</v>
      </c>
      <c r="J51">
        <f t="array" ref="J51">INDEX($D$3:$D$62,MATCH(1, (YEAR(I51)=YEAR($A$3:$A$62))*(MONTH(I51)=MONTH($A$3:$A$62)),0))</f>
        <v>150814.54362246898</v>
      </c>
      <c r="K51">
        <f t="array" ref="K51">INDEX($G$3:$G$200,MATCH(1, (YEAR(I51)=YEAR($A$3:$A$2000))*(MONTH(I51)=MONTH($A$3:$A$2000)),0))</f>
        <v>158750.32596468361</v>
      </c>
      <c r="L51">
        <f t="shared" si="1"/>
        <v>135311.697454729</v>
      </c>
    </row>
    <row r="52" spans="1:12" x14ac:dyDescent="0.25">
      <c r="A52" s="1">
        <v>46446</v>
      </c>
      <c r="B52">
        <v>32624.772142109101</v>
      </c>
      <c r="C52">
        <v>3582.0025051719299</v>
      </c>
      <c r="D52">
        <f t="shared" si="0"/>
        <v>36206.774647281032</v>
      </c>
      <c r="E52">
        <v>15410.944302207499</v>
      </c>
      <c r="F52">
        <v>2266.0741776315799</v>
      </c>
      <c r="G52">
        <f>SUM(E52:F52,B52:C52)</f>
        <v>53883.793127120109</v>
      </c>
      <c r="H52">
        <v>50</v>
      </c>
      <c r="I52" s="1">
        <v>45009</v>
      </c>
      <c r="J52">
        <f t="array" ref="J52">INDEX($D$3:$D$62,MATCH(1, (YEAR(I52)=YEAR($A$3:$A$62))*(MONTH(I52)=MONTH($A$3:$A$62)),0))</f>
        <v>150814.54362246898</v>
      </c>
      <c r="K52">
        <f t="array" ref="K52">INDEX($G$3:$G$200,MATCH(1, (YEAR(I52)=YEAR($A$3:$A$2000))*(MONTH(I52)=MONTH($A$3:$A$2000)),0))</f>
        <v>158750.32596468361</v>
      </c>
      <c r="L52">
        <f t="shared" si="1"/>
        <v>135132.244317984</v>
      </c>
    </row>
    <row r="53" spans="1:12" x14ac:dyDescent="0.25">
      <c r="A53" s="1">
        <v>46477</v>
      </c>
      <c r="B53">
        <v>32040.6116887143</v>
      </c>
      <c r="C53">
        <v>3523.1805956388798</v>
      </c>
      <c r="D53">
        <f t="shared" si="0"/>
        <v>35563.792284353178</v>
      </c>
      <c r="E53">
        <v>15137.929020931801</v>
      </c>
      <c r="F53">
        <v>2212.3944348786999</v>
      </c>
      <c r="G53">
        <f>SUM(E53:F53,B53:C53)</f>
        <v>52914.115740163681</v>
      </c>
      <c r="H53">
        <v>51</v>
      </c>
      <c r="I53" s="1">
        <v>45010</v>
      </c>
      <c r="J53">
        <f t="array" ref="J53">INDEX($D$3:$D$62,MATCH(1, (YEAR(I53)=YEAR($A$3:$A$62))*(MONTH(I53)=MONTH($A$3:$A$62)),0))</f>
        <v>150814.54362246898</v>
      </c>
      <c r="K53">
        <f t="array" ref="K53">INDEX($G$3:$G$200,MATCH(1, (YEAR(I53)=YEAR($A$3:$A$2000))*(MONTH(I53)=MONTH($A$3:$A$2000)),0))</f>
        <v>158750.32596468361</v>
      </c>
      <c r="L53">
        <f t="shared" si="1"/>
        <v>134953.09178589899</v>
      </c>
    </row>
    <row r="54" spans="1:12" x14ac:dyDescent="0.25">
      <c r="A54" s="1">
        <v>46507</v>
      </c>
      <c r="B54">
        <v>31172.779689587998</v>
      </c>
      <c r="C54">
        <v>3465.5794579756898</v>
      </c>
      <c r="D54">
        <f t="shared" si="0"/>
        <v>34638.359147563686</v>
      </c>
      <c r="E54">
        <v>14871.777448152199</v>
      </c>
      <c r="F54">
        <v>2159.9862844366799</v>
      </c>
      <c r="G54">
        <f>SUM(E54:F54,B54:C54)</f>
        <v>51670.122880152572</v>
      </c>
      <c r="H54">
        <v>52</v>
      </c>
      <c r="I54" s="1">
        <v>45011</v>
      </c>
      <c r="J54">
        <f t="array" ref="J54">INDEX($D$3:$D$62,MATCH(1, (YEAR(I54)=YEAR($A$3:$A$62))*(MONTH(I54)=MONTH($A$3:$A$62)),0))</f>
        <v>150814.54362246898</v>
      </c>
      <c r="K54">
        <f t="array" ref="K54">INDEX($G$3:$G$200,MATCH(1, (YEAR(I54)=YEAR($A$3:$A$2000))*(MONTH(I54)=MONTH($A$3:$A$2000)),0))</f>
        <v>158750.32596468361</v>
      </c>
      <c r="L54">
        <f t="shared" si="1"/>
        <v>134774.23945038399</v>
      </c>
    </row>
    <row r="55" spans="1:12" x14ac:dyDescent="0.25">
      <c r="A55" s="1">
        <v>46538</v>
      </c>
      <c r="B55">
        <v>30425.844397293899</v>
      </c>
      <c r="C55">
        <v>3409.1679999100502</v>
      </c>
      <c r="D55">
        <f t="shared" si="0"/>
        <v>33835.012397203951</v>
      </c>
      <c r="E55">
        <v>14612.2876538728</v>
      </c>
      <c r="F55">
        <v>2108.8195775082199</v>
      </c>
      <c r="G55">
        <f>SUM(E55:F55,B55:C55)</f>
        <v>50556.119628584966</v>
      </c>
      <c r="H55">
        <v>53</v>
      </c>
      <c r="I55" s="1">
        <v>45012</v>
      </c>
      <c r="J55">
        <f t="array" ref="J55">INDEX($D$3:$D$62,MATCH(1, (YEAR(I55)=YEAR($A$3:$A$62))*(MONTH(I55)=MONTH($A$3:$A$62)),0))</f>
        <v>150814.54362246898</v>
      </c>
      <c r="K55">
        <f t="array" ref="K55">INDEX($G$3:$G$200,MATCH(1, (YEAR(I55)=YEAR($A$3:$A$2000))*(MONTH(I55)=MONTH($A$3:$A$2000)),0))</f>
        <v>158750.32596468361</v>
      </c>
      <c r="L55">
        <f t="shared" si="1"/>
        <v>134595.68690363699</v>
      </c>
    </row>
    <row r="56" spans="1:12" x14ac:dyDescent="0.25">
      <c r="A56" s="1">
        <v>46568</v>
      </c>
      <c r="B56">
        <v>29898.172760009798</v>
      </c>
      <c r="C56">
        <v>3353.9159454345699</v>
      </c>
      <c r="D56">
        <f t="shared" si="0"/>
        <v>33252.088705444366</v>
      </c>
      <c r="E56">
        <v>14213.7101986534</v>
      </c>
      <c r="F56">
        <v>2058.86497096012</v>
      </c>
      <c r="G56">
        <f>SUM(E56:F56,B56:C56)</f>
        <v>49524.663875057893</v>
      </c>
      <c r="H56">
        <v>54</v>
      </c>
      <c r="I56" s="1">
        <v>45013</v>
      </c>
      <c r="J56">
        <f t="array" ref="J56">INDEX($D$3:$D$62,MATCH(1, (YEAR(I56)=YEAR($A$3:$A$62))*(MONTH(I56)=MONTH($A$3:$A$62)),0))</f>
        <v>150814.54362246898</v>
      </c>
      <c r="K56">
        <f t="array" ref="K56">INDEX($G$3:$G$200,MATCH(1, (YEAR(I56)=YEAR($A$3:$A$2000))*(MONTH(I56)=MONTH($A$3:$A$2000)),0))</f>
        <v>158750.32596468361</v>
      </c>
      <c r="L56">
        <f t="shared" si="1"/>
        <v>134417.433738144</v>
      </c>
    </row>
    <row r="57" spans="1:12" x14ac:dyDescent="0.25">
      <c r="A57" s="1">
        <v>46599</v>
      </c>
      <c r="B57">
        <v>29235.0421383506</v>
      </c>
      <c r="C57">
        <v>3299.7942217375098</v>
      </c>
      <c r="D57">
        <f t="shared" si="0"/>
        <v>32534.836360088109</v>
      </c>
      <c r="E57">
        <v>13824.8576676218</v>
      </c>
      <c r="F57">
        <v>2010.09367290296</v>
      </c>
      <c r="G57">
        <f>SUM(E57:F57,B57:C57)</f>
        <v>48369.787700612869</v>
      </c>
      <c r="H57">
        <v>55</v>
      </c>
      <c r="I57" s="1">
        <v>45014</v>
      </c>
      <c r="J57">
        <f t="array" ref="J57">INDEX($D$3:$D$62,MATCH(1, (YEAR(I57)=YEAR($A$3:$A$62))*(MONTH(I57)=MONTH($A$3:$A$62)),0))</f>
        <v>150814.54362246898</v>
      </c>
      <c r="K57">
        <f t="array" ref="K57">INDEX($G$3:$G$200,MATCH(1, (YEAR(I57)=YEAR($A$3:$A$2000))*(MONTH(I57)=MONTH($A$3:$A$2000)),0))</f>
        <v>158750.32596468361</v>
      </c>
      <c r="L57">
        <f t="shared" si="1"/>
        <v>134239.47954667901</v>
      </c>
    </row>
    <row r="58" spans="1:12" x14ac:dyDescent="0.25">
      <c r="A58" s="1">
        <v>46630</v>
      </c>
      <c r="B58">
        <v>28736.058747141</v>
      </c>
      <c r="C58">
        <v>3246.7743390535102</v>
      </c>
      <c r="D58">
        <f t="shared" si="0"/>
        <v>31982.833086194511</v>
      </c>
      <c r="E58">
        <v>13445.465248509499</v>
      </c>
      <c r="F58">
        <v>1962.4777395148001</v>
      </c>
      <c r="G58">
        <f>SUM(E58:F58,B58:C58)</f>
        <v>47390.776074218811</v>
      </c>
      <c r="H58">
        <v>56</v>
      </c>
      <c r="I58" s="1">
        <v>45015</v>
      </c>
      <c r="J58">
        <f t="array" ref="J58">INDEX($D$3:$D$62,MATCH(1, (YEAR(I58)=YEAR($A$3:$A$62))*(MONTH(I58)=MONTH($A$3:$A$62)),0))</f>
        <v>150814.54362246898</v>
      </c>
      <c r="K58">
        <f t="array" ref="K58">INDEX($G$3:$G$200,MATCH(1, (YEAR(I58)=YEAR($A$3:$A$2000))*(MONTH(I58)=MONTH($A$3:$A$2000)),0))</f>
        <v>158750.32596468361</v>
      </c>
      <c r="L58">
        <f t="shared" si="1"/>
        <v>134061.823922304</v>
      </c>
    </row>
    <row r="59" spans="1:12" x14ac:dyDescent="0.25">
      <c r="A59" s="1">
        <v>46660</v>
      </c>
      <c r="B59">
        <v>28247.767542788901</v>
      </c>
      <c r="C59">
        <v>3194.8290108128599</v>
      </c>
      <c r="D59">
        <f t="shared" si="0"/>
        <v>31442.596553601761</v>
      </c>
      <c r="E59">
        <v>13123.5018920898</v>
      </c>
      <c r="F59">
        <v>1915.98973581414</v>
      </c>
      <c r="G59">
        <f>SUM(E59:F59,B59:C59)</f>
        <v>46482.0881815057</v>
      </c>
      <c r="H59">
        <v>57</v>
      </c>
      <c r="I59" s="1">
        <v>45016</v>
      </c>
      <c r="J59">
        <f t="array" ref="J59">INDEX($D$3:$D$62,MATCH(1, (YEAR(I59)=YEAR($A$3:$A$62))*(MONTH(I59)=MONTH($A$3:$A$62)),0))</f>
        <v>150814.54362246898</v>
      </c>
      <c r="K59">
        <f t="array" ref="K59">INDEX($G$3:$G$200,MATCH(1, (YEAR(I59)=YEAR($A$3:$A$2000))*(MONTH(I59)=MONTH($A$3:$A$2000)),0))</f>
        <v>158750.32596468361</v>
      </c>
      <c r="L59">
        <f t="shared" si="1"/>
        <v>133884.46645836899</v>
      </c>
    </row>
    <row r="60" spans="1:12" x14ac:dyDescent="0.25">
      <c r="A60" s="1">
        <v>46691</v>
      </c>
      <c r="B60">
        <v>27769.861823634099</v>
      </c>
      <c r="C60">
        <v>3143.9317349082498</v>
      </c>
      <c r="D60">
        <f t="shared" si="0"/>
        <v>30913.793558542347</v>
      </c>
      <c r="E60">
        <v>12762.873920641399</v>
      </c>
      <c r="F60">
        <v>1870.60299008018</v>
      </c>
      <c r="G60">
        <f>SUM(E60:F60,B60:C60)</f>
        <v>45547.270469263931</v>
      </c>
      <c r="H60">
        <v>58</v>
      </c>
      <c r="I60" s="1">
        <v>45017</v>
      </c>
      <c r="J60">
        <f t="array" ref="J60">INDEX($D$3:$D$62,MATCH(1, (YEAR(I60)=YEAR($A$3:$A$62))*(MONTH(I60)=MONTH($A$3:$A$62)),0))</f>
        <v>143709.16188145691</v>
      </c>
      <c r="K60">
        <f t="array" ref="K60">INDEX($G$3:$G$200,MATCH(1, (YEAR(I60)=YEAR($A$3:$A$2000))*(MONTH(I60)=MONTH($A$3:$A$2000)),0))</f>
        <v>158485.75094781502</v>
      </c>
      <c r="L60">
        <f t="shared" si="1"/>
        <v>133707.406748512</v>
      </c>
    </row>
    <row r="61" spans="1:12" x14ac:dyDescent="0.25">
      <c r="A61" s="1">
        <v>46721</v>
      </c>
      <c r="B61">
        <v>26902.960614656098</v>
      </c>
      <c r="C61">
        <v>3094.0567459909498</v>
      </c>
      <c r="D61">
        <f t="shared" si="0"/>
        <v>29997.017360647049</v>
      </c>
      <c r="E61">
        <v>12410.869991904799</v>
      </c>
      <c r="F61">
        <v>1826.2913182308801</v>
      </c>
      <c r="G61">
        <f>SUM(E61:F61,B61:C61)</f>
        <v>44234.178670782727</v>
      </c>
      <c r="H61">
        <v>59</v>
      </c>
      <c r="I61" s="1">
        <v>45018</v>
      </c>
      <c r="J61">
        <f t="array" ref="J61">INDEX($D$3:$D$62,MATCH(1, (YEAR(I61)=YEAR($A$3:$A$62))*(MONTH(I61)=MONTH($A$3:$A$62)),0))</f>
        <v>143709.16188145691</v>
      </c>
      <c r="K61">
        <f t="array" ref="K61">INDEX($G$3:$G$200,MATCH(1, (YEAR(I61)=YEAR($A$3:$A$2000))*(MONTH(I61)=MONTH($A$3:$A$2000)),0))</f>
        <v>158485.75094781502</v>
      </c>
      <c r="L61">
        <f t="shared" si="1"/>
        <v>133530.644386659</v>
      </c>
    </row>
    <row r="62" spans="1:12" x14ac:dyDescent="0.25">
      <c r="A62" s="1">
        <v>46752</v>
      </c>
      <c r="B62">
        <v>26446.980831748599</v>
      </c>
      <c r="C62">
        <v>2898.8355979517901</v>
      </c>
      <c r="D62">
        <f t="shared" si="0"/>
        <v>29345.81642970039</v>
      </c>
      <c r="E62">
        <v>12067.260115774099</v>
      </c>
      <c r="F62">
        <v>1783.02934184827</v>
      </c>
      <c r="G62">
        <f>SUM(E62:F62,B62:C62)</f>
        <v>43196.105887322752</v>
      </c>
      <c r="H62">
        <v>60</v>
      </c>
      <c r="I62" s="1">
        <v>45019</v>
      </c>
      <c r="J62">
        <f t="array" ref="J62">INDEX($D$3:$D$62,MATCH(1, (YEAR(I62)=YEAR($A$3:$A$62))*(MONTH(I62)=MONTH($A$3:$A$62)),0))</f>
        <v>143709.16188145691</v>
      </c>
      <c r="K62">
        <f t="array" ref="K62">INDEX($G$3:$G$200,MATCH(1, (YEAR(I62)=YEAR($A$3:$A$2000))*(MONTH(I62)=MONTH($A$3:$A$2000)),0))</f>
        <v>158485.75094781502</v>
      </c>
      <c r="L62">
        <f t="shared" si="1"/>
        <v>133354.178967024</v>
      </c>
    </row>
    <row r="63" spans="1:12" x14ac:dyDescent="0.25">
      <c r="D63">
        <f t="shared" si="0"/>
        <v>0</v>
      </c>
      <c r="E63">
        <v>11877.3741230212</v>
      </c>
      <c r="F63">
        <v>1740.7921489514799</v>
      </c>
      <c r="H63">
        <v>61</v>
      </c>
      <c r="I63" s="1">
        <v>45020</v>
      </c>
      <c r="J63">
        <f t="array" ref="J63">INDEX($D$3:$D$62,MATCH(1, (YEAR(I63)=YEAR($A$3:$A$62))*(MONTH(I63)=MONTH($A$3:$A$62)),0))</f>
        <v>143709.16188145691</v>
      </c>
      <c r="K63">
        <f t="array" ref="K63">INDEX($G$3:$G$200,MATCH(1, (YEAR(I63)=YEAR($A$3:$A$2000))*(MONTH(I63)=MONTH($A$3:$A$2000)),0))</f>
        <v>158485.75094781502</v>
      </c>
      <c r="L63">
        <f t="shared" si="1"/>
        <v>133178.010084109</v>
      </c>
    </row>
    <row r="64" spans="1:12" x14ac:dyDescent="0.25">
      <c r="D64">
        <f t="shared" si="0"/>
        <v>0</v>
      </c>
      <c r="E64">
        <v>11546.440124511701</v>
      </c>
      <c r="F64">
        <v>1699.5555272152601</v>
      </c>
      <c r="H64">
        <v>62</v>
      </c>
      <c r="I64" s="1">
        <v>45021</v>
      </c>
      <c r="J64">
        <f t="array" ref="J64">INDEX($D$3:$D$62,MATCH(1, (YEAR(I64)=YEAR($A$3:$A$62))*(MONTH(I64)=MONTH($A$3:$A$62)),0))</f>
        <v>143709.16188145691</v>
      </c>
      <c r="K64">
        <f t="array" ref="K64">INDEX($G$3:$G$200,MATCH(1, (YEAR(I64)=YEAR($A$3:$A$2000))*(MONTH(I64)=MONTH($A$3:$A$2000)),0))</f>
        <v>158485.75094781502</v>
      </c>
      <c r="L64">
        <f t="shared" si="1"/>
        <v>133002.13733270401</v>
      </c>
    </row>
    <row r="65" spans="4:12" x14ac:dyDescent="0.25">
      <c r="D65">
        <f t="shared" si="0"/>
        <v>0</v>
      </c>
      <c r="E65">
        <v>11223.330688476601</v>
      </c>
      <c r="F65">
        <v>1659.29570954975</v>
      </c>
      <c r="H65">
        <v>63</v>
      </c>
      <c r="I65" s="1">
        <v>45022</v>
      </c>
      <c r="J65">
        <f t="array" ref="J65">INDEX($D$3:$D$62,MATCH(1, (YEAR(I65)=YEAR($A$3:$A$62))*(MONTH(I65)=MONTH($A$3:$A$62)),0))</f>
        <v>143709.16188145691</v>
      </c>
      <c r="K65">
        <f t="array" ref="K65">INDEX($G$3:$G$200,MATCH(1, (YEAR(I65)=YEAR($A$3:$A$2000))*(MONTH(I65)=MONTH($A$3:$A$2000)),0))</f>
        <v>158485.75094781502</v>
      </c>
      <c r="L65">
        <f t="shared" si="1"/>
        <v>132826.560307887</v>
      </c>
    </row>
    <row r="66" spans="4:12" x14ac:dyDescent="0.25">
      <c r="D66">
        <f t="shared" si="0"/>
        <v>0</v>
      </c>
      <c r="E66">
        <v>11053.392526727001</v>
      </c>
      <c r="F66">
        <v>1619.9896285207601</v>
      </c>
      <c r="H66">
        <v>64</v>
      </c>
      <c r="I66" s="1">
        <v>45023</v>
      </c>
      <c r="J66">
        <f t="array" ref="J66">INDEX($D$3:$D$62,MATCH(1, (YEAR(I66)=YEAR($A$3:$A$62))*(MONTH(I66)=MONTH($A$3:$A$62)),0))</f>
        <v>143709.16188145691</v>
      </c>
      <c r="K66">
        <f t="array" ref="K66">INDEX($G$3:$G$200,MATCH(1, (YEAR(I66)=YEAR($A$3:$A$2000))*(MONTH(I66)=MONTH($A$3:$A$2000)),0))</f>
        <v>158485.75094781502</v>
      </c>
      <c r="L66">
        <f t="shared" si="1"/>
        <v>132651.27860502398</v>
      </c>
    </row>
    <row r="67" spans="4:12" x14ac:dyDescent="0.25">
      <c r="D67">
        <f t="shared" si="0"/>
        <v>0</v>
      </c>
      <c r="E67">
        <v>10887.423031455601</v>
      </c>
      <c r="F67">
        <v>1581.6146407278</v>
      </c>
      <c r="H67">
        <v>65</v>
      </c>
      <c r="I67" s="1">
        <v>45024</v>
      </c>
      <c r="J67">
        <f t="array" ref="J67">INDEX($D$3:$D$62,MATCH(1, (YEAR(I67)=YEAR($A$3:$A$62))*(MONTH(I67)=MONTH($A$3:$A$62)),0))</f>
        <v>143709.16188145691</v>
      </c>
      <c r="K67">
        <f t="array" ref="K67">INDEX($G$3:$G$200,MATCH(1, (YEAR(I67)=YEAR($A$3:$A$2000))*(MONTH(I67)=MONTH($A$3:$A$2000)),0))</f>
        <v>158485.75094781502</v>
      </c>
      <c r="L67">
        <f t="shared" si="1"/>
        <v>132476.29181976899</v>
      </c>
    </row>
    <row r="68" spans="4:12" x14ac:dyDescent="0.25">
      <c r="D68">
        <f t="shared" ref="D68:D131" si="2">SUM(B68:C68)</f>
        <v>0</v>
      </c>
      <c r="E68">
        <v>10725.3090306332</v>
      </c>
      <c r="F68">
        <v>1544.1486964175599</v>
      </c>
      <c r="H68">
        <v>66</v>
      </c>
      <c r="I68" s="1">
        <v>45025</v>
      </c>
      <c r="J68">
        <f t="array" ref="J68">INDEX($D$3:$D$62,MATCH(1, (YEAR(I68)=YEAR($A$3:$A$62))*(MONTH(I68)=MONTH($A$3:$A$62)),0))</f>
        <v>143709.16188145691</v>
      </c>
      <c r="K68">
        <f t="array" ref="K68">INDEX($G$3:$G$200,MATCH(1, (YEAR(I68)=YEAR($A$3:$A$2000))*(MONTH(I68)=MONTH($A$3:$A$2000)),0))</f>
        <v>158485.75094781502</v>
      </c>
      <c r="L68">
        <f t="shared" ref="L68:L131" si="3">0.000000012*H68^4-0.000070439*H68^3+0.160688168*H68^2-194.849290676*H68+144481.718306784</f>
        <v>132301.599548064</v>
      </c>
    </row>
    <row r="69" spans="4:12" x14ac:dyDescent="0.25">
      <c r="D69">
        <f t="shared" si="2"/>
        <v>0</v>
      </c>
      <c r="E69">
        <v>10566.9406609786</v>
      </c>
      <c r="F69">
        <v>1507.57025467722</v>
      </c>
      <c r="H69">
        <v>67</v>
      </c>
      <c r="I69" s="1">
        <v>45026</v>
      </c>
      <c r="J69">
        <f t="array" ref="J69">INDEX($D$3:$D$62,MATCH(1, (YEAR(I69)=YEAR($A$3:$A$62))*(MONTH(I69)=MONTH($A$3:$A$62)),0))</f>
        <v>143709.16188145691</v>
      </c>
      <c r="K69">
        <f t="array" ref="K69">INDEX($G$3:$G$200,MATCH(1, (YEAR(I69)=YEAR($A$3:$A$2000))*(MONTH(I69)=MONTH($A$3:$A$2000)),0))</f>
        <v>158485.75094781502</v>
      </c>
      <c r="L69">
        <f t="shared" si="3"/>
        <v>132127.201386139</v>
      </c>
    </row>
    <row r="70" spans="4:12" x14ac:dyDescent="0.25">
      <c r="D70">
        <f t="shared" si="2"/>
        <v>0</v>
      </c>
      <c r="E70">
        <v>10412.211496453499</v>
      </c>
      <c r="F70">
        <v>1471.8582834344199</v>
      </c>
      <c r="H70">
        <v>68</v>
      </c>
      <c r="I70" s="1">
        <v>45027</v>
      </c>
      <c r="J70">
        <f t="array" ref="J70">INDEX($D$3:$D$62,MATCH(1, (YEAR(I70)=YEAR($A$3:$A$62))*(MONTH(I70)=MONTH($A$3:$A$62)),0))</f>
        <v>143709.16188145691</v>
      </c>
      <c r="K70">
        <f t="array" ref="K70">INDEX($G$3:$G$200,MATCH(1, (YEAR(I70)=YEAR($A$3:$A$2000))*(MONTH(I70)=MONTH($A$3:$A$2000)),0))</f>
        <v>158485.75094781502</v>
      </c>
      <c r="L70">
        <f t="shared" si="3"/>
        <v>131953.09693051199</v>
      </c>
    </row>
    <row r="71" spans="4:12" x14ac:dyDescent="0.25">
      <c r="D71">
        <f t="shared" si="2"/>
        <v>0</v>
      </c>
      <c r="E71">
        <v>10261.0186767578</v>
      </c>
      <c r="F71">
        <v>1436.99228065892</v>
      </c>
      <c r="H71">
        <v>69</v>
      </c>
      <c r="I71" s="1">
        <v>45028</v>
      </c>
      <c r="J71">
        <f t="array" ref="J71">INDEX($D$3:$D$62,MATCH(1, (YEAR(I71)=YEAR($A$3:$A$62))*(MONTH(I71)=MONTH($A$3:$A$62)),0))</f>
        <v>143709.16188145691</v>
      </c>
      <c r="K71">
        <f t="array" ref="K71">INDEX($G$3:$G$200,MATCH(1, (YEAR(I71)=YEAR($A$3:$A$2000))*(MONTH(I71)=MONTH($A$3:$A$2000)),0))</f>
        <v>158485.75094781502</v>
      </c>
      <c r="L71">
        <f t="shared" si="3"/>
        <v>131779.28577798899</v>
      </c>
    </row>
    <row r="72" spans="4:12" x14ac:dyDescent="0.25">
      <c r="D72">
        <f t="shared" si="2"/>
        <v>0</v>
      </c>
      <c r="E72">
        <v>10113.262361225299</v>
      </c>
      <c r="F72">
        <v>1402.9521895559201</v>
      </c>
      <c r="H72">
        <v>70</v>
      </c>
      <c r="I72" s="1">
        <v>45029</v>
      </c>
      <c r="J72">
        <f t="array" ref="J72">INDEX($D$3:$D$62,MATCH(1, (YEAR(I72)=YEAR($A$3:$A$62))*(MONTH(I72)=MONTH($A$3:$A$62)),0))</f>
        <v>143709.16188145691</v>
      </c>
      <c r="K72">
        <f t="array" ref="K72">INDEX($G$3:$G$200,MATCH(1, (YEAR(I72)=YEAR($A$3:$A$2000))*(MONTH(I72)=MONTH($A$3:$A$2000)),0))</f>
        <v>158485.75094781502</v>
      </c>
      <c r="L72">
        <f t="shared" si="3"/>
        <v>131605.76752566401</v>
      </c>
    </row>
    <row r="73" spans="4:12" x14ac:dyDescent="0.25">
      <c r="D73">
        <f t="shared" si="2"/>
        <v>0</v>
      </c>
      <c r="E73">
        <v>9968.8458894428495</v>
      </c>
      <c r="F73">
        <v>1369.7184621710501</v>
      </c>
      <c r="H73">
        <v>71</v>
      </c>
      <c r="I73" s="1">
        <v>45030</v>
      </c>
      <c r="J73">
        <f t="array" ref="J73">INDEX($D$3:$D$62,MATCH(1, (YEAR(I73)=YEAR($A$3:$A$62))*(MONTH(I73)=MONTH($A$3:$A$62)),0))</f>
        <v>143709.16188145691</v>
      </c>
      <c r="K73">
        <f t="array" ref="K73">INDEX($G$3:$G$200,MATCH(1, (YEAR(I73)=YEAR($A$3:$A$2000))*(MONTH(I73)=MONTH($A$3:$A$2000)),0))</f>
        <v>158485.75094781502</v>
      </c>
      <c r="L73">
        <f t="shared" si="3"/>
        <v>131432.54177091899</v>
      </c>
    </row>
    <row r="74" spans="4:12" x14ac:dyDescent="0.25">
      <c r="D74">
        <f t="shared" si="2"/>
        <v>0</v>
      </c>
      <c r="E74">
        <v>9827.6755563836396</v>
      </c>
      <c r="F74">
        <v>1337.27197458368</v>
      </c>
      <c r="H74">
        <v>72</v>
      </c>
      <c r="I74" s="1">
        <v>45031</v>
      </c>
      <c r="J74">
        <f t="array" ref="J74">INDEX($D$3:$D$62,MATCH(1, (YEAR(I74)=YEAR($A$3:$A$62))*(MONTH(I74)=MONTH($A$3:$A$62)),0))</f>
        <v>143709.16188145691</v>
      </c>
      <c r="K74">
        <f t="array" ref="K74">INDEX($G$3:$G$200,MATCH(1, (YEAR(I74)=YEAR($A$3:$A$2000))*(MONTH(I74)=MONTH($A$3:$A$2000)),0))</f>
        <v>158485.75094781502</v>
      </c>
      <c r="L74">
        <f t="shared" si="3"/>
        <v>131259.60811142399</v>
      </c>
    </row>
    <row r="75" spans="4:12" x14ac:dyDescent="0.25">
      <c r="D75">
        <f t="shared" si="2"/>
        <v>0</v>
      </c>
      <c r="H75">
        <v>73</v>
      </c>
      <c r="I75" s="1">
        <v>45032</v>
      </c>
      <c r="J75">
        <f t="array" ref="J75">INDEX($D$3:$D$62,MATCH(1, (YEAR(I75)=YEAR($A$3:$A$62))*(MONTH(I75)=MONTH($A$3:$A$62)),0))</f>
        <v>143709.16188145691</v>
      </c>
      <c r="K75">
        <f t="array" ref="K75">INDEX($G$3:$G$200,MATCH(1, (YEAR(I75)=YEAR($A$3:$A$2000))*(MONTH(I75)=MONTH($A$3:$A$2000)),0))</f>
        <v>158485.75094781502</v>
      </c>
      <c r="L75">
        <f t="shared" si="3"/>
        <v>131086.966145137</v>
      </c>
    </row>
    <row r="76" spans="4:12" x14ac:dyDescent="0.25">
      <c r="D76">
        <f t="shared" si="2"/>
        <v>0</v>
      </c>
      <c r="H76">
        <v>74</v>
      </c>
      <c r="I76" s="1">
        <v>45033</v>
      </c>
      <c r="J76">
        <f t="array" ref="J76">INDEX($D$3:$D$62,MATCH(1, (YEAR(I76)=YEAR($A$3:$A$62))*(MONTH(I76)=MONTH($A$3:$A$62)),0))</f>
        <v>143709.16188145691</v>
      </c>
      <c r="K76">
        <f t="array" ref="K76">INDEX($G$3:$G$200,MATCH(1, (YEAR(I76)=YEAR($A$3:$A$2000))*(MONTH(I76)=MONTH($A$3:$A$2000)),0))</f>
        <v>158485.75094781502</v>
      </c>
      <c r="L76">
        <f t="shared" si="3"/>
        <v>130914.61547030399</v>
      </c>
    </row>
    <row r="77" spans="4:12" x14ac:dyDescent="0.25">
      <c r="D77">
        <f t="shared" si="2"/>
        <v>0</v>
      </c>
      <c r="H77">
        <v>75</v>
      </c>
      <c r="I77" s="1">
        <v>45034</v>
      </c>
      <c r="J77">
        <f t="array" ref="J77">INDEX($D$3:$D$62,MATCH(1, (YEAR(I77)=YEAR($A$3:$A$62))*(MONTH(I77)=MONTH($A$3:$A$62)),0))</f>
        <v>143709.16188145691</v>
      </c>
      <c r="K77">
        <f t="array" ref="K77">INDEX($G$3:$G$200,MATCH(1, (YEAR(I77)=YEAR($A$3:$A$2000))*(MONTH(I77)=MONTH($A$3:$A$2000)),0))</f>
        <v>158485.75094781502</v>
      </c>
      <c r="L77">
        <f t="shared" si="3"/>
        <v>130742.555685459</v>
      </c>
    </row>
    <row r="78" spans="4:12" x14ac:dyDescent="0.25">
      <c r="D78">
        <f t="shared" si="2"/>
        <v>0</v>
      </c>
      <c r="H78">
        <v>76</v>
      </c>
      <c r="I78" s="1">
        <v>45035</v>
      </c>
      <c r="J78">
        <f t="array" ref="J78">INDEX($D$3:$D$62,MATCH(1, (YEAR(I78)=YEAR($A$3:$A$62))*(MONTH(I78)=MONTH($A$3:$A$62)),0))</f>
        <v>143709.16188145691</v>
      </c>
      <c r="K78">
        <f t="array" ref="K78">INDEX($G$3:$G$200,MATCH(1, (YEAR(I78)=YEAR($A$3:$A$2000))*(MONTH(I78)=MONTH($A$3:$A$2000)),0))</f>
        <v>158485.75094781502</v>
      </c>
      <c r="L78">
        <f t="shared" si="3"/>
        <v>130570.786389424</v>
      </c>
    </row>
    <row r="79" spans="4:12" x14ac:dyDescent="0.25">
      <c r="D79">
        <f t="shared" si="2"/>
        <v>0</v>
      </c>
      <c r="H79">
        <v>77</v>
      </c>
      <c r="I79" s="1">
        <v>45036</v>
      </c>
      <c r="J79">
        <f t="array" ref="J79">INDEX($D$3:$D$62,MATCH(1, (YEAR(I79)=YEAR($A$3:$A$62))*(MONTH(I79)=MONTH($A$3:$A$62)),0))</f>
        <v>143709.16188145691</v>
      </c>
      <c r="K79">
        <f t="array" ref="K79">INDEX($G$3:$G$200,MATCH(1, (YEAR(I79)=YEAR($A$3:$A$2000))*(MONTH(I79)=MONTH($A$3:$A$2000)),0))</f>
        <v>158485.75094781502</v>
      </c>
      <c r="L79">
        <f t="shared" si="3"/>
        <v>130399.30718130899</v>
      </c>
    </row>
    <row r="80" spans="4:12" x14ac:dyDescent="0.25">
      <c r="D80">
        <f t="shared" si="2"/>
        <v>0</v>
      </c>
      <c r="H80">
        <v>78</v>
      </c>
      <c r="I80" s="1">
        <v>45037</v>
      </c>
      <c r="J80">
        <f t="array" ref="J80">INDEX($D$3:$D$62,MATCH(1, (YEAR(I80)=YEAR($A$3:$A$62))*(MONTH(I80)=MONTH($A$3:$A$62)),0))</f>
        <v>143709.16188145691</v>
      </c>
      <c r="K80">
        <f t="array" ref="K80">INDEX($G$3:$G$200,MATCH(1, (YEAR(I80)=YEAR($A$3:$A$2000))*(MONTH(I80)=MONTH($A$3:$A$2000)),0))</f>
        <v>158485.75094781502</v>
      </c>
      <c r="L80">
        <f t="shared" si="3"/>
        <v>130228.117660512</v>
      </c>
    </row>
    <row r="81" spans="4:12" x14ac:dyDescent="0.25">
      <c r="D81">
        <f t="shared" si="2"/>
        <v>0</v>
      </c>
      <c r="H81">
        <v>79</v>
      </c>
      <c r="I81" s="1">
        <v>45038</v>
      </c>
      <c r="J81">
        <f t="array" ref="J81">INDEX($D$3:$D$62,MATCH(1, (YEAR(I81)=YEAR($A$3:$A$62))*(MONTH(I81)=MONTH($A$3:$A$62)),0))</f>
        <v>143709.16188145691</v>
      </c>
      <c r="K81">
        <f t="array" ref="K81">INDEX($G$3:$G$200,MATCH(1, (YEAR(I81)=YEAR($A$3:$A$2000))*(MONTH(I81)=MONTH($A$3:$A$2000)),0))</f>
        <v>158485.75094781502</v>
      </c>
      <c r="L81">
        <f t="shared" si="3"/>
        <v>130057.217426719</v>
      </c>
    </row>
    <row r="82" spans="4:12" x14ac:dyDescent="0.25">
      <c r="D82">
        <f t="shared" si="2"/>
        <v>0</v>
      </c>
      <c r="H82">
        <v>80</v>
      </c>
      <c r="I82" s="1">
        <v>45039</v>
      </c>
      <c r="J82">
        <f t="array" ref="J82">INDEX($D$3:$D$62,MATCH(1, (YEAR(I82)=YEAR($A$3:$A$62))*(MONTH(I82)=MONTH($A$3:$A$62)),0))</f>
        <v>143709.16188145691</v>
      </c>
      <c r="K82">
        <f t="array" ref="K82">INDEX($G$3:$G$200,MATCH(1, (YEAR(I82)=YEAR($A$3:$A$2000))*(MONTH(I82)=MONTH($A$3:$A$2000)),0))</f>
        <v>158485.75094781502</v>
      </c>
      <c r="L82">
        <f t="shared" si="3"/>
        <v>129886.606079904</v>
      </c>
    </row>
    <row r="83" spans="4:12" x14ac:dyDescent="0.25">
      <c r="D83">
        <f t="shared" si="2"/>
        <v>0</v>
      </c>
      <c r="H83">
        <v>81</v>
      </c>
      <c r="I83" s="1">
        <v>45040</v>
      </c>
      <c r="J83">
        <f t="array" ref="J83">INDEX($D$3:$D$62,MATCH(1, (YEAR(I83)=YEAR($A$3:$A$62))*(MONTH(I83)=MONTH($A$3:$A$62)),0))</f>
        <v>143709.16188145691</v>
      </c>
      <c r="K83">
        <f t="array" ref="K83">INDEX($G$3:$G$200,MATCH(1, (YEAR(I83)=YEAR($A$3:$A$2000))*(MONTH(I83)=MONTH($A$3:$A$2000)),0))</f>
        <v>158485.75094781502</v>
      </c>
      <c r="L83">
        <f t="shared" si="3"/>
        <v>129716.28322032899</v>
      </c>
    </row>
    <row r="84" spans="4:12" x14ac:dyDescent="0.25">
      <c r="D84">
        <f t="shared" si="2"/>
        <v>0</v>
      </c>
      <c r="H84">
        <v>82</v>
      </c>
      <c r="I84" s="1">
        <v>45041</v>
      </c>
      <c r="J84">
        <f t="array" ref="J84">INDEX($D$3:$D$62,MATCH(1, (YEAR(I84)=YEAR($A$3:$A$62))*(MONTH(I84)=MONTH($A$3:$A$62)),0))</f>
        <v>143709.16188145691</v>
      </c>
      <c r="K84">
        <f t="array" ref="K84">INDEX($G$3:$G$200,MATCH(1, (YEAR(I84)=YEAR($A$3:$A$2000))*(MONTH(I84)=MONTH($A$3:$A$2000)),0))</f>
        <v>158485.75094781502</v>
      </c>
      <c r="L84">
        <f t="shared" si="3"/>
        <v>129546.24844854399</v>
      </c>
    </row>
    <row r="85" spans="4:12" x14ac:dyDescent="0.25">
      <c r="D85">
        <f t="shared" si="2"/>
        <v>0</v>
      </c>
      <c r="H85">
        <v>83</v>
      </c>
      <c r="I85" s="1">
        <v>45042</v>
      </c>
      <c r="J85">
        <f t="array" ref="J85">INDEX($D$3:$D$62,MATCH(1, (YEAR(I85)=YEAR($A$3:$A$62))*(MONTH(I85)=MONTH($A$3:$A$62)),0))</f>
        <v>143709.16188145691</v>
      </c>
      <c r="K85">
        <f t="array" ref="K85">INDEX($G$3:$G$200,MATCH(1, (YEAR(I85)=YEAR($A$3:$A$2000))*(MONTH(I85)=MONTH($A$3:$A$2000)),0))</f>
        <v>158485.75094781502</v>
      </c>
      <c r="L85">
        <f t="shared" si="3"/>
        <v>129376.501365387</v>
      </c>
    </row>
    <row r="86" spans="4:12" x14ac:dyDescent="0.25">
      <c r="D86">
        <f t="shared" si="2"/>
        <v>0</v>
      </c>
      <c r="H86">
        <v>84</v>
      </c>
      <c r="I86" s="1">
        <v>45043</v>
      </c>
      <c r="J86">
        <f t="array" ref="J86">INDEX($D$3:$D$62,MATCH(1, (YEAR(I86)=YEAR($A$3:$A$62))*(MONTH(I86)=MONTH($A$3:$A$62)),0))</f>
        <v>143709.16188145691</v>
      </c>
      <c r="K86">
        <f t="array" ref="K86">INDEX($G$3:$G$200,MATCH(1, (YEAR(I86)=YEAR($A$3:$A$2000))*(MONTH(I86)=MONTH($A$3:$A$2000)),0))</f>
        <v>158485.75094781502</v>
      </c>
      <c r="L86">
        <f t="shared" si="3"/>
        <v>129207.04157198399</v>
      </c>
    </row>
    <row r="87" spans="4:12" x14ac:dyDescent="0.25">
      <c r="D87">
        <f t="shared" si="2"/>
        <v>0</v>
      </c>
      <c r="H87">
        <v>85</v>
      </c>
      <c r="I87" s="1">
        <v>45044</v>
      </c>
      <c r="J87">
        <f t="array" ref="J87">INDEX($D$3:$D$62,MATCH(1, (YEAR(I87)=YEAR($A$3:$A$62))*(MONTH(I87)=MONTH($A$3:$A$62)),0))</f>
        <v>143709.16188145691</v>
      </c>
      <c r="K87">
        <f t="array" ref="K87">INDEX($G$3:$G$200,MATCH(1, (YEAR(I87)=YEAR($A$3:$A$2000))*(MONTH(I87)=MONTH($A$3:$A$2000)),0))</f>
        <v>158485.75094781502</v>
      </c>
      <c r="L87">
        <f t="shared" si="3"/>
        <v>129037.86866974899</v>
      </c>
    </row>
    <row r="88" spans="4:12" x14ac:dyDescent="0.25">
      <c r="D88">
        <f t="shared" si="2"/>
        <v>0</v>
      </c>
      <c r="H88">
        <v>86</v>
      </c>
      <c r="I88" s="1">
        <v>45045</v>
      </c>
      <c r="J88">
        <f t="array" ref="J88">INDEX($D$3:$D$62,MATCH(1, (YEAR(I88)=YEAR($A$3:$A$62))*(MONTH(I88)=MONTH($A$3:$A$62)),0))</f>
        <v>143709.16188145691</v>
      </c>
      <c r="K88">
        <f t="array" ref="K88">INDEX($G$3:$G$200,MATCH(1, (YEAR(I88)=YEAR($A$3:$A$2000))*(MONTH(I88)=MONTH($A$3:$A$2000)),0))</f>
        <v>158485.75094781502</v>
      </c>
      <c r="L88">
        <f t="shared" si="3"/>
        <v>128868.98226038399</v>
      </c>
    </row>
    <row r="89" spans="4:12" x14ac:dyDescent="0.25">
      <c r="D89">
        <f t="shared" si="2"/>
        <v>0</v>
      </c>
      <c r="H89">
        <v>87</v>
      </c>
      <c r="I89" s="1">
        <v>45046</v>
      </c>
      <c r="J89">
        <f t="array" ref="J89">INDEX($D$3:$D$62,MATCH(1, (YEAR(I89)=YEAR($A$3:$A$62))*(MONTH(I89)=MONTH($A$3:$A$62)),0))</f>
        <v>143709.16188145691</v>
      </c>
      <c r="K89">
        <f t="array" ref="K89">INDEX($G$3:$G$200,MATCH(1, (YEAR(I89)=YEAR($A$3:$A$2000))*(MONTH(I89)=MONTH($A$3:$A$2000)),0))</f>
        <v>158485.75094781502</v>
      </c>
      <c r="L89">
        <f t="shared" si="3"/>
        <v>128700.38194587899</v>
      </c>
    </row>
    <row r="90" spans="4:12" x14ac:dyDescent="0.25">
      <c r="D90">
        <f t="shared" si="2"/>
        <v>0</v>
      </c>
      <c r="H90">
        <v>88</v>
      </c>
      <c r="I90" s="1">
        <v>45047</v>
      </c>
      <c r="J90">
        <f t="array" ref="J90">INDEX($D$3:$D$62,MATCH(1, (YEAR(I90)=YEAR($A$3:$A$62))*(MONTH(I90)=MONTH($A$3:$A$62)),0))</f>
        <v>137658.3393223813</v>
      </c>
      <c r="K90">
        <f t="array" ref="K90">INDEX($G$3:$G$200,MATCH(1, (YEAR(I90)=YEAR($A$3:$A$2000))*(MONTH(I90)=MONTH($A$3:$A$2000)),0))</f>
        <v>157440.54172781217</v>
      </c>
      <c r="L90">
        <f t="shared" si="3"/>
        <v>128532.067328512</v>
      </c>
    </row>
    <row r="91" spans="4:12" x14ac:dyDescent="0.25">
      <c r="D91">
        <f t="shared" si="2"/>
        <v>0</v>
      </c>
      <c r="H91">
        <v>89</v>
      </c>
      <c r="I91" s="1">
        <v>45048</v>
      </c>
      <c r="J91">
        <f t="array" ref="J91">INDEX($D$3:$D$62,MATCH(1, (YEAR(I91)=YEAR($A$3:$A$62))*(MONTH(I91)=MONTH($A$3:$A$62)),0))</f>
        <v>137658.3393223813</v>
      </c>
      <c r="K91">
        <f t="array" ref="K91">INDEX($G$3:$G$200,MATCH(1, (YEAR(I91)=YEAR($A$3:$A$2000))*(MONTH(I91)=MONTH($A$3:$A$2000)),0))</f>
        <v>157440.54172781217</v>
      </c>
      <c r="L91">
        <f t="shared" si="3"/>
        <v>128364.03801084899</v>
      </c>
    </row>
    <row r="92" spans="4:12" x14ac:dyDescent="0.25">
      <c r="D92">
        <f t="shared" si="2"/>
        <v>0</v>
      </c>
      <c r="H92">
        <v>90</v>
      </c>
      <c r="I92" s="1">
        <v>45049</v>
      </c>
      <c r="J92">
        <f t="array" ref="J92">INDEX($D$3:$D$62,MATCH(1, (YEAR(I92)=YEAR($A$3:$A$62))*(MONTH(I92)=MONTH($A$3:$A$62)),0))</f>
        <v>137658.3393223813</v>
      </c>
      <c r="K92">
        <f t="array" ref="K92">INDEX($G$3:$G$200,MATCH(1, (YEAR(I92)=YEAR($A$3:$A$2000))*(MONTH(I92)=MONTH($A$3:$A$2000)),0))</f>
        <v>157440.54172781217</v>
      </c>
      <c r="L92">
        <f t="shared" si="3"/>
        <v>128196.29359574399</v>
      </c>
    </row>
    <row r="93" spans="4:12" x14ac:dyDescent="0.25">
      <c r="D93">
        <f t="shared" si="2"/>
        <v>0</v>
      </c>
      <c r="H93">
        <v>91</v>
      </c>
      <c r="I93" s="1">
        <v>45050</v>
      </c>
      <c r="J93">
        <f t="array" ref="J93">INDEX($D$3:$D$62,MATCH(1, (YEAR(I93)=YEAR($A$3:$A$62))*(MONTH(I93)=MONTH($A$3:$A$62)),0))</f>
        <v>137658.3393223813</v>
      </c>
      <c r="K93">
        <f t="array" ref="K93">INDEX($G$3:$G$200,MATCH(1, (YEAR(I93)=YEAR($A$3:$A$2000))*(MONTH(I93)=MONTH($A$3:$A$2000)),0))</f>
        <v>157440.54172781217</v>
      </c>
      <c r="L93">
        <f t="shared" si="3"/>
        <v>128028.833686339</v>
      </c>
    </row>
    <row r="94" spans="4:12" x14ac:dyDescent="0.25">
      <c r="D94">
        <f t="shared" si="2"/>
        <v>0</v>
      </c>
      <c r="H94">
        <v>92</v>
      </c>
      <c r="I94" s="1">
        <v>45051</v>
      </c>
      <c r="J94">
        <f t="array" ref="J94">INDEX($D$3:$D$62,MATCH(1, (YEAR(I94)=YEAR($A$3:$A$62))*(MONTH(I94)=MONTH($A$3:$A$62)),0))</f>
        <v>137658.3393223813</v>
      </c>
      <c r="K94">
        <f t="array" ref="K94">INDEX($G$3:$G$200,MATCH(1, (YEAR(I94)=YEAR($A$3:$A$2000))*(MONTH(I94)=MONTH($A$3:$A$2000)),0))</f>
        <v>157440.54172781217</v>
      </c>
      <c r="L94">
        <f t="shared" si="3"/>
        <v>127861.657886064</v>
      </c>
    </row>
    <row r="95" spans="4:12" x14ac:dyDescent="0.25">
      <c r="D95">
        <f t="shared" si="2"/>
        <v>0</v>
      </c>
      <c r="H95">
        <v>93</v>
      </c>
      <c r="I95" s="1">
        <v>45052</v>
      </c>
      <c r="J95">
        <f t="array" ref="J95">INDEX($D$3:$D$62,MATCH(1, (YEAR(I95)=YEAR($A$3:$A$62))*(MONTH(I95)=MONTH($A$3:$A$62)),0))</f>
        <v>137658.3393223813</v>
      </c>
      <c r="K95">
        <f t="array" ref="K95">INDEX($G$3:$G$200,MATCH(1, (YEAR(I95)=YEAR($A$3:$A$2000))*(MONTH(I95)=MONTH($A$3:$A$2000)),0))</f>
        <v>157440.54172781217</v>
      </c>
      <c r="L95">
        <f t="shared" si="3"/>
        <v>127694.765798637</v>
      </c>
    </row>
    <row r="96" spans="4:12" x14ac:dyDescent="0.25">
      <c r="D96">
        <f t="shared" si="2"/>
        <v>0</v>
      </c>
      <c r="H96">
        <v>94</v>
      </c>
      <c r="I96" s="1">
        <v>45053</v>
      </c>
      <c r="J96">
        <f t="array" ref="J96">INDEX($D$3:$D$62,MATCH(1, (YEAR(I96)=YEAR($A$3:$A$62))*(MONTH(I96)=MONTH($A$3:$A$62)),0))</f>
        <v>137658.3393223813</v>
      </c>
      <c r="K96">
        <f t="array" ref="K96">INDEX($G$3:$G$200,MATCH(1, (YEAR(I96)=YEAR($A$3:$A$2000))*(MONTH(I96)=MONTH($A$3:$A$2000)),0))</f>
        <v>157440.54172781217</v>
      </c>
      <c r="L96">
        <f t="shared" si="3"/>
        <v>127528.15702806399</v>
      </c>
    </row>
    <row r="97" spans="4:12" x14ac:dyDescent="0.25">
      <c r="D97">
        <f t="shared" si="2"/>
        <v>0</v>
      </c>
      <c r="H97">
        <v>95</v>
      </c>
      <c r="I97" s="1">
        <v>45054</v>
      </c>
      <c r="J97">
        <f t="array" ref="J97">INDEX($D$3:$D$62,MATCH(1, (YEAR(I97)=YEAR($A$3:$A$62))*(MONTH(I97)=MONTH($A$3:$A$62)),0))</f>
        <v>137658.3393223813</v>
      </c>
      <c r="K97">
        <f t="array" ref="K97">INDEX($G$3:$G$200,MATCH(1, (YEAR(I97)=YEAR($A$3:$A$2000))*(MONTH(I97)=MONTH($A$3:$A$2000)),0))</f>
        <v>157440.54172781217</v>
      </c>
      <c r="L97">
        <f t="shared" si="3"/>
        <v>127361.831178639</v>
      </c>
    </row>
    <row r="98" spans="4:12" x14ac:dyDescent="0.25">
      <c r="D98">
        <f t="shared" si="2"/>
        <v>0</v>
      </c>
      <c r="H98">
        <v>96</v>
      </c>
      <c r="I98" s="1">
        <v>45055</v>
      </c>
      <c r="J98">
        <f t="array" ref="J98">INDEX($D$3:$D$62,MATCH(1, (YEAR(I98)=YEAR($A$3:$A$62))*(MONTH(I98)=MONTH($A$3:$A$62)),0))</f>
        <v>137658.3393223813</v>
      </c>
      <c r="K98">
        <f t="array" ref="K98">INDEX($G$3:$G$200,MATCH(1, (YEAR(I98)=YEAR($A$3:$A$2000))*(MONTH(I98)=MONTH($A$3:$A$2000)),0))</f>
        <v>157440.54172781217</v>
      </c>
      <c r="L98">
        <f t="shared" si="3"/>
        <v>127195.78785494399</v>
      </c>
    </row>
    <row r="99" spans="4:12" x14ac:dyDescent="0.25">
      <c r="D99">
        <f t="shared" si="2"/>
        <v>0</v>
      </c>
      <c r="H99">
        <v>97</v>
      </c>
      <c r="I99" s="1">
        <v>45056</v>
      </c>
      <c r="J99">
        <f t="array" ref="J99">INDEX($D$3:$D$62,MATCH(1, (YEAR(I99)=YEAR($A$3:$A$62))*(MONTH(I99)=MONTH($A$3:$A$62)),0))</f>
        <v>137658.3393223813</v>
      </c>
      <c r="K99">
        <f t="array" ref="K99">INDEX($G$3:$G$200,MATCH(1, (YEAR(I99)=YEAR($A$3:$A$2000))*(MONTH(I99)=MONTH($A$3:$A$2000)),0))</f>
        <v>157440.54172781217</v>
      </c>
      <c r="L99">
        <f t="shared" si="3"/>
        <v>127030.026661849</v>
      </c>
    </row>
    <row r="100" spans="4:12" x14ac:dyDescent="0.25">
      <c r="D100">
        <f t="shared" si="2"/>
        <v>0</v>
      </c>
      <c r="H100">
        <v>98</v>
      </c>
      <c r="I100" s="1">
        <v>45057</v>
      </c>
      <c r="J100">
        <f t="array" ref="J100">INDEX($D$3:$D$62,MATCH(1, (YEAR(I100)=YEAR($A$3:$A$62))*(MONTH(I100)=MONTH($A$3:$A$62)),0))</f>
        <v>137658.3393223813</v>
      </c>
      <c r="K100">
        <f t="array" ref="K100">INDEX($G$3:$G$200,MATCH(1, (YEAR(I100)=YEAR($A$3:$A$2000))*(MONTH(I100)=MONTH($A$3:$A$2000)),0))</f>
        <v>157440.54172781217</v>
      </c>
      <c r="L100">
        <f t="shared" si="3"/>
        <v>126864.547204512</v>
      </c>
    </row>
    <row r="101" spans="4:12" x14ac:dyDescent="0.25">
      <c r="D101">
        <f t="shared" si="2"/>
        <v>0</v>
      </c>
      <c r="H101">
        <v>99</v>
      </c>
      <c r="I101" s="1">
        <v>45058</v>
      </c>
      <c r="J101">
        <f t="array" ref="J101">INDEX($D$3:$D$62,MATCH(1, (YEAR(I101)=YEAR($A$3:$A$62))*(MONTH(I101)=MONTH($A$3:$A$62)),0))</f>
        <v>137658.3393223813</v>
      </c>
      <c r="K101">
        <f t="array" ref="K101">INDEX($G$3:$G$200,MATCH(1, (YEAR(I101)=YEAR($A$3:$A$2000))*(MONTH(I101)=MONTH($A$3:$A$2000)),0))</f>
        <v>157440.54172781217</v>
      </c>
      <c r="L101">
        <f t="shared" si="3"/>
        <v>126699.34908837899</v>
      </c>
    </row>
    <row r="102" spans="4:12" x14ac:dyDescent="0.25">
      <c r="D102">
        <f t="shared" si="2"/>
        <v>0</v>
      </c>
      <c r="H102">
        <v>100</v>
      </c>
      <c r="I102" s="1">
        <v>45059</v>
      </c>
      <c r="J102">
        <f t="array" ref="J102">INDEX($D$3:$D$62,MATCH(1, (YEAR(I102)=YEAR($A$3:$A$62))*(MONTH(I102)=MONTH($A$3:$A$62)),0))</f>
        <v>137658.3393223813</v>
      </c>
      <c r="K102">
        <f t="array" ref="K102">INDEX($G$3:$G$200,MATCH(1, (YEAR(I102)=YEAR($A$3:$A$2000))*(MONTH(I102)=MONTH($A$3:$A$2000)),0))</f>
        <v>157440.54172781217</v>
      </c>
      <c r="L102">
        <f t="shared" si="3"/>
        <v>126534.43191918399</v>
      </c>
    </row>
    <row r="103" spans="4:12" x14ac:dyDescent="0.25">
      <c r="D103">
        <f t="shared" si="2"/>
        <v>0</v>
      </c>
      <c r="H103">
        <v>101</v>
      </c>
      <c r="I103" s="1">
        <v>45060</v>
      </c>
      <c r="J103">
        <f t="array" ref="J103">INDEX($D$3:$D$62,MATCH(1, (YEAR(I103)=YEAR($A$3:$A$62))*(MONTH(I103)=MONTH($A$3:$A$62)),0))</f>
        <v>137658.3393223813</v>
      </c>
      <c r="K103">
        <f t="array" ref="K103">INDEX($G$3:$G$200,MATCH(1, (YEAR(I103)=YEAR($A$3:$A$2000))*(MONTH(I103)=MONTH($A$3:$A$2000)),0))</f>
        <v>157440.54172781217</v>
      </c>
      <c r="L103">
        <f t="shared" si="3"/>
        <v>126369.79530294899</v>
      </c>
    </row>
    <row r="104" spans="4:12" x14ac:dyDescent="0.25">
      <c r="D104">
        <f t="shared" si="2"/>
        <v>0</v>
      </c>
      <c r="H104">
        <v>102</v>
      </c>
      <c r="I104" s="1">
        <v>45061</v>
      </c>
      <c r="J104">
        <f t="array" ref="J104">INDEX($D$3:$D$62,MATCH(1, (YEAR(I104)=YEAR($A$3:$A$62))*(MONTH(I104)=MONTH($A$3:$A$62)),0))</f>
        <v>137658.3393223813</v>
      </c>
      <c r="K104">
        <f t="array" ref="K104">INDEX($G$3:$G$200,MATCH(1, (YEAR(I104)=YEAR($A$3:$A$2000))*(MONTH(I104)=MONTH($A$3:$A$2000)),0))</f>
        <v>157440.54172781217</v>
      </c>
      <c r="L104">
        <f t="shared" si="3"/>
        <v>126205.438845984</v>
      </c>
    </row>
    <row r="105" spans="4:12" x14ac:dyDescent="0.25">
      <c r="D105">
        <f t="shared" si="2"/>
        <v>0</v>
      </c>
      <c r="H105">
        <v>103</v>
      </c>
      <c r="I105" s="1">
        <v>45062</v>
      </c>
      <c r="J105">
        <f t="array" ref="J105">INDEX($D$3:$D$62,MATCH(1, (YEAR(I105)=YEAR($A$3:$A$62))*(MONTH(I105)=MONTH($A$3:$A$62)),0))</f>
        <v>137658.3393223813</v>
      </c>
      <c r="K105">
        <f t="array" ref="K105">INDEX($G$3:$G$200,MATCH(1, (YEAR(I105)=YEAR($A$3:$A$2000))*(MONTH(I105)=MONTH($A$3:$A$2000)),0))</f>
        <v>157440.54172781217</v>
      </c>
      <c r="L105">
        <f t="shared" si="3"/>
        <v>126041.362154887</v>
      </c>
    </row>
    <row r="106" spans="4:12" x14ac:dyDescent="0.25">
      <c r="D106">
        <f t="shared" si="2"/>
        <v>0</v>
      </c>
      <c r="H106">
        <v>104</v>
      </c>
      <c r="I106" s="1">
        <v>45063</v>
      </c>
      <c r="J106">
        <f t="array" ref="J106">INDEX($D$3:$D$62,MATCH(1, (YEAR(I106)=YEAR($A$3:$A$62))*(MONTH(I106)=MONTH($A$3:$A$62)),0))</f>
        <v>137658.3393223813</v>
      </c>
      <c r="K106">
        <f t="array" ref="K106">INDEX($G$3:$G$200,MATCH(1, (YEAR(I106)=YEAR($A$3:$A$2000))*(MONTH(I106)=MONTH($A$3:$A$2000)),0))</f>
        <v>157440.54172781217</v>
      </c>
      <c r="L106">
        <f t="shared" si="3"/>
        <v>125877.56483654398</v>
      </c>
    </row>
    <row r="107" spans="4:12" x14ac:dyDescent="0.25">
      <c r="D107">
        <f t="shared" si="2"/>
        <v>0</v>
      </c>
      <c r="H107">
        <v>105</v>
      </c>
      <c r="I107" s="1">
        <v>45064</v>
      </c>
      <c r="J107">
        <f t="array" ref="J107">INDEX($D$3:$D$62,MATCH(1, (YEAR(I107)=YEAR($A$3:$A$62))*(MONTH(I107)=MONTH($A$3:$A$62)),0))</f>
        <v>137658.3393223813</v>
      </c>
      <c r="K107">
        <f t="array" ref="K107">INDEX($G$3:$G$200,MATCH(1, (YEAR(I107)=YEAR($A$3:$A$2000))*(MONTH(I107)=MONTH($A$3:$A$2000)),0))</f>
        <v>157440.54172781217</v>
      </c>
      <c r="L107">
        <f t="shared" si="3"/>
        <v>125714.046498129</v>
      </c>
    </row>
    <row r="108" spans="4:12" x14ac:dyDescent="0.25">
      <c r="D108">
        <f t="shared" si="2"/>
        <v>0</v>
      </c>
      <c r="H108">
        <v>106</v>
      </c>
      <c r="I108" s="1">
        <v>45065</v>
      </c>
      <c r="J108">
        <f t="array" ref="J108">INDEX($D$3:$D$62,MATCH(1, (YEAR(I108)=YEAR($A$3:$A$62))*(MONTH(I108)=MONTH($A$3:$A$62)),0))</f>
        <v>137658.3393223813</v>
      </c>
      <c r="K108">
        <f t="array" ref="K108">INDEX($G$3:$G$200,MATCH(1, (YEAR(I108)=YEAR($A$3:$A$2000))*(MONTH(I108)=MONTH($A$3:$A$2000)),0))</f>
        <v>157440.54172781217</v>
      </c>
      <c r="L108">
        <f t="shared" si="3"/>
        <v>125550.806747104</v>
      </c>
    </row>
    <row r="109" spans="4:12" x14ac:dyDescent="0.25">
      <c r="D109">
        <f t="shared" si="2"/>
        <v>0</v>
      </c>
      <c r="H109">
        <v>107</v>
      </c>
      <c r="I109" s="1">
        <v>45066</v>
      </c>
      <c r="J109">
        <f t="array" ref="J109">INDEX($D$3:$D$62,MATCH(1, (YEAR(I109)=YEAR($A$3:$A$62))*(MONTH(I109)=MONTH($A$3:$A$62)),0))</f>
        <v>137658.3393223813</v>
      </c>
      <c r="K109">
        <f t="array" ref="K109">INDEX($G$3:$G$200,MATCH(1, (YEAR(I109)=YEAR($A$3:$A$2000))*(MONTH(I109)=MONTH($A$3:$A$2000)),0))</f>
        <v>157440.54172781217</v>
      </c>
      <c r="L109">
        <f t="shared" si="3"/>
        <v>125387.84519121899</v>
      </c>
    </row>
    <row r="110" spans="4:12" x14ac:dyDescent="0.25">
      <c r="D110">
        <f t="shared" si="2"/>
        <v>0</v>
      </c>
      <c r="H110">
        <v>108</v>
      </c>
      <c r="I110" s="1">
        <v>45067</v>
      </c>
      <c r="J110">
        <f t="array" ref="J110">INDEX($D$3:$D$62,MATCH(1, (YEAR(I110)=YEAR($A$3:$A$62))*(MONTH(I110)=MONTH($A$3:$A$62)),0))</f>
        <v>137658.3393223813</v>
      </c>
      <c r="K110">
        <f t="array" ref="K110">INDEX($G$3:$G$200,MATCH(1, (YEAR(I110)=YEAR($A$3:$A$2000))*(MONTH(I110)=MONTH($A$3:$A$2000)),0))</f>
        <v>157440.54172781217</v>
      </c>
      <c r="L110">
        <f t="shared" si="3"/>
        <v>125225.16143851199</v>
      </c>
    </row>
    <row r="111" spans="4:12" x14ac:dyDescent="0.25">
      <c r="D111">
        <f t="shared" si="2"/>
        <v>0</v>
      </c>
      <c r="H111">
        <v>109</v>
      </c>
      <c r="I111" s="1">
        <v>45068</v>
      </c>
      <c r="J111">
        <f t="array" ref="J111">INDEX($D$3:$D$62,MATCH(1, (YEAR(I111)=YEAR($A$3:$A$62))*(MONTH(I111)=MONTH($A$3:$A$62)),0))</f>
        <v>137658.3393223813</v>
      </c>
      <c r="K111">
        <f t="array" ref="K111">INDEX($G$3:$G$200,MATCH(1, (YEAR(I111)=YEAR($A$3:$A$2000))*(MONTH(I111)=MONTH($A$3:$A$2000)),0))</f>
        <v>157440.54172781217</v>
      </c>
      <c r="L111">
        <f t="shared" si="3"/>
        <v>125062.755097309</v>
      </c>
    </row>
    <row r="112" spans="4:12" x14ac:dyDescent="0.25">
      <c r="D112">
        <f t="shared" si="2"/>
        <v>0</v>
      </c>
      <c r="H112">
        <v>110</v>
      </c>
      <c r="I112" s="1">
        <v>45069</v>
      </c>
      <c r="J112">
        <f t="array" ref="J112">INDEX($D$3:$D$62,MATCH(1, (YEAR(I112)=YEAR($A$3:$A$62))*(MONTH(I112)=MONTH($A$3:$A$62)),0))</f>
        <v>137658.3393223813</v>
      </c>
      <c r="K112">
        <f t="array" ref="K112">INDEX($G$3:$G$200,MATCH(1, (YEAR(I112)=YEAR($A$3:$A$2000))*(MONTH(I112)=MONTH($A$3:$A$2000)),0))</f>
        <v>157440.54172781217</v>
      </c>
      <c r="L112">
        <f t="shared" si="3"/>
        <v>124900.625776224</v>
      </c>
    </row>
    <row r="113" spans="4:12" x14ac:dyDescent="0.25">
      <c r="D113">
        <f t="shared" si="2"/>
        <v>0</v>
      </c>
      <c r="H113">
        <v>111</v>
      </c>
      <c r="I113" s="1">
        <v>45070</v>
      </c>
      <c r="J113">
        <f t="array" ref="J113">INDEX($D$3:$D$62,MATCH(1, (YEAR(I113)=YEAR($A$3:$A$62))*(MONTH(I113)=MONTH($A$3:$A$62)),0))</f>
        <v>137658.3393223813</v>
      </c>
      <c r="K113">
        <f t="array" ref="K113">INDEX($G$3:$G$200,MATCH(1, (YEAR(I113)=YEAR($A$3:$A$2000))*(MONTH(I113)=MONTH($A$3:$A$2000)),0))</f>
        <v>157440.54172781217</v>
      </c>
      <c r="L113">
        <f t="shared" si="3"/>
        <v>124738.77308415899</v>
      </c>
    </row>
    <row r="114" spans="4:12" x14ac:dyDescent="0.25">
      <c r="D114">
        <f t="shared" si="2"/>
        <v>0</v>
      </c>
      <c r="H114">
        <v>112</v>
      </c>
      <c r="I114" s="1">
        <v>45071</v>
      </c>
      <c r="J114">
        <f t="array" ref="J114">INDEX($D$3:$D$62,MATCH(1, (YEAR(I114)=YEAR($A$3:$A$62))*(MONTH(I114)=MONTH($A$3:$A$62)),0))</f>
        <v>137658.3393223813</v>
      </c>
      <c r="K114">
        <f t="array" ref="K114">INDEX($G$3:$G$200,MATCH(1, (YEAR(I114)=YEAR($A$3:$A$2000))*(MONTH(I114)=MONTH($A$3:$A$2000)),0))</f>
        <v>157440.54172781217</v>
      </c>
      <c r="L114">
        <f t="shared" si="3"/>
        <v>124577.196630304</v>
      </c>
    </row>
    <row r="115" spans="4:12" x14ac:dyDescent="0.25">
      <c r="D115">
        <f t="shared" si="2"/>
        <v>0</v>
      </c>
      <c r="H115">
        <v>113</v>
      </c>
      <c r="I115" s="1">
        <v>45072</v>
      </c>
      <c r="J115">
        <f t="array" ref="J115">INDEX($D$3:$D$62,MATCH(1, (YEAR(I115)=YEAR($A$3:$A$62))*(MONTH(I115)=MONTH($A$3:$A$62)),0))</f>
        <v>137658.3393223813</v>
      </c>
      <c r="K115">
        <f t="array" ref="K115">INDEX($G$3:$G$200,MATCH(1, (YEAR(I115)=YEAR($A$3:$A$2000))*(MONTH(I115)=MONTH($A$3:$A$2000)),0))</f>
        <v>157440.54172781217</v>
      </c>
      <c r="L115">
        <f t="shared" si="3"/>
        <v>124415.89602413699</v>
      </c>
    </row>
    <row r="116" spans="4:12" x14ac:dyDescent="0.25">
      <c r="D116">
        <f t="shared" si="2"/>
        <v>0</v>
      </c>
      <c r="H116">
        <v>114</v>
      </c>
      <c r="I116" s="1">
        <v>45073</v>
      </c>
      <c r="J116">
        <f t="array" ref="J116">INDEX($D$3:$D$62,MATCH(1, (YEAR(I116)=YEAR($A$3:$A$62))*(MONTH(I116)=MONTH($A$3:$A$62)),0))</f>
        <v>137658.3393223813</v>
      </c>
      <c r="K116">
        <f t="array" ref="K116">INDEX($G$3:$G$200,MATCH(1, (YEAR(I116)=YEAR($A$3:$A$2000))*(MONTH(I116)=MONTH($A$3:$A$2000)),0))</f>
        <v>157440.54172781217</v>
      </c>
      <c r="L116">
        <f t="shared" si="3"/>
        <v>124254.87087542399</v>
      </c>
    </row>
    <row r="117" spans="4:12" x14ac:dyDescent="0.25">
      <c r="D117">
        <f t="shared" si="2"/>
        <v>0</v>
      </c>
      <c r="H117">
        <v>115</v>
      </c>
      <c r="I117" s="1">
        <v>45074</v>
      </c>
      <c r="J117">
        <f t="array" ref="J117">INDEX($D$3:$D$62,MATCH(1, (YEAR(I117)=YEAR($A$3:$A$62))*(MONTH(I117)=MONTH($A$3:$A$62)),0))</f>
        <v>137658.3393223813</v>
      </c>
      <c r="K117">
        <f t="array" ref="K117">INDEX($G$3:$G$200,MATCH(1, (YEAR(I117)=YEAR($A$3:$A$2000))*(MONTH(I117)=MONTH($A$3:$A$2000)),0))</f>
        <v>157440.54172781217</v>
      </c>
      <c r="L117">
        <f t="shared" si="3"/>
        <v>124094.12079421899</v>
      </c>
    </row>
    <row r="118" spans="4:12" x14ac:dyDescent="0.25">
      <c r="D118">
        <f t="shared" si="2"/>
        <v>0</v>
      </c>
      <c r="H118">
        <v>116</v>
      </c>
      <c r="I118" s="1">
        <v>45075</v>
      </c>
      <c r="J118">
        <f t="array" ref="J118">INDEX($D$3:$D$62,MATCH(1, (YEAR(I118)=YEAR($A$3:$A$62))*(MONTH(I118)=MONTH($A$3:$A$62)),0))</f>
        <v>137658.3393223813</v>
      </c>
      <c r="K118">
        <f t="array" ref="K118">INDEX($G$3:$G$200,MATCH(1, (YEAR(I118)=YEAR($A$3:$A$2000))*(MONTH(I118)=MONTH($A$3:$A$2000)),0))</f>
        <v>157440.54172781217</v>
      </c>
      <c r="L118">
        <f t="shared" si="3"/>
        <v>123933.645390864</v>
      </c>
    </row>
    <row r="119" spans="4:12" x14ac:dyDescent="0.25">
      <c r="D119">
        <f t="shared" si="2"/>
        <v>0</v>
      </c>
      <c r="H119">
        <v>117</v>
      </c>
      <c r="I119" s="1">
        <v>45076</v>
      </c>
      <c r="J119">
        <f t="array" ref="J119">INDEX($D$3:$D$62,MATCH(1, (YEAR(I119)=YEAR($A$3:$A$62))*(MONTH(I119)=MONTH($A$3:$A$62)),0))</f>
        <v>137658.3393223813</v>
      </c>
      <c r="K119">
        <f t="array" ref="K119">INDEX($G$3:$G$200,MATCH(1, (YEAR(I119)=YEAR($A$3:$A$2000))*(MONTH(I119)=MONTH($A$3:$A$2000)),0))</f>
        <v>157440.54172781217</v>
      </c>
      <c r="L119">
        <f t="shared" si="3"/>
        <v>123773.44427598899</v>
      </c>
    </row>
    <row r="120" spans="4:12" x14ac:dyDescent="0.25">
      <c r="D120">
        <f t="shared" si="2"/>
        <v>0</v>
      </c>
      <c r="H120">
        <v>118</v>
      </c>
      <c r="I120" s="1">
        <v>45077</v>
      </c>
      <c r="J120">
        <f t="array" ref="J120">INDEX($D$3:$D$62,MATCH(1, (YEAR(I120)=YEAR($A$3:$A$62))*(MONTH(I120)=MONTH($A$3:$A$62)),0))</f>
        <v>137658.3393223813</v>
      </c>
      <c r="K120">
        <f t="array" ref="K120">INDEX($G$3:$G$200,MATCH(1, (YEAR(I120)=YEAR($A$3:$A$2000))*(MONTH(I120)=MONTH($A$3:$A$2000)),0))</f>
        <v>157440.54172781217</v>
      </c>
      <c r="L120">
        <f t="shared" si="3"/>
        <v>123613.51706051199</v>
      </c>
    </row>
    <row r="121" spans="4:12" x14ac:dyDescent="0.25">
      <c r="D121">
        <f t="shared" si="2"/>
        <v>0</v>
      </c>
      <c r="H121">
        <v>119</v>
      </c>
      <c r="I121" s="1">
        <v>45078</v>
      </c>
      <c r="J121">
        <f t="array" ref="J121">INDEX($D$3:$D$62,MATCH(1, (YEAR(I121)=YEAR($A$3:$A$62))*(MONTH(I121)=MONTH($A$3:$A$62)),0))</f>
        <v>132158.5908641612</v>
      </c>
      <c r="K121">
        <f t="array" ref="K121">INDEX($G$3:$G$200,MATCH(1, (YEAR(I121)=YEAR($A$3:$A$2000))*(MONTH(I121)=MONTH($A$3:$A$2000)),0))</f>
        <v>162058.43039566814</v>
      </c>
      <c r="L121">
        <f t="shared" si="3"/>
        <v>123453.86335563898</v>
      </c>
    </row>
    <row r="122" spans="4:12" x14ac:dyDescent="0.25">
      <c r="D122">
        <f t="shared" si="2"/>
        <v>0</v>
      </c>
      <c r="H122">
        <v>120</v>
      </c>
      <c r="I122" s="1">
        <v>45079</v>
      </c>
      <c r="J122">
        <f t="array" ref="J122">INDEX($D$3:$D$62,MATCH(1, (YEAR(I122)=YEAR($A$3:$A$62))*(MONTH(I122)=MONTH($A$3:$A$62)),0))</f>
        <v>132158.5908641612</v>
      </c>
      <c r="K122">
        <f t="array" ref="K122">INDEX($G$3:$G$200,MATCH(1, (YEAR(I122)=YEAR($A$3:$A$2000))*(MONTH(I122)=MONTH($A$3:$A$2000)),0))</f>
        <v>162058.43039566814</v>
      </c>
      <c r="L122">
        <f t="shared" si="3"/>
        <v>123294.48277286399</v>
      </c>
    </row>
    <row r="123" spans="4:12" x14ac:dyDescent="0.25">
      <c r="D123">
        <f t="shared" si="2"/>
        <v>0</v>
      </c>
      <c r="H123">
        <v>121</v>
      </c>
      <c r="I123" s="1">
        <v>45080</v>
      </c>
      <c r="J123">
        <f t="array" ref="J123">INDEX($D$3:$D$62,MATCH(1, (YEAR(I123)=YEAR($A$3:$A$62))*(MONTH(I123)=MONTH($A$3:$A$62)),0))</f>
        <v>132158.5908641612</v>
      </c>
      <c r="K123">
        <f t="array" ref="K123">INDEX($G$3:$G$200,MATCH(1, (YEAR(I123)=YEAR($A$3:$A$2000))*(MONTH(I123)=MONTH($A$3:$A$2000)),0))</f>
        <v>162058.43039566814</v>
      </c>
      <c r="L123">
        <f t="shared" si="3"/>
        <v>123135.37492396899</v>
      </c>
    </row>
    <row r="124" spans="4:12" x14ac:dyDescent="0.25">
      <c r="D124">
        <f t="shared" si="2"/>
        <v>0</v>
      </c>
      <c r="H124">
        <v>122</v>
      </c>
      <c r="I124" s="1">
        <v>45081</v>
      </c>
      <c r="J124">
        <f t="array" ref="J124">INDEX($D$3:$D$62,MATCH(1, (YEAR(I124)=YEAR($A$3:$A$62))*(MONTH(I124)=MONTH($A$3:$A$62)),0))</f>
        <v>132158.5908641612</v>
      </c>
      <c r="K124">
        <f t="array" ref="K124">INDEX($G$3:$G$200,MATCH(1, (YEAR(I124)=YEAR($A$3:$A$2000))*(MONTH(I124)=MONTH($A$3:$A$2000)),0))</f>
        <v>162058.43039566814</v>
      </c>
      <c r="L124">
        <f t="shared" si="3"/>
        <v>122976.53942102399</v>
      </c>
    </row>
    <row r="125" spans="4:12" x14ac:dyDescent="0.25">
      <c r="D125">
        <f t="shared" si="2"/>
        <v>0</v>
      </c>
      <c r="H125">
        <v>123</v>
      </c>
      <c r="I125" s="1">
        <v>45082</v>
      </c>
      <c r="J125">
        <f t="array" ref="J125">INDEX($D$3:$D$62,MATCH(1, (YEAR(I125)=YEAR($A$3:$A$62))*(MONTH(I125)=MONTH($A$3:$A$62)),0))</f>
        <v>132158.5908641612</v>
      </c>
      <c r="K125">
        <f t="array" ref="K125">INDEX($G$3:$G$200,MATCH(1, (YEAR(I125)=YEAR($A$3:$A$2000))*(MONTH(I125)=MONTH($A$3:$A$2000)),0))</f>
        <v>162058.43039566814</v>
      </c>
      <c r="L125">
        <f t="shared" si="3"/>
        <v>122817.97587638699</v>
      </c>
    </row>
    <row r="126" spans="4:12" x14ac:dyDescent="0.25">
      <c r="D126">
        <f t="shared" si="2"/>
        <v>0</v>
      </c>
      <c r="H126">
        <v>124</v>
      </c>
      <c r="I126" s="1">
        <v>45083</v>
      </c>
      <c r="J126">
        <f t="array" ref="J126">INDEX($D$3:$D$62,MATCH(1, (YEAR(I126)=YEAR($A$3:$A$62))*(MONTH(I126)=MONTH($A$3:$A$62)),0))</f>
        <v>132158.5908641612</v>
      </c>
      <c r="K126">
        <f t="array" ref="K126">INDEX($G$3:$G$200,MATCH(1, (YEAR(I126)=YEAR($A$3:$A$2000))*(MONTH(I126)=MONTH($A$3:$A$2000)),0))</f>
        <v>162058.43039566814</v>
      </c>
      <c r="L126">
        <f t="shared" si="3"/>
        <v>122659.683902704</v>
      </c>
    </row>
    <row r="127" spans="4:12" x14ac:dyDescent="0.25">
      <c r="D127">
        <f t="shared" si="2"/>
        <v>0</v>
      </c>
      <c r="H127">
        <v>125</v>
      </c>
      <c r="I127" s="1">
        <v>45084</v>
      </c>
      <c r="J127">
        <f t="array" ref="J127">INDEX($D$3:$D$62,MATCH(1, (YEAR(I127)=YEAR($A$3:$A$62))*(MONTH(I127)=MONTH($A$3:$A$62)),0))</f>
        <v>132158.5908641612</v>
      </c>
      <c r="K127">
        <f t="array" ref="K127">INDEX($G$3:$G$200,MATCH(1, (YEAR(I127)=YEAR($A$3:$A$2000))*(MONTH(I127)=MONTH($A$3:$A$2000)),0))</f>
        <v>162058.43039566814</v>
      </c>
      <c r="L127">
        <f t="shared" si="3"/>
        <v>122501.66311290899</v>
      </c>
    </row>
    <row r="128" spans="4:12" x14ac:dyDescent="0.25">
      <c r="D128">
        <f t="shared" si="2"/>
        <v>0</v>
      </c>
      <c r="H128">
        <v>126</v>
      </c>
      <c r="I128" s="1">
        <v>45085</v>
      </c>
      <c r="J128">
        <f t="array" ref="J128">INDEX($D$3:$D$62,MATCH(1, (YEAR(I128)=YEAR($A$3:$A$62))*(MONTH(I128)=MONTH($A$3:$A$62)),0))</f>
        <v>132158.5908641612</v>
      </c>
      <c r="K128">
        <f t="array" ref="K128">INDEX($G$3:$G$200,MATCH(1, (YEAR(I128)=YEAR($A$3:$A$2000))*(MONTH(I128)=MONTH($A$3:$A$2000)),0))</f>
        <v>162058.43039566814</v>
      </c>
      <c r="L128">
        <f t="shared" si="3"/>
        <v>122343.913120224</v>
      </c>
    </row>
    <row r="129" spans="4:12" x14ac:dyDescent="0.25">
      <c r="D129">
        <f t="shared" si="2"/>
        <v>0</v>
      </c>
      <c r="H129">
        <v>127</v>
      </c>
      <c r="I129" s="1">
        <v>45086</v>
      </c>
      <c r="J129">
        <f t="array" ref="J129">INDEX($D$3:$D$62,MATCH(1, (YEAR(I129)=YEAR($A$3:$A$62))*(MONTH(I129)=MONTH($A$3:$A$62)),0))</f>
        <v>132158.5908641612</v>
      </c>
      <c r="K129">
        <f t="array" ref="K129">INDEX($G$3:$G$200,MATCH(1, (YEAR(I129)=YEAR($A$3:$A$2000))*(MONTH(I129)=MONTH($A$3:$A$2000)),0))</f>
        <v>162058.43039566814</v>
      </c>
      <c r="L129">
        <f t="shared" si="3"/>
        <v>122186.43353815899</v>
      </c>
    </row>
    <row r="130" spans="4:12" x14ac:dyDescent="0.25">
      <c r="D130">
        <f t="shared" si="2"/>
        <v>0</v>
      </c>
      <c r="H130">
        <v>128</v>
      </c>
      <c r="I130" s="1">
        <v>45087</v>
      </c>
      <c r="J130">
        <f t="array" ref="J130">INDEX($D$3:$D$62,MATCH(1, (YEAR(I130)=YEAR($A$3:$A$62))*(MONTH(I130)=MONTH($A$3:$A$62)),0))</f>
        <v>132158.5908641612</v>
      </c>
      <c r="K130">
        <f t="array" ref="K130">INDEX($G$3:$G$200,MATCH(1, (YEAR(I130)=YEAR($A$3:$A$2000))*(MONTH(I130)=MONTH($A$3:$A$2000)),0))</f>
        <v>162058.43039566814</v>
      </c>
      <c r="L130">
        <f t="shared" si="3"/>
        <v>122029.22398051199</v>
      </c>
    </row>
    <row r="131" spans="4:12" x14ac:dyDescent="0.25">
      <c r="D131">
        <f t="shared" si="2"/>
        <v>0</v>
      </c>
      <c r="H131">
        <v>129</v>
      </c>
      <c r="I131" s="1">
        <v>45088</v>
      </c>
      <c r="J131">
        <f t="array" ref="J131">INDEX($D$3:$D$62,MATCH(1, (YEAR(I131)=YEAR($A$3:$A$62))*(MONTH(I131)=MONTH($A$3:$A$62)),0))</f>
        <v>132158.5908641612</v>
      </c>
      <c r="K131">
        <f t="array" ref="K131">INDEX($G$3:$G$200,MATCH(1, (YEAR(I131)=YEAR($A$3:$A$2000))*(MONTH(I131)=MONTH($A$3:$A$2000)),0))</f>
        <v>162058.43039566814</v>
      </c>
      <c r="L131">
        <f t="shared" si="3"/>
        <v>121872.28406136899</v>
      </c>
    </row>
    <row r="132" spans="4:12" x14ac:dyDescent="0.25">
      <c r="D132">
        <f t="shared" ref="D132:D195" si="4">SUM(B132:C132)</f>
        <v>0</v>
      </c>
      <c r="H132">
        <v>130</v>
      </c>
      <c r="I132" s="1">
        <v>45089</v>
      </c>
      <c r="J132">
        <f t="array" ref="J132">INDEX($D$3:$D$62,MATCH(1, (YEAR(I132)=YEAR($A$3:$A$62))*(MONTH(I132)=MONTH($A$3:$A$62)),0))</f>
        <v>132158.5908641612</v>
      </c>
      <c r="K132">
        <f t="array" ref="K132">INDEX($G$3:$G$200,MATCH(1, (YEAR(I132)=YEAR($A$3:$A$2000))*(MONTH(I132)=MONTH($A$3:$A$2000)),0))</f>
        <v>162058.43039566814</v>
      </c>
      <c r="L132">
        <f t="shared" ref="L132:L195" si="5">0.000000012*H132^4-0.000070439*H132^3+0.160688168*H132^2-194.849290676*H132+144481.718306784</f>
        <v>121715.613395104</v>
      </c>
    </row>
    <row r="133" spans="4:12" x14ac:dyDescent="0.25">
      <c r="D133">
        <f t="shared" si="4"/>
        <v>0</v>
      </c>
      <c r="H133">
        <v>131</v>
      </c>
      <c r="I133" s="1">
        <v>45090</v>
      </c>
      <c r="J133">
        <f t="array" ref="J133">INDEX($D$3:$D$62,MATCH(1, (YEAR(I133)=YEAR($A$3:$A$62))*(MONTH(I133)=MONTH($A$3:$A$62)),0))</f>
        <v>132158.5908641612</v>
      </c>
      <c r="K133">
        <f t="array" ref="K133">INDEX($G$3:$G$200,MATCH(1, (YEAR(I133)=YEAR($A$3:$A$2000))*(MONTH(I133)=MONTH($A$3:$A$2000)),0))</f>
        <v>162058.43039566814</v>
      </c>
      <c r="L133">
        <f t="shared" si="5"/>
        <v>121559.211596379</v>
      </c>
    </row>
    <row r="134" spans="4:12" x14ac:dyDescent="0.25">
      <c r="D134">
        <f t="shared" si="4"/>
        <v>0</v>
      </c>
      <c r="H134">
        <v>132</v>
      </c>
      <c r="I134" s="1">
        <v>45091</v>
      </c>
      <c r="J134">
        <f t="array" ref="J134">INDEX($D$3:$D$62,MATCH(1, (YEAR(I134)=YEAR($A$3:$A$62))*(MONTH(I134)=MONTH($A$3:$A$62)),0))</f>
        <v>132158.5908641612</v>
      </c>
      <c r="K134">
        <f t="array" ref="K134">INDEX($G$3:$G$200,MATCH(1, (YEAR(I134)=YEAR($A$3:$A$2000))*(MONTH(I134)=MONTH($A$3:$A$2000)),0))</f>
        <v>162058.43039566814</v>
      </c>
      <c r="L134">
        <f t="shared" si="5"/>
        <v>121403.07828014399</v>
      </c>
    </row>
    <row r="135" spans="4:12" x14ac:dyDescent="0.25">
      <c r="D135">
        <f t="shared" si="4"/>
        <v>0</v>
      </c>
      <c r="H135">
        <v>133</v>
      </c>
      <c r="I135" s="1">
        <v>45092</v>
      </c>
      <c r="J135">
        <f t="array" ref="J135">INDEX($D$3:$D$62,MATCH(1, (YEAR(I135)=YEAR($A$3:$A$62))*(MONTH(I135)=MONTH($A$3:$A$62)),0))</f>
        <v>132158.5908641612</v>
      </c>
      <c r="K135">
        <f t="array" ref="K135">INDEX($G$3:$G$200,MATCH(1, (YEAR(I135)=YEAR($A$3:$A$2000))*(MONTH(I135)=MONTH($A$3:$A$2000)),0))</f>
        <v>162058.43039566814</v>
      </c>
      <c r="L135">
        <f t="shared" si="5"/>
        <v>121247.21306163698</v>
      </c>
    </row>
    <row r="136" spans="4:12" x14ac:dyDescent="0.25">
      <c r="D136">
        <f t="shared" si="4"/>
        <v>0</v>
      </c>
      <c r="H136">
        <v>134</v>
      </c>
      <c r="I136" s="1">
        <v>45093</v>
      </c>
      <c r="J136">
        <f t="array" ref="J136">INDEX($D$3:$D$62,MATCH(1, (YEAR(I136)=YEAR($A$3:$A$62))*(MONTH(I136)=MONTH($A$3:$A$62)),0))</f>
        <v>132158.5908641612</v>
      </c>
      <c r="K136">
        <f t="array" ref="K136">INDEX($G$3:$G$200,MATCH(1, (YEAR(I136)=YEAR($A$3:$A$2000))*(MONTH(I136)=MONTH($A$3:$A$2000)),0))</f>
        <v>162058.43039566814</v>
      </c>
      <c r="L136">
        <f t="shared" si="5"/>
        <v>121091.615556384</v>
      </c>
    </row>
    <row r="137" spans="4:12" x14ac:dyDescent="0.25">
      <c r="D137">
        <f t="shared" si="4"/>
        <v>0</v>
      </c>
      <c r="H137">
        <v>135</v>
      </c>
      <c r="I137" s="1">
        <v>45094</v>
      </c>
      <c r="J137">
        <f t="array" ref="J137">INDEX($D$3:$D$62,MATCH(1, (YEAR(I137)=YEAR($A$3:$A$62))*(MONTH(I137)=MONTH($A$3:$A$62)),0))</f>
        <v>132158.5908641612</v>
      </c>
      <c r="K137">
        <f t="array" ref="K137">INDEX($G$3:$G$200,MATCH(1, (YEAR(I137)=YEAR($A$3:$A$2000))*(MONTH(I137)=MONTH($A$3:$A$2000)),0))</f>
        <v>162058.43039566814</v>
      </c>
      <c r="L137">
        <f t="shared" si="5"/>
        <v>120936.285380199</v>
      </c>
    </row>
    <row r="138" spans="4:12" x14ac:dyDescent="0.25">
      <c r="D138">
        <f t="shared" si="4"/>
        <v>0</v>
      </c>
      <c r="H138">
        <v>136</v>
      </c>
      <c r="I138" s="1">
        <v>45095</v>
      </c>
      <c r="J138">
        <f t="array" ref="J138">INDEX($D$3:$D$62,MATCH(1, (YEAR(I138)=YEAR($A$3:$A$62))*(MONTH(I138)=MONTH($A$3:$A$62)),0))</f>
        <v>132158.5908641612</v>
      </c>
      <c r="K138">
        <f t="array" ref="K138">INDEX($G$3:$G$200,MATCH(1, (YEAR(I138)=YEAR($A$3:$A$2000))*(MONTH(I138)=MONTH($A$3:$A$2000)),0))</f>
        <v>162058.43039566814</v>
      </c>
      <c r="L138">
        <f t="shared" si="5"/>
        <v>120781.22214918399</v>
      </c>
    </row>
    <row r="139" spans="4:12" x14ac:dyDescent="0.25">
      <c r="D139">
        <f t="shared" si="4"/>
        <v>0</v>
      </c>
      <c r="H139">
        <v>137</v>
      </c>
      <c r="I139" s="1">
        <v>45096</v>
      </c>
      <c r="J139">
        <f t="array" ref="J139">INDEX($D$3:$D$62,MATCH(1, (YEAR(I139)=YEAR($A$3:$A$62))*(MONTH(I139)=MONTH($A$3:$A$62)),0))</f>
        <v>132158.5908641612</v>
      </c>
      <c r="K139">
        <f t="array" ref="K139">INDEX($G$3:$G$200,MATCH(1, (YEAR(I139)=YEAR($A$3:$A$2000))*(MONTH(I139)=MONTH($A$3:$A$2000)),0))</f>
        <v>162058.43039566814</v>
      </c>
      <c r="L139">
        <f t="shared" si="5"/>
        <v>120626.42547972899</v>
      </c>
    </row>
    <row r="140" spans="4:12" x14ac:dyDescent="0.25">
      <c r="D140">
        <f t="shared" si="4"/>
        <v>0</v>
      </c>
      <c r="H140">
        <v>138</v>
      </c>
      <c r="I140" s="1">
        <v>45097</v>
      </c>
      <c r="J140">
        <f t="array" ref="J140">INDEX($D$3:$D$62,MATCH(1, (YEAR(I140)=YEAR($A$3:$A$62))*(MONTH(I140)=MONTH($A$3:$A$62)),0))</f>
        <v>132158.5908641612</v>
      </c>
      <c r="K140">
        <f t="array" ref="K140">INDEX($G$3:$G$200,MATCH(1, (YEAR(I140)=YEAR($A$3:$A$2000))*(MONTH(I140)=MONTH($A$3:$A$2000)),0))</f>
        <v>162058.43039566814</v>
      </c>
      <c r="L140">
        <f t="shared" si="5"/>
        <v>120471.89498851199</v>
      </c>
    </row>
    <row r="141" spans="4:12" x14ac:dyDescent="0.25">
      <c r="D141">
        <f t="shared" si="4"/>
        <v>0</v>
      </c>
      <c r="H141">
        <v>139</v>
      </c>
      <c r="I141" s="1">
        <v>45098</v>
      </c>
      <c r="J141">
        <f t="array" ref="J141">INDEX($D$3:$D$62,MATCH(1, (YEAR(I141)=YEAR($A$3:$A$62))*(MONTH(I141)=MONTH($A$3:$A$62)),0))</f>
        <v>132158.5908641612</v>
      </c>
      <c r="K141">
        <f t="array" ref="K141">INDEX($G$3:$G$200,MATCH(1, (YEAR(I141)=YEAR($A$3:$A$2000))*(MONTH(I141)=MONTH($A$3:$A$2000)),0))</f>
        <v>162058.43039566814</v>
      </c>
      <c r="L141">
        <f t="shared" si="5"/>
        <v>120317.630292499</v>
      </c>
    </row>
    <row r="142" spans="4:12" x14ac:dyDescent="0.25">
      <c r="D142">
        <f t="shared" si="4"/>
        <v>0</v>
      </c>
      <c r="H142">
        <v>140</v>
      </c>
      <c r="I142" s="1">
        <v>45099</v>
      </c>
      <c r="J142">
        <f t="array" ref="J142">INDEX($D$3:$D$62,MATCH(1, (YEAR(I142)=YEAR($A$3:$A$62))*(MONTH(I142)=MONTH($A$3:$A$62)),0))</f>
        <v>132158.5908641612</v>
      </c>
      <c r="K142">
        <f t="array" ref="K142">INDEX($G$3:$G$200,MATCH(1, (YEAR(I142)=YEAR($A$3:$A$2000))*(MONTH(I142)=MONTH($A$3:$A$2000)),0))</f>
        <v>162058.43039566814</v>
      </c>
      <c r="L142">
        <f t="shared" si="5"/>
        <v>120163.63100894399</v>
      </c>
    </row>
    <row r="143" spans="4:12" x14ac:dyDescent="0.25">
      <c r="D143">
        <f t="shared" si="4"/>
        <v>0</v>
      </c>
      <c r="H143">
        <v>141</v>
      </c>
      <c r="I143" s="1">
        <v>45100</v>
      </c>
      <c r="J143">
        <f t="array" ref="J143">INDEX($D$3:$D$62,MATCH(1, (YEAR(I143)=YEAR($A$3:$A$62))*(MONTH(I143)=MONTH($A$3:$A$62)),0))</f>
        <v>132158.5908641612</v>
      </c>
      <c r="K143">
        <f t="array" ref="K143">INDEX($G$3:$G$200,MATCH(1, (YEAR(I143)=YEAR($A$3:$A$2000))*(MONTH(I143)=MONTH($A$3:$A$2000)),0))</f>
        <v>162058.43039566814</v>
      </c>
      <c r="L143">
        <f t="shared" si="5"/>
        <v>120009.896755389</v>
      </c>
    </row>
    <row r="144" spans="4:12" x14ac:dyDescent="0.25">
      <c r="D144">
        <f t="shared" si="4"/>
        <v>0</v>
      </c>
      <c r="H144">
        <v>142</v>
      </c>
      <c r="I144" s="1">
        <v>45101</v>
      </c>
      <c r="J144">
        <f t="array" ref="J144">INDEX($D$3:$D$62,MATCH(1, (YEAR(I144)=YEAR($A$3:$A$62))*(MONTH(I144)=MONTH($A$3:$A$62)),0))</f>
        <v>132158.5908641612</v>
      </c>
      <c r="K144">
        <f t="array" ref="K144">INDEX($G$3:$G$200,MATCH(1, (YEAR(I144)=YEAR($A$3:$A$2000))*(MONTH(I144)=MONTH($A$3:$A$2000)),0))</f>
        <v>162058.43039566814</v>
      </c>
      <c r="L144">
        <f t="shared" si="5"/>
        <v>119856.427149664</v>
      </c>
    </row>
    <row r="145" spans="4:12" x14ac:dyDescent="0.25">
      <c r="D145">
        <f t="shared" si="4"/>
        <v>0</v>
      </c>
      <c r="H145">
        <v>143</v>
      </c>
      <c r="I145" s="1">
        <v>45102</v>
      </c>
      <c r="J145">
        <f t="array" ref="J145">INDEX($D$3:$D$62,MATCH(1, (YEAR(I145)=YEAR($A$3:$A$62))*(MONTH(I145)=MONTH($A$3:$A$62)),0))</f>
        <v>132158.5908641612</v>
      </c>
      <c r="K145">
        <f t="array" ref="K145">INDEX($G$3:$G$200,MATCH(1, (YEAR(I145)=YEAR($A$3:$A$2000))*(MONTH(I145)=MONTH($A$3:$A$2000)),0))</f>
        <v>162058.43039566814</v>
      </c>
      <c r="L145">
        <f t="shared" si="5"/>
        <v>119703.22180988699</v>
      </c>
    </row>
    <row r="146" spans="4:12" x14ac:dyDescent="0.25">
      <c r="D146">
        <f t="shared" si="4"/>
        <v>0</v>
      </c>
      <c r="H146">
        <v>144</v>
      </c>
      <c r="I146" s="1">
        <v>45103</v>
      </c>
      <c r="J146">
        <f t="array" ref="J146">INDEX($D$3:$D$62,MATCH(1, (YEAR(I146)=YEAR($A$3:$A$62))*(MONTH(I146)=MONTH($A$3:$A$62)),0))</f>
        <v>132158.5908641612</v>
      </c>
      <c r="K146">
        <f t="array" ref="K146">INDEX($G$3:$G$200,MATCH(1, (YEAR(I146)=YEAR($A$3:$A$2000))*(MONTH(I146)=MONTH($A$3:$A$2000)),0))</f>
        <v>162058.43039566814</v>
      </c>
      <c r="L146">
        <f t="shared" si="5"/>
        <v>119550.28035446399</v>
      </c>
    </row>
    <row r="147" spans="4:12" x14ac:dyDescent="0.25">
      <c r="D147">
        <f t="shared" si="4"/>
        <v>0</v>
      </c>
      <c r="H147">
        <v>145</v>
      </c>
      <c r="I147" s="1">
        <v>45104</v>
      </c>
      <c r="J147">
        <f t="array" ref="J147">INDEX($D$3:$D$62,MATCH(1, (YEAR(I147)=YEAR($A$3:$A$62))*(MONTH(I147)=MONTH($A$3:$A$62)),0))</f>
        <v>132158.5908641612</v>
      </c>
      <c r="K147">
        <f t="array" ref="K147">INDEX($G$3:$G$200,MATCH(1, (YEAR(I147)=YEAR($A$3:$A$2000))*(MONTH(I147)=MONTH($A$3:$A$2000)),0))</f>
        <v>162058.43039566814</v>
      </c>
      <c r="L147">
        <f t="shared" si="5"/>
        <v>119397.60240208899</v>
      </c>
    </row>
    <row r="148" spans="4:12" x14ac:dyDescent="0.25">
      <c r="D148">
        <f t="shared" si="4"/>
        <v>0</v>
      </c>
      <c r="H148">
        <v>146</v>
      </c>
      <c r="I148" s="1">
        <v>45105</v>
      </c>
      <c r="J148">
        <f t="array" ref="J148">INDEX($D$3:$D$62,MATCH(1, (YEAR(I148)=YEAR($A$3:$A$62))*(MONTH(I148)=MONTH($A$3:$A$62)),0))</f>
        <v>132158.5908641612</v>
      </c>
      <c r="K148">
        <f t="array" ref="K148">INDEX($G$3:$G$200,MATCH(1, (YEAR(I148)=YEAR($A$3:$A$2000))*(MONTH(I148)=MONTH($A$3:$A$2000)),0))</f>
        <v>162058.43039566814</v>
      </c>
      <c r="L148">
        <f t="shared" si="5"/>
        <v>119245.187571744</v>
      </c>
    </row>
    <row r="149" spans="4:12" x14ac:dyDescent="0.25">
      <c r="D149">
        <f t="shared" si="4"/>
        <v>0</v>
      </c>
      <c r="H149">
        <v>147</v>
      </c>
      <c r="I149" s="1">
        <v>45106</v>
      </c>
      <c r="J149">
        <f t="array" ref="J149">INDEX($D$3:$D$62,MATCH(1, (YEAR(I149)=YEAR($A$3:$A$62))*(MONTH(I149)=MONTH($A$3:$A$62)),0))</f>
        <v>132158.5908641612</v>
      </c>
      <c r="K149">
        <f t="array" ref="K149">INDEX($G$3:$G$200,MATCH(1, (YEAR(I149)=YEAR($A$3:$A$2000))*(MONTH(I149)=MONTH($A$3:$A$2000)),0))</f>
        <v>162058.43039566814</v>
      </c>
      <c r="L149">
        <f t="shared" si="5"/>
        <v>119093.03548269899</v>
      </c>
    </row>
    <row r="150" spans="4:12" x14ac:dyDescent="0.25">
      <c r="D150">
        <f t="shared" si="4"/>
        <v>0</v>
      </c>
      <c r="H150">
        <v>148</v>
      </c>
      <c r="I150" s="1">
        <v>45107</v>
      </c>
      <c r="J150">
        <f t="array" ref="J150">INDEX($D$3:$D$62,MATCH(1, (YEAR(I150)=YEAR($A$3:$A$62))*(MONTH(I150)=MONTH($A$3:$A$62)),0))</f>
        <v>132158.5908641612</v>
      </c>
      <c r="K150">
        <f t="array" ref="K150">INDEX($G$3:$G$200,MATCH(1, (YEAR(I150)=YEAR($A$3:$A$2000))*(MONTH(I150)=MONTH($A$3:$A$2000)),0))</f>
        <v>162058.43039566814</v>
      </c>
      <c r="L150">
        <f t="shared" si="5"/>
        <v>118941.14575451199</v>
      </c>
    </row>
    <row r="151" spans="4:12" x14ac:dyDescent="0.25">
      <c r="D151">
        <f t="shared" si="4"/>
        <v>0</v>
      </c>
      <c r="H151">
        <v>149</v>
      </c>
      <c r="I151" s="1">
        <v>45108</v>
      </c>
      <c r="J151">
        <f t="array" ref="J151">INDEX($D$3:$D$62,MATCH(1, (YEAR(I151)=YEAR($A$3:$A$62))*(MONTH(I151)=MONTH($A$3:$A$62)),0))</f>
        <v>127151.4092029774</v>
      </c>
      <c r="K151">
        <f t="array" ref="K151">INDEX($G$3:$G$200,MATCH(1, (YEAR(I151)=YEAR($A$3:$A$2000))*(MONTH(I151)=MONTH($A$3:$A$2000)),0))</f>
        <v>158934.3083266411</v>
      </c>
      <c r="L151">
        <f t="shared" si="5"/>
        <v>118789.51800702899</v>
      </c>
    </row>
    <row r="152" spans="4:12" x14ac:dyDescent="0.25">
      <c r="D152">
        <f t="shared" si="4"/>
        <v>0</v>
      </c>
      <c r="H152">
        <v>150</v>
      </c>
      <c r="I152" s="1">
        <v>45109</v>
      </c>
      <c r="J152">
        <f t="array" ref="J152">INDEX($D$3:$D$62,MATCH(1, (YEAR(I152)=YEAR($A$3:$A$62))*(MONTH(I152)=MONTH($A$3:$A$62)),0))</f>
        <v>127151.4092029774</v>
      </c>
      <c r="K152">
        <f t="array" ref="K152">INDEX($G$3:$G$200,MATCH(1, (YEAR(I152)=YEAR($A$3:$A$2000))*(MONTH(I152)=MONTH($A$3:$A$2000)),0))</f>
        <v>158934.3083266411</v>
      </c>
      <c r="L152">
        <f t="shared" si="5"/>
        <v>118638.15186038399</v>
      </c>
    </row>
    <row r="153" spans="4:12" x14ac:dyDescent="0.25">
      <c r="D153">
        <f t="shared" si="4"/>
        <v>0</v>
      </c>
      <c r="H153">
        <v>151</v>
      </c>
      <c r="I153" s="1">
        <v>45110</v>
      </c>
      <c r="J153">
        <f t="array" ref="J153">INDEX($D$3:$D$62,MATCH(1, (YEAR(I153)=YEAR($A$3:$A$62))*(MONTH(I153)=MONTH($A$3:$A$62)),0))</f>
        <v>127151.4092029774</v>
      </c>
      <c r="K153">
        <f t="array" ref="K153">INDEX($G$3:$G$200,MATCH(1, (YEAR(I153)=YEAR($A$3:$A$2000))*(MONTH(I153)=MONTH($A$3:$A$2000)),0))</f>
        <v>158934.3083266411</v>
      </c>
      <c r="L153">
        <f t="shared" si="5"/>
        <v>118487.04693499899</v>
      </c>
    </row>
    <row r="154" spans="4:12" x14ac:dyDescent="0.25">
      <c r="D154">
        <f t="shared" si="4"/>
        <v>0</v>
      </c>
      <c r="H154">
        <v>152</v>
      </c>
      <c r="I154" s="1">
        <v>45111</v>
      </c>
      <c r="J154">
        <f t="array" ref="J154">INDEX($D$3:$D$62,MATCH(1, (YEAR(I154)=YEAR($A$3:$A$62))*(MONTH(I154)=MONTH($A$3:$A$62)),0))</f>
        <v>127151.4092029774</v>
      </c>
      <c r="K154">
        <f t="array" ref="K154">INDEX($G$3:$G$200,MATCH(1, (YEAR(I154)=YEAR($A$3:$A$2000))*(MONTH(I154)=MONTH($A$3:$A$2000)),0))</f>
        <v>158934.3083266411</v>
      </c>
      <c r="L154">
        <f t="shared" si="5"/>
        <v>118336.20285158399</v>
      </c>
    </row>
    <row r="155" spans="4:12" x14ac:dyDescent="0.25">
      <c r="D155">
        <f t="shared" si="4"/>
        <v>0</v>
      </c>
      <c r="H155">
        <v>153</v>
      </c>
      <c r="I155" s="1">
        <v>45112</v>
      </c>
      <c r="J155">
        <f t="array" ref="J155">INDEX($D$3:$D$62,MATCH(1, (YEAR(I155)=YEAR($A$3:$A$62))*(MONTH(I155)=MONTH($A$3:$A$62)),0))</f>
        <v>127151.4092029774</v>
      </c>
      <c r="K155">
        <f t="array" ref="K155">INDEX($G$3:$G$200,MATCH(1, (YEAR(I155)=YEAR($A$3:$A$2000))*(MONTH(I155)=MONTH($A$3:$A$2000)),0))</f>
        <v>158934.3083266411</v>
      </c>
      <c r="L155">
        <f t="shared" si="5"/>
        <v>118185.619231137</v>
      </c>
    </row>
    <row r="156" spans="4:12" x14ac:dyDescent="0.25">
      <c r="D156">
        <f t="shared" si="4"/>
        <v>0</v>
      </c>
      <c r="H156">
        <v>154</v>
      </c>
      <c r="I156" s="1">
        <v>45113</v>
      </c>
      <c r="J156">
        <f t="array" ref="J156">INDEX($D$3:$D$62,MATCH(1, (YEAR(I156)=YEAR($A$3:$A$62))*(MONTH(I156)=MONTH($A$3:$A$62)),0))</f>
        <v>127151.4092029774</v>
      </c>
      <c r="K156">
        <f t="array" ref="K156">INDEX($G$3:$G$200,MATCH(1, (YEAR(I156)=YEAR($A$3:$A$2000))*(MONTH(I156)=MONTH($A$3:$A$2000)),0))</f>
        <v>158934.3083266411</v>
      </c>
      <c r="L156">
        <f t="shared" si="5"/>
        <v>118035.295694944</v>
      </c>
    </row>
    <row r="157" spans="4:12" x14ac:dyDescent="0.25">
      <c r="D157">
        <f t="shared" si="4"/>
        <v>0</v>
      </c>
      <c r="H157">
        <v>155</v>
      </c>
      <c r="I157" s="1">
        <v>45114</v>
      </c>
      <c r="J157">
        <f t="array" ref="J157">INDEX($D$3:$D$62,MATCH(1, (YEAR(I157)=YEAR($A$3:$A$62))*(MONTH(I157)=MONTH($A$3:$A$62)),0))</f>
        <v>127151.4092029774</v>
      </c>
      <c r="K157">
        <f t="array" ref="K157">INDEX($G$3:$G$200,MATCH(1, (YEAR(I157)=YEAR($A$3:$A$2000))*(MONTH(I157)=MONTH($A$3:$A$2000)),0))</f>
        <v>158934.3083266411</v>
      </c>
      <c r="L157">
        <f t="shared" si="5"/>
        <v>117885.23186457899</v>
      </c>
    </row>
    <row r="158" spans="4:12" x14ac:dyDescent="0.25">
      <c r="D158">
        <f t="shared" si="4"/>
        <v>0</v>
      </c>
      <c r="H158">
        <v>156</v>
      </c>
      <c r="I158" s="1">
        <v>45115</v>
      </c>
      <c r="J158">
        <f t="array" ref="J158">INDEX($D$3:$D$62,MATCH(1, (YEAR(I158)=YEAR($A$3:$A$62))*(MONTH(I158)=MONTH($A$3:$A$62)),0))</f>
        <v>127151.4092029774</v>
      </c>
      <c r="K158">
        <f t="array" ref="K158">INDEX($G$3:$G$200,MATCH(1, (YEAR(I158)=YEAR($A$3:$A$2000))*(MONTH(I158)=MONTH($A$3:$A$2000)),0))</f>
        <v>158934.3083266411</v>
      </c>
      <c r="L158">
        <f t="shared" si="5"/>
        <v>117735.42736190399</v>
      </c>
    </row>
    <row r="159" spans="4:12" x14ac:dyDescent="0.25">
      <c r="D159">
        <f t="shared" si="4"/>
        <v>0</v>
      </c>
      <c r="H159">
        <v>157</v>
      </c>
      <c r="I159" s="1">
        <v>45116</v>
      </c>
      <c r="J159">
        <f t="array" ref="J159">INDEX($D$3:$D$62,MATCH(1, (YEAR(I159)=YEAR($A$3:$A$62))*(MONTH(I159)=MONTH($A$3:$A$62)),0))</f>
        <v>127151.4092029774</v>
      </c>
      <c r="K159">
        <f t="array" ref="K159">INDEX($G$3:$G$200,MATCH(1, (YEAR(I159)=YEAR($A$3:$A$2000))*(MONTH(I159)=MONTH($A$3:$A$2000)),0))</f>
        <v>158934.3083266411</v>
      </c>
      <c r="L159">
        <f t="shared" si="5"/>
        <v>117585.88180906899</v>
      </c>
    </row>
    <row r="160" spans="4:12" x14ac:dyDescent="0.25">
      <c r="D160">
        <f t="shared" si="4"/>
        <v>0</v>
      </c>
      <c r="H160">
        <v>158</v>
      </c>
      <c r="I160" s="1">
        <v>45117</v>
      </c>
      <c r="J160">
        <f t="array" ref="J160">INDEX($D$3:$D$62,MATCH(1, (YEAR(I160)=YEAR($A$3:$A$62))*(MONTH(I160)=MONTH($A$3:$A$62)),0))</f>
        <v>127151.4092029774</v>
      </c>
      <c r="K160">
        <f t="array" ref="K160">INDEX($G$3:$G$200,MATCH(1, (YEAR(I160)=YEAR($A$3:$A$2000))*(MONTH(I160)=MONTH($A$3:$A$2000)),0))</f>
        <v>158934.3083266411</v>
      </c>
      <c r="L160">
        <f t="shared" si="5"/>
        <v>117436.594828512</v>
      </c>
    </row>
    <row r="161" spans="4:12" x14ac:dyDescent="0.25">
      <c r="D161">
        <f t="shared" si="4"/>
        <v>0</v>
      </c>
      <c r="H161">
        <v>159</v>
      </c>
      <c r="I161" s="1">
        <v>45118</v>
      </c>
      <c r="J161">
        <f t="array" ref="J161">INDEX($D$3:$D$62,MATCH(1, (YEAR(I161)=YEAR($A$3:$A$62))*(MONTH(I161)=MONTH($A$3:$A$62)),0))</f>
        <v>127151.4092029774</v>
      </c>
      <c r="K161">
        <f t="array" ref="K161">INDEX($G$3:$G$200,MATCH(1, (YEAR(I161)=YEAR($A$3:$A$2000))*(MONTH(I161)=MONTH($A$3:$A$2000)),0))</f>
        <v>158934.3083266411</v>
      </c>
      <c r="L161">
        <f t="shared" si="5"/>
        <v>117287.56604295899</v>
      </c>
    </row>
    <row r="162" spans="4:12" x14ac:dyDescent="0.25">
      <c r="D162">
        <f t="shared" si="4"/>
        <v>0</v>
      </c>
      <c r="H162">
        <v>160</v>
      </c>
      <c r="I162" s="1">
        <v>45119</v>
      </c>
      <c r="J162">
        <f t="array" ref="J162">INDEX($D$3:$D$62,MATCH(1, (YEAR(I162)=YEAR($A$3:$A$62))*(MONTH(I162)=MONTH($A$3:$A$62)),0))</f>
        <v>127151.4092029774</v>
      </c>
      <c r="K162">
        <f t="array" ref="K162">INDEX($G$3:$G$200,MATCH(1, (YEAR(I162)=YEAR($A$3:$A$2000))*(MONTH(I162)=MONTH($A$3:$A$2000)),0))</f>
        <v>158934.3083266411</v>
      </c>
      <c r="L162">
        <f t="shared" si="5"/>
        <v>117138.79507542399</v>
      </c>
    </row>
    <row r="163" spans="4:12" x14ac:dyDescent="0.25">
      <c r="D163">
        <f t="shared" si="4"/>
        <v>0</v>
      </c>
      <c r="H163">
        <v>161</v>
      </c>
      <c r="I163" s="1">
        <v>45120</v>
      </c>
      <c r="J163">
        <f t="array" ref="J163">INDEX($D$3:$D$62,MATCH(1, (YEAR(I163)=YEAR($A$3:$A$62))*(MONTH(I163)=MONTH($A$3:$A$62)),0))</f>
        <v>127151.4092029774</v>
      </c>
      <c r="K163">
        <f t="array" ref="K163">INDEX($G$3:$G$200,MATCH(1, (YEAR(I163)=YEAR($A$3:$A$2000))*(MONTH(I163)=MONTH($A$3:$A$2000)),0))</f>
        <v>158934.3083266411</v>
      </c>
      <c r="L163">
        <f t="shared" si="5"/>
        <v>116990.281549209</v>
      </c>
    </row>
    <row r="164" spans="4:12" x14ac:dyDescent="0.25">
      <c r="D164">
        <f t="shared" si="4"/>
        <v>0</v>
      </c>
      <c r="H164">
        <v>162</v>
      </c>
      <c r="I164" s="1">
        <v>45121</v>
      </c>
      <c r="J164">
        <f t="array" ref="J164">INDEX($D$3:$D$62,MATCH(1, (YEAR(I164)=YEAR($A$3:$A$62))*(MONTH(I164)=MONTH($A$3:$A$62)),0))</f>
        <v>127151.4092029774</v>
      </c>
      <c r="K164">
        <f t="array" ref="K164">INDEX($G$3:$G$200,MATCH(1, (YEAR(I164)=YEAR($A$3:$A$2000))*(MONTH(I164)=MONTH($A$3:$A$2000)),0))</f>
        <v>158934.3083266411</v>
      </c>
      <c r="L164">
        <f t="shared" si="5"/>
        <v>116842.025087904</v>
      </c>
    </row>
    <row r="165" spans="4:12" x14ac:dyDescent="0.25">
      <c r="D165">
        <f t="shared" si="4"/>
        <v>0</v>
      </c>
      <c r="H165">
        <v>163</v>
      </c>
      <c r="I165" s="1">
        <v>45122</v>
      </c>
      <c r="J165">
        <f t="array" ref="J165">INDEX($D$3:$D$62,MATCH(1, (YEAR(I165)=YEAR($A$3:$A$62))*(MONTH(I165)=MONTH($A$3:$A$62)),0))</f>
        <v>127151.4092029774</v>
      </c>
      <c r="K165">
        <f t="array" ref="K165">INDEX($G$3:$G$200,MATCH(1, (YEAR(I165)=YEAR($A$3:$A$2000))*(MONTH(I165)=MONTH($A$3:$A$2000)),0))</f>
        <v>158934.3083266411</v>
      </c>
      <c r="L165">
        <f t="shared" si="5"/>
        <v>116694.025315387</v>
      </c>
    </row>
    <row r="166" spans="4:12" x14ac:dyDescent="0.25">
      <c r="D166">
        <f t="shared" si="4"/>
        <v>0</v>
      </c>
      <c r="H166">
        <v>164</v>
      </c>
      <c r="I166" s="1">
        <v>45123</v>
      </c>
      <c r="J166">
        <f t="array" ref="J166">INDEX($D$3:$D$62,MATCH(1, (YEAR(I166)=YEAR($A$3:$A$62))*(MONTH(I166)=MONTH($A$3:$A$62)),0))</f>
        <v>127151.4092029774</v>
      </c>
      <c r="K166">
        <f t="array" ref="K166">INDEX($G$3:$G$200,MATCH(1, (YEAR(I166)=YEAR($A$3:$A$2000))*(MONTH(I166)=MONTH($A$3:$A$2000)),0))</f>
        <v>158934.3083266411</v>
      </c>
      <c r="L166">
        <f t="shared" si="5"/>
        <v>116546.281855824</v>
      </c>
    </row>
    <row r="167" spans="4:12" x14ac:dyDescent="0.25">
      <c r="D167">
        <f t="shared" si="4"/>
        <v>0</v>
      </c>
      <c r="H167">
        <v>165</v>
      </c>
      <c r="I167" s="1">
        <v>45124</v>
      </c>
      <c r="J167">
        <f t="array" ref="J167">INDEX($D$3:$D$62,MATCH(1, (YEAR(I167)=YEAR($A$3:$A$62))*(MONTH(I167)=MONTH($A$3:$A$62)),0))</f>
        <v>127151.4092029774</v>
      </c>
      <c r="K167">
        <f t="array" ref="K167">INDEX($G$3:$G$200,MATCH(1, (YEAR(I167)=YEAR($A$3:$A$2000))*(MONTH(I167)=MONTH($A$3:$A$2000)),0))</f>
        <v>158934.3083266411</v>
      </c>
      <c r="L167">
        <f t="shared" si="5"/>
        <v>116398.79433366899</v>
      </c>
    </row>
    <row r="168" spans="4:12" x14ac:dyDescent="0.25">
      <c r="D168">
        <f t="shared" si="4"/>
        <v>0</v>
      </c>
      <c r="H168">
        <v>166</v>
      </c>
      <c r="I168" s="1">
        <v>45125</v>
      </c>
      <c r="J168">
        <f t="array" ref="J168">INDEX($D$3:$D$62,MATCH(1, (YEAR(I168)=YEAR($A$3:$A$62))*(MONTH(I168)=MONTH($A$3:$A$62)),0))</f>
        <v>127151.4092029774</v>
      </c>
      <c r="K168">
        <f t="array" ref="K168">INDEX($G$3:$G$200,MATCH(1, (YEAR(I168)=YEAR($A$3:$A$2000))*(MONTH(I168)=MONTH($A$3:$A$2000)),0))</f>
        <v>158934.3083266411</v>
      </c>
      <c r="L168">
        <f t="shared" si="5"/>
        <v>116251.562373664</v>
      </c>
    </row>
    <row r="169" spans="4:12" x14ac:dyDescent="0.25">
      <c r="D169">
        <f t="shared" si="4"/>
        <v>0</v>
      </c>
      <c r="H169">
        <v>167</v>
      </c>
      <c r="I169" s="1">
        <v>45126</v>
      </c>
      <c r="J169">
        <f t="array" ref="J169">INDEX($D$3:$D$62,MATCH(1, (YEAR(I169)=YEAR($A$3:$A$62))*(MONTH(I169)=MONTH($A$3:$A$62)),0))</f>
        <v>127151.4092029774</v>
      </c>
      <c r="K169">
        <f t="array" ref="K169">INDEX($G$3:$G$200,MATCH(1, (YEAR(I169)=YEAR($A$3:$A$2000))*(MONTH(I169)=MONTH($A$3:$A$2000)),0))</f>
        <v>158934.3083266411</v>
      </c>
      <c r="L169">
        <f t="shared" si="5"/>
        <v>116104.585600839</v>
      </c>
    </row>
    <row r="170" spans="4:12" x14ac:dyDescent="0.25">
      <c r="D170">
        <f t="shared" si="4"/>
        <v>0</v>
      </c>
      <c r="H170">
        <v>168</v>
      </c>
      <c r="I170" s="1">
        <v>45127</v>
      </c>
      <c r="J170">
        <f t="array" ref="J170">INDEX($D$3:$D$62,MATCH(1, (YEAR(I170)=YEAR($A$3:$A$62))*(MONTH(I170)=MONTH($A$3:$A$62)),0))</f>
        <v>127151.4092029774</v>
      </c>
      <c r="K170">
        <f t="array" ref="K170">INDEX($G$3:$G$200,MATCH(1, (YEAR(I170)=YEAR($A$3:$A$2000))*(MONTH(I170)=MONTH($A$3:$A$2000)),0))</f>
        <v>158934.3083266411</v>
      </c>
      <c r="L170">
        <f t="shared" si="5"/>
        <v>115957.86364051199</v>
      </c>
    </row>
    <row r="171" spans="4:12" x14ac:dyDescent="0.25">
      <c r="D171">
        <f t="shared" si="4"/>
        <v>0</v>
      </c>
      <c r="H171">
        <v>169</v>
      </c>
      <c r="I171" s="1">
        <v>45128</v>
      </c>
      <c r="J171">
        <f t="array" ref="J171">INDEX($D$3:$D$62,MATCH(1, (YEAR(I171)=YEAR($A$3:$A$62))*(MONTH(I171)=MONTH($A$3:$A$62)),0))</f>
        <v>127151.4092029774</v>
      </c>
      <c r="K171">
        <f t="array" ref="K171">INDEX($G$3:$G$200,MATCH(1, (YEAR(I171)=YEAR($A$3:$A$2000))*(MONTH(I171)=MONTH($A$3:$A$2000)),0))</f>
        <v>158934.3083266411</v>
      </c>
      <c r="L171">
        <f t="shared" si="5"/>
        <v>115811.39611828899</v>
      </c>
    </row>
    <row r="172" spans="4:12" x14ac:dyDescent="0.25">
      <c r="D172">
        <f t="shared" si="4"/>
        <v>0</v>
      </c>
      <c r="H172">
        <v>170</v>
      </c>
      <c r="I172" s="1">
        <v>45129</v>
      </c>
      <c r="J172">
        <f t="array" ref="J172">INDEX($D$3:$D$62,MATCH(1, (YEAR(I172)=YEAR($A$3:$A$62))*(MONTH(I172)=MONTH($A$3:$A$62)),0))</f>
        <v>127151.4092029774</v>
      </c>
      <c r="K172">
        <f t="array" ref="K172">INDEX($G$3:$G$200,MATCH(1, (YEAR(I172)=YEAR($A$3:$A$2000))*(MONTH(I172)=MONTH($A$3:$A$2000)),0))</f>
        <v>158934.3083266411</v>
      </c>
      <c r="L172">
        <f t="shared" si="5"/>
        <v>115665.18266006399</v>
      </c>
    </row>
    <row r="173" spans="4:12" x14ac:dyDescent="0.25">
      <c r="D173">
        <f t="shared" si="4"/>
        <v>0</v>
      </c>
      <c r="H173">
        <v>171</v>
      </c>
      <c r="I173" s="1">
        <v>45130</v>
      </c>
      <c r="J173">
        <f t="array" ref="J173">INDEX($D$3:$D$62,MATCH(1, (YEAR(I173)=YEAR($A$3:$A$62))*(MONTH(I173)=MONTH($A$3:$A$62)),0))</f>
        <v>127151.4092029774</v>
      </c>
      <c r="K173">
        <f t="array" ref="K173">INDEX($G$3:$G$200,MATCH(1, (YEAR(I173)=YEAR($A$3:$A$2000))*(MONTH(I173)=MONTH($A$3:$A$2000)),0))</f>
        <v>158934.3083266411</v>
      </c>
      <c r="L173">
        <f t="shared" si="5"/>
        <v>115519.222892019</v>
      </c>
    </row>
    <row r="174" spans="4:12" x14ac:dyDescent="0.25">
      <c r="D174">
        <f t="shared" si="4"/>
        <v>0</v>
      </c>
      <c r="H174">
        <v>172</v>
      </c>
      <c r="I174" s="1">
        <v>45131</v>
      </c>
      <c r="J174">
        <f t="array" ref="J174">INDEX($D$3:$D$62,MATCH(1, (YEAR(I174)=YEAR($A$3:$A$62))*(MONTH(I174)=MONTH($A$3:$A$62)),0))</f>
        <v>127151.4092029774</v>
      </c>
      <c r="K174">
        <f t="array" ref="K174">INDEX($G$3:$G$200,MATCH(1, (YEAR(I174)=YEAR($A$3:$A$2000))*(MONTH(I174)=MONTH($A$3:$A$2000)),0))</f>
        <v>158934.3083266411</v>
      </c>
      <c r="L174">
        <f t="shared" si="5"/>
        <v>115373.51644062399</v>
      </c>
    </row>
    <row r="175" spans="4:12" x14ac:dyDescent="0.25">
      <c r="D175">
        <f t="shared" si="4"/>
        <v>0</v>
      </c>
      <c r="H175">
        <v>173</v>
      </c>
      <c r="I175" s="1">
        <v>45132</v>
      </c>
      <c r="J175">
        <f t="array" ref="J175">INDEX($D$3:$D$62,MATCH(1, (YEAR(I175)=YEAR($A$3:$A$62))*(MONTH(I175)=MONTH($A$3:$A$62)),0))</f>
        <v>127151.4092029774</v>
      </c>
      <c r="K175">
        <f t="array" ref="K175">INDEX($G$3:$G$200,MATCH(1, (YEAR(I175)=YEAR($A$3:$A$2000))*(MONTH(I175)=MONTH($A$3:$A$2000)),0))</f>
        <v>158934.3083266411</v>
      </c>
      <c r="L175">
        <f t="shared" si="5"/>
        <v>115228.062932637</v>
      </c>
    </row>
    <row r="176" spans="4:12" x14ac:dyDescent="0.25">
      <c r="D176">
        <f t="shared" si="4"/>
        <v>0</v>
      </c>
      <c r="H176">
        <v>174</v>
      </c>
      <c r="I176" s="1">
        <v>45133</v>
      </c>
      <c r="J176">
        <f t="array" ref="J176">INDEX($D$3:$D$62,MATCH(1, (YEAR(I176)=YEAR($A$3:$A$62))*(MONTH(I176)=MONTH($A$3:$A$62)),0))</f>
        <v>127151.4092029774</v>
      </c>
      <c r="K176">
        <f t="array" ref="K176">INDEX($G$3:$G$200,MATCH(1, (YEAR(I176)=YEAR($A$3:$A$2000))*(MONTH(I176)=MONTH($A$3:$A$2000)),0))</f>
        <v>158934.3083266411</v>
      </c>
      <c r="L176">
        <f t="shared" si="5"/>
        <v>115082.86199510399</v>
      </c>
    </row>
    <row r="177" spans="4:12" x14ac:dyDescent="0.25">
      <c r="D177">
        <f t="shared" si="4"/>
        <v>0</v>
      </c>
      <c r="H177">
        <v>175</v>
      </c>
      <c r="I177" s="1">
        <v>45134</v>
      </c>
      <c r="J177">
        <f t="array" ref="J177">INDEX($D$3:$D$62,MATCH(1, (YEAR(I177)=YEAR($A$3:$A$62))*(MONTH(I177)=MONTH($A$3:$A$62)),0))</f>
        <v>127151.4092029774</v>
      </c>
      <c r="K177">
        <f t="array" ref="K177">INDEX($G$3:$G$200,MATCH(1, (YEAR(I177)=YEAR($A$3:$A$2000))*(MONTH(I177)=MONTH($A$3:$A$2000)),0))</f>
        <v>158934.3083266411</v>
      </c>
      <c r="L177">
        <f t="shared" si="5"/>
        <v>114937.91325535899</v>
      </c>
    </row>
    <row r="178" spans="4:12" x14ac:dyDescent="0.25">
      <c r="D178">
        <f t="shared" si="4"/>
        <v>0</v>
      </c>
      <c r="H178">
        <v>176</v>
      </c>
      <c r="I178" s="1">
        <v>45135</v>
      </c>
      <c r="J178">
        <f t="array" ref="J178">INDEX($D$3:$D$62,MATCH(1, (YEAR(I178)=YEAR($A$3:$A$62))*(MONTH(I178)=MONTH($A$3:$A$62)),0))</f>
        <v>127151.4092029774</v>
      </c>
      <c r="K178">
        <f t="array" ref="K178">INDEX($G$3:$G$200,MATCH(1, (YEAR(I178)=YEAR($A$3:$A$2000))*(MONTH(I178)=MONTH($A$3:$A$2000)),0))</f>
        <v>158934.3083266411</v>
      </c>
      <c r="L178">
        <f t="shared" si="5"/>
        <v>114793.216341024</v>
      </c>
    </row>
    <row r="179" spans="4:12" x14ac:dyDescent="0.25">
      <c r="D179">
        <f t="shared" si="4"/>
        <v>0</v>
      </c>
      <c r="H179">
        <v>177</v>
      </c>
      <c r="I179" s="1">
        <v>45136</v>
      </c>
      <c r="J179">
        <f t="array" ref="J179">INDEX($D$3:$D$62,MATCH(1, (YEAR(I179)=YEAR($A$3:$A$62))*(MONTH(I179)=MONTH($A$3:$A$62)),0))</f>
        <v>127151.4092029774</v>
      </c>
      <c r="K179">
        <f t="array" ref="K179">INDEX($G$3:$G$200,MATCH(1, (YEAR(I179)=YEAR($A$3:$A$2000))*(MONTH(I179)=MONTH($A$3:$A$2000)),0))</f>
        <v>158934.3083266411</v>
      </c>
      <c r="L179">
        <f t="shared" si="5"/>
        <v>114648.77088000899</v>
      </c>
    </row>
    <row r="180" spans="4:12" x14ac:dyDescent="0.25">
      <c r="D180">
        <f t="shared" si="4"/>
        <v>0</v>
      </c>
      <c r="H180">
        <v>178</v>
      </c>
      <c r="I180" s="1">
        <v>45137</v>
      </c>
      <c r="J180">
        <f t="array" ref="J180">INDEX($D$3:$D$62,MATCH(1, (YEAR(I180)=YEAR($A$3:$A$62))*(MONTH(I180)=MONTH($A$3:$A$62)),0))</f>
        <v>127151.4092029774</v>
      </c>
      <c r="K180">
        <f t="array" ref="K180">INDEX($G$3:$G$200,MATCH(1, (YEAR(I180)=YEAR($A$3:$A$2000))*(MONTH(I180)=MONTH($A$3:$A$2000)),0))</f>
        <v>158934.3083266411</v>
      </c>
      <c r="L180">
        <f t="shared" si="5"/>
        <v>114504.57650051199</v>
      </c>
    </row>
    <row r="181" spans="4:12" x14ac:dyDescent="0.25">
      <c r="D181">
        <f t="shared" si="4"/>
        <v>0</v>
      </c>
      <c r="H181">
        <v>179</v>
      </c>
      <c r="I181" s="1">
        <v>45138</v>
      </c>
      <c r="J181">
        <f t="array" ref="J181">INDEX($D$3:$D$62,MATCH(1, (YEAR(I181)=YEAR($A$3:$A$62))*(MONTH(I181)=MONTH($A$3:$A$62)),0))</f>
        <v>127151.4092029774</v>
      </c>
      <c r="K181">
        <f t="array" ref="K181">INDEX($G$3:$G$200,MATCH(1, (YEAR(I181)=YEAR($A$3:$A$2000))*(MONTH(I181)=MONTH($A$3:$A$2000)),0))</f>
        <v>158934.3083266411</v>
      </c>
      <c r="L181">
        <f t="shared" si="5"/>
        <v>114360.632831019</v>
      </c>
    </row>
    <row r="182" spans="4:12" x14ac:dyDescent="0.25">
      <c r="D182">
        <f t="shared" si="4"/>
        <v>0</v>
      </c>
      <c r="H182">
        <v>180</v>
      </c>
      <c r="I182" s="1">
        <v>45139</v>
      </c>
      <c r="J182">
        <f t="array" ref="J182">INDEX($D$3:$D$62,MATCH(1, (YEAR(I182)=YEAR($A$3:$A$62))*(MONTH(I182)=MONTH($A$3:$A$62)),0))</f>
        <v>122546.0585539169</v>
      </c>
      <c r="K182">
        <f t="array" ref="K182">INDEX($G$3:$G$200,MATCH(1, (YEAR(I182)=YEAR($A$3:$A$2000))*(MONTH(I182)=MONTH($A$3:$A$2000)),0))</f>
        <v>156896.13280993374</v>
      </c>
      <c r="L182">
        <f t="shared" si="5"/>
        <v>114216.939500304</v>
      </c>
    </row>
    <row r="183" spans="4:12" x14ac:dyDescent="0.25">
      <c r="D183">
        <f t="shared" si="4"/>
        <v>0</v>
      </c>
      <c r="H183">
        <v>181</v>
      </c>
      <c r="I183" s="1">
        <v>45140</v>
      </c>
      <c r="J183">
        <f t="array" ref="J183">INDEX($D$3:$D$62,MATCH(1, (YEAR(I183)=YEAR($A$3:$A$62))*(MONTH(I183)=MONTH($A$3:$A$62)),0))</f>
        <v>122546.0585539169</v>
      </c>
      <c r="K183">
        <f t="array" ref="K183">INDEX($G$3:$G$200,MATCH(1, (YEAR(I183)=YEAR($A$3:$A$2000))*(MONTH(I183)=MONTH($A$3:$A$2000)),0))</f>
        <v>156896.13280993374</v>
      </c>
      <c r="L183">
        <f t="shared" si="5"/>
        <v>114073.496137429</v>
      </c>
    </row>
    <row r="184" spans="4:12" x14ac:dyDescent="0.25">
      <c r="D184">
        <f t="shared" si="4"/>
        <v>0</v>
      </c>
      <c r="H184">
        <v>182</v>
      </c>
      <c r="I184" s="1">
        <v>45141</v>
      </c>
      <c r="J184">
        <f t="array" ref="J184">INDEX($D$3:$D$62,MATCH(1, (YEAR(I184)=YEAR($A$3:$A$62))*(MONTH(I184)=MONTH($A$3:$A$62)),0))</f>
        <v>122546.0585539169</v>
      </c>
      <c r="K184">
        <f t="array" ref="K184">INDEX($G$3:$G$200,MATCH(1, (YEAR(I184)=YEAR($A$3:$A$2000))*(MONTH(I184)=MONTH($A$3:$A$2000)),0))</f>
        <v>156896.13280993374</v>
      </c>
      <c r="L184">
        <f t="shared" si="5"/>
        <v>113930.30237174399</v>
      </c>
    </row>
    <row r="185" spans="4:12" x14ac:dyDescent="0.25">
      <c r="D185">
        <f t="shared" si="4"/>
        <v>0</v>
      </c>
      <c r="H185">
        <v>183</v>
      </c>
      <c r="I185" s="1">
        <v>45142</v>
      </c>
      <c r="J185">
        <f t="array" ref="J185">INDEX($D$3:$D$62,MATCH(1, (YEAR(I185)=YEAR($A$3:$A$62))*(MONTH(I185)=MONTH($A$3:$A$62)),0))</f>
        <v>122546.0585539169</v>
      </c>
      <c r="K185">
        <f t="array" ref="K185">INDEX($G$3:$G$200,MATCH(1, (YEAR(I185)=YEAR($A$3:$A$2000))*(MONTH(I185)=MONTH($A$3:$A$2000)),0))</f>
        <v>156896.13280993374</v>
      </c>
      <c r="L185">
        <f t="shared" si="5"/>
        <v>113787.35783288699</v>
      </c>
    </row>
    <row r="186" spans="4:12" x14ac:dyDescent="0.25">
      <c r="D186">
        <f t="shared" si="4"/>
        <v>0</v>
      </c>
      <c r="H186">
        <v>184</v>
      </c>
      <c r="I186" s="1">
        <v>45143</v>
      </c>
      <c r="J186">
        <f t="array" ref="J186">INDEX($D$3:$D$62,MATCH(1, (YEAR(I186)=YEAR($A$3:$A$62))*(MONTH(I186)=MONTH($A$3:$A$62)),0))</f>
        <v>122546.0585539169</v>
      </c>
      <c r="K186">
        <f t="array" ref="K186">INDEX($G$3:$G$200,MATCH(1, (YEAR(I186)=YEAR($A$3:$A$2000))*(MONTH(I186)=MONTH($A$3:$A$2000)),0))</f>
        <v>156896.13280993374</v>
      </c>
      <c r="L186">
        <f t="shared" si="5"/>
        <v>113644.66215078399</v>
      </c>
    </row>
    <row r="187" spans="4:12" x14ac:dyDescent="0.25">
      <c r="D187">
        <f t="shared" si="4"/>
        <v>0</v>
      </c>
      <c r="H187">
        <v>185</v>
      </c>
      <c r="I187" s="1">
        <v>45144</v>
      </c>
      <c r="J187">
        <f t="array" ref="J187">INDEX($D$3:$D$62,MATCH(1, (YEAR(I187)=YEAR($A$3:$A$62))*(MONTH(I187)=MONTH($A$3:$A$62)),0))</f>
        <v>122546.0585539169</v>
      </c>
      <c r="K187">
        <f t="array" ref="K187">INDEX($G$3:$G$200,MATCH(1, (YEAR(I187)=YEAR($A$3:$A$2000))*(MONTH(I187)=MONTH($A$3:$A$2000)),0))</f>
        <v>156896.13280993374</v>
      </c>
      <c r="L187">
        <f t="shared" si="5"/>
        <v>113502.21495564899</v>
      </c>
    </row>
    <row r="188" spans="4:12" x14ac:dyDescent="0.25">
      <c r="D188">
        <f t="shared" si="4"/>
        <v>0</v>
      </c>
      <c r="H188">
        <v>186</v>
      </c>
      <c r="I188" s="1">
        <v>45145</v>
      </c>
      <c r="J188">
        <f t="array" ref="J188">INDEX($D$3:$D$62,MATCH(1, (YEAR(I188)=YEAR($A$3:$A$62))*(MONTH(I188)=MONTH($A$3:$A$62)),0))</f>
        <v>122546.0585539169</v>
      </c>
      <c r="K188">
        <f t="array" ref="K188">INDEX($G$3:$G$200,MATCH(1, (YEAR(I188)=YEAR($A$3:$A$2000))*(MONTH(I188)=MONTH($A$3:$A$2000)),0))</f>
        <v>156896.13280993374</v>
      </c>
      <c r="L188">
        <f t="shared" si="5"/>
        <v>113360.015877984</v>
      </c>
    </row>
    <row r="189" spans="4:12" x14ac:dyDescent="0.25">
      <c r="D189">
        <f t="shared" si="4"/>
        <v>0</v>
      </c>
      <c r="H189">
        <v>187</v>
      </c>
      <c r="I189" s="1">
        <v>45146</v>
      </c>
      <c r="J189">
        <f t="array" ref="J189">INDEX($D$3:$D$62,MATCH(1, (YEAR(I189)=YEAR($A$3:$A$62))*(MONTH(I189)=MONTH($A$3:$A$62)),0))</f>
        <v>122546.0585539169</v>
      </c>
      <c r="K189">
        <f t="array" ref="K189">INDEX($G$3:$G$200,MATCH(1, (YEAR(I189)=YEAR($A$3:$A$2000))*(MONTH(I189)=MONTH($A$3:$A$2000)),0))</f>
        <v>156896.13280993374</v>
      </c>
      <c r="L189">
        <f t="shared" si="5"/>
        <v>113218.06454857899</v>
      </c>
    </row>
    <row r="190" spans="4:12" x14ac:dyDescent="0.25">
      <c r="D190">
        <f t="shared" si="4"/>
        <v>0</v>
      </c>
      <c r="H190">
        <v>188</v>
      </c>
      <c r="I190" s="1">
        <v>45147</v>
      </c>
      <c r="J190">
        <f t="array" ref="J190">INDEX($D$3:$D$62,MATCH(1, (YEAR(I190)=YEAR($A$3:$A$62))*(MONTH(I190)=MONTH($A$3:$A$62)),0))</f>
        <v>122546.0585539169</v>
      </c>
      <c r="K190">
        <f t="array" ref="K190">INDEX($G$3:$G$200,MATCH(1, (YEAR(I190)=YEAR($A$3:$A$2000))*(MONTH(I190)=MONTH($A$3:$A$2000)),0))</f>
        <v>156896.13280993374</v>
      </c>
      <c r="L190">
        <f t="shared" si="5"/>
        <v>113076.36059851199</v>
      </c>
    </row>
    <row r="191" spans="4:12" x14ac:dyDescent="0.25">
      <c r="D191">
        <f t="shared" si="4"/>
        <v>0</v>
      </c>
      <c r="H191">
        <v>189</v>
      </c>
      <c r="I191" s="1">
        <v>45148</v>
      </c>
      <c r="J191">
        <f t="array" ref="J191">INDEX($D$3:$D$62,MATCH(1, (YEAR(I191)=YEAR($A$3:$A$62))*(MONTH(I191)=MONTH($A$3:$A$62)),0))</f>
        <v>122546.0585539169</v>
      </c>
      <c r="K191">
        <f t="array" ref="K191">INDEX($G$3:$G$200,MATCH(1, (YEAR(I191)=YEAR($A$3:$A$2000))*(MONTH(I191)=MONTH($A$3:$A$2000)),0))</f>
        <v>156896.13280993374</v>
      </c>
      <c r="L191">
        <f t="shared" si="5"/>
        <v>112934.90365914899</v>
      </c>
    </row>
    <row r="192" spans="4:12" x14ac:dyDescent="0.25">
      <c r="D192">
        <f t="shared" si="4"/>
        <v>0</v>
      </c>
      <c r="H192">
        <v>190</v>
      </c>
      <c r="I192" s="1">
        <v>45149</v>
      </c>
      <c r="J192">
        <f t="array" ref="J192">INDEX($D$3:$D$62,MATCH(1, (YEAR(I192)=YEAR($A$3:$A$62))*(MONTH(I192)=MONTH($A$3:$A$62)),0))</f>
        <v>122546.0585539169</v>
      </c>
      <c r="K192">
        <f t="array" ref="K192">INDEX($G$3:$G$200,MATCH(1, (YEAR(I192)=YEAR($A$3:$A$2000))*(MONTH(I192)=MONTH($A$3:$A$2000)),0))</f>
        <v>156896.13280993374</v>
      </c>
      <c r="L192">
        <f t="shared" si="5"/>
        <v>112793.693362144</v>
      </c>
    </row>
    <row r="193" spans="4:12" x14ac:dyDescent="0.25">
      <c r="D193">
        <f t="shared" si="4"/>
        <v>0</v>
      </c>
      <c r="H193">
        <v>191</v>
      </c>
      <c r="I193" s="1">
        <v>45150</v>
      </c>
      <c r="J193">
        <f t="array" ref="J193">INDEX($D$3:$D$62,MATCH(1, (YEAR(I193)=YEAR($A$3:$A$62))*(MONTH(I193)=MONTH($A$3:$A$62)),0))</f>
        <v>122546.0585539169</v>
      </c>
      <c r="K193">
        <f t="array" ref="K193">INDEX($G$3:$G$200,MATCH(1, (YEAR(I193)=YEAR($A$3:$A$2000))*(MONTH(I193)=MONTH($A$3:$A$2000)),0))</f>
        <v>156896.13280993374</v>
      </c>
      <c r="L193">
        <f t="shared" si="5"/>
        <v>112652.72933943899</v>
      </c>
    </row>
    <row r="194" spans="4:12" x14ac:dyDescent="0.25">
      <c r="D194">
        <f t="shared" si="4"/>
        <v>0</v>
      </c>
      <c r="H194">
        <v>192</v>
      </c>
      <c r="I194" s="1">
        <v>45151</v>
      </c>
      <c r="J194">
        <f t="array" ref="J194">INDEX($D$3:$D$62,MATCH(1, (YEAR(I194)=YEAR($A$3:$A$62))*(MONTH(I194)=MONTH($A$3:$A$62)),0))</f>
        <v>122546.0585539169</v>
      </c>
      <c r="K194">
        <f t="array" ref="K194">INDEX($G$3:$G$200,MATCH(1, (YEAR(I194)=YEAR($A$3:$A$2000))*(MONTH(I194)=MONTH($A$3:$A$2000)),0))</f>
        <v>156896.13280993374</v>
      </c>
      <c r="L194">
        <f t="shared" si="5"/>
        <v>112512.01122326399</v>
      </c>
    </row>
    <row r="195" spans="4:12" x14ac:dyDescent="0.25">
      <c r="D195">
        <f t="shared" si="4"/>
        <v>0</v>
      </c>
      <c r="H195">
        <v>193</v>
      </c>
      <c r="I195" s="1">
        <v>45152</v>
      </c>
      <c r="J195">
        <f t="array" ref="J195">INDEX($D$3:$D$62,MATCH(1, (YEAR(I195)=YEAR($A$3:$A$62))*(MONTH(I195)=MONTH($A$3:$A$62)),0))</f>
        <v>122546.0585539169</v>
      </c>
      <c r="K195">
        <f t="array" ref="K195">INDEX($G$3:$G$200,MATCH(1, (YEAR(I195)=YEAR($A$3:$A$2000))*(MONTH(I195)=MONTH($A$3:$A$2000)),0))</f>
        <v>156896.13280993374</v>
      </c>
      <c r="L195">
        <f t="shared" si="5"/>
        <v>112371.53864613699</v>
      </c>
    </row>
    <row r="196" spans="4:12" x14ac:dyDescent="0.25">
      <c r="D196">
        <f t="shared" ref="D196:D259" si="6">SUM(B196:C196)</f>
        <v>0</v>
      </c>
      <c r="H196">
        <v>194</v>
      </c>
      <c r="I196" s="1">
        <v>45153</v>
      </c>
      <c r="J196">
        <f t="array" ref="J196">INDEX($D$3:$D$62,MATCH(1, (YEAR(I196)=YEAR($A$3:$A$62))*(MONTH(I196)=MONTH($A$3:$A$62)),0))</f>
        <v>122546.0585539169</v>
      </c>
      <c r="K196">
        <f t="array" ref="K196">INDEX($G$3:$G$200,MATCH(1, (YEAR(I196)=YEAR($A$3:$A$2000))*(MONTH(I196)=MONTH($A$3:$A$2000)),0))</f>
        <v>156896.13280993374</v>
      </c>
      <c r="L196">
        <f t="shared" ref="L196:L259" si="7">0.000000012*H196^4-0.000070439*H196^3+0.160688168*H196^2-194.849290676*H196+144481.718306784</f>
        <v>112231.31124086399</v>
      </c>
    </row>
    <row r="197" spans="4:12" x14ac:dyDescent="0.25">
      <c r="D197">
        <f t="shared" si="6"/>
        <v>0</v>
      </c>
      <c r="H197">
        <v>195</v>
      </c>
      <c r="I197" s="1">
        <v>45154</v>
      </c>
      <c r="J197">
        <f t="array" ref="J197">INDEX($D$3:$D$62,MATCH(1, (YEAR(I197)=YEAR($A$3:$A$62))*(MONTH(I197)=MONTH($A$3:$A$62)),0))</f>
        <v>122546.0585539169</v>
      </c>
      <c r="K197">
        <f t="array" ref="K197">INDEX($G$3:$G$200,MATCH(1, (YEAR(I197)=YEAR($A$3:$A$2000))*(MONTH(I197)=MONTH($A$3:$A$2000)),0))</f>
        <v>156896.13280993374</v>
      </c>
      <c r="L197">
        <f t="shared" si="7"/>
        <v>112091.328640539</v>
      </c>
    </row>
    <row r="198" spans="4:12" x14ac:dyDescent="0.25">
      <c r="D198">
        <f t="shared" si="6"/>
        <v>0</v>
      </c>
      <c r="H198">
        <v>196</v>
      </c>
      <c r="I198" s="1">
        <v>45155</v>
      </c>
      <c r="J198">
        <f t="array" ref="J198">INDEX($D$3:$D$62,MATCH(1, (YEAR(I198)=YEAR($A$3:$A$62))*(MONTH(I198)=MONTH($A$3:$A$62)),0))</f>
        <v>122546.0585539169</v>
      </c>
      <c r="K198">
        <f t="array" ref="K198">INDEX($G$3:$G$200,MATCH(1, (YEAR(I198)=YEAR($A$3:$A$2000))*(MONTH(I198)=MONTH($A$3:$A$2000)),0))</f>
        <v>156896.13280993374</v>
      </c>
      <c r="L198">
        <f t="shared" si="7"/>
        <v>111951.59047854399</v>
      </c>
    </row>
    <row r="199" spans="4:12" x14ac:dyDescent="0.25">
      <c r="D199">
        <f t="shared" si="6"/>
        <v>0</v>
      </c>
      <c r="H199">
        <v>197</v>
      </c>
      <c r="I199" s="1">
        <v>45156</v>
      </c>
      <c r="J199">
        <f t="array" ref="J199">INDEX($D$3:$D$62,MATCH(1, (YEAR(I199)=YEAR($A$3:$A$62))*(MONTH(I199)=MONTH($A$3:$A$62)),0))</f>
        <v>122546.0585539169</v>
      </c>
      <c r="K199">
        <f t="array" ref="K199">INDEX($G$3:$G$200,MATCH(1, (YEAR(I199)=YEAR($A$3:$A$2000))*(MONTH(I199)=MONTH($A$3:$A$2000)),0))</f>
        <v>156896.13280993374</v>
      </c>
      <c r="L199">
        <f t="shared" si="7"/>
        <v>111812.09638854899</v>
      </c>
    </row>
    <row r="200" spans="4:12" x14ac:dyDescent="0.25">
      <c r="D200">
        <f t="shared" si="6"/>
        <v>0</v>
      </c>
      <c r="H200">
        <v>198</v>
      </c>
      <c r="I200" s="1">
        <v>45157</v>
      </c>
      <c r="J200">
        <f t="array" ref="J200">INDEX($D$3:$D$62,MATCH(1, (YEAR(I200)=YEAR($A$3:$A$62))*(MONTH(I200)=MONTH($A$3:$A$62)),0))</f>
        <v>122546.0585539169</v>
      </c>
      <c r="K200">
        <f t="array" ref="K200">INDEX($G$3:$G$200,MATCH(1, (YEAR(I200)=YEAR($A$3:$A$2000))*(MONTH(I200)=MONTH($A$3:$A$2000)),0))</f>
        <v>156896.13280993374</v>
      </c>
      <c r="L200">
        <f t="shared" si="7"/>
        <v>111672.84600451199</v>
      </c>
    </row>
    <row r="201" spans="4:12" x14ac:dyDescent="0.25">
      <c r="D201">
        <f t="shared" si="6"/>
        <v>0</v>
      </c>
      <c r="H201">
        <v>199</v>
      </c>
      <c r="I201" s="1">
        <v>45158</v>
      </c>
      <c r="J201">
        <f t="array" ref="J201">INDEX($D$3:$D$62,MATCH(1, (YEAR(I201)=YEAR($A$3:$A$62))*(MONTH(I201)=MONTH($A$3:$A$62)),0))</f>
        <v>122546.0585539169</v>
      </c>
      <c r="K201">
        <f t="array" ref="K201">INDEX($G$3:$G$200,MATCH(1, (YEAR(I201)=YEAR($A$3:$A$2000))*(MONTH(I201)=MONTH($A$3:$A$2000)),0))</f>
        <v>156896.13280993374</v>
      </c>
      <c r="L201">
        <f t="shared" si="7"/>
        <v>111533.83896067899</v>
      </c>
    </row>
    <row r="202" spans="4:12" x14ac:dyDescent="0.25">
      <c r="D202">
        <f t="shared" si="6"/>
        <v>0</v>
      </c>
      <c r="H202">
        <v>200</v>
      </c>
      <c r="I202" s="1">
        <v>45159</v>
      </c>
      <c r="J202">
        <f t="array" ref="J202">INDEX($D$3:$D$62,MATCH(1, (YEAR(I202)=YEAR($A$3:$A$62))*(MONTH(I202)=MONTH($A$3:$A$62)),0))</f>
        <v>122546.0585539169</v>
      </c>
      <c r="K202">
        <f t="array" ref="K202">INDEX($G$3:$G$200,MATCH(1, (YEAR(I202)=YEAR($A$3:$A$2000))*(MONTH(I202)=MONTH($A$3:$A$2000)),0))</f>
        <v>156896.13280993374</v>
      </c>
      <c r="L202">
        <f t="shared" si="7"/>
        <v>111395.07489158399</v>
      </c>
    </row>
    <row r="203" spans="4:12" x14ac:dyDescent="0.25">
      <c r="D203">
        <f t="shared" si="6"/>
        <v>0</v>
      </c>
      <c r="H203">
        <v>201</v>
      </c>
      <c r="I203" s="1">
        <v>45160</v>
      </c>
      <c r="J203">
        <f t="array" ref="J203">INDEX($D$3:$D$62,MATCH(1, (YEAR(I203)=YEAR($A$3:$A$62))*(MONTH(I203)=MONTH($A$3:$A$62)),0))</f>
        <v>122546.0585539169</v>
      </c>
      <c r="K203">
        <f t="array" ref="K203">INDEX($G$3:$G$200,MATCH(1, (YEAR(I203)=YEAR($A$3:$A$2000))*(MONTH(I203)=MONTH($A$3:$A$2000)),0))</f>
        <v>156896.13280993374</v>
      </c>
      <c r="L203">
        <f t="shared" si="7"/>
        <v>111256.553432049</v>
      </c>
    </row>
    <row r="204" spans="4:12" x14ac:dyDescent="0.25">
      <c r="D204">
        <f t="shared" si="6"/>
        <v>0</v>
      </c>
      <c r="H204">
        <v>202</v>
      </c>
      <c r="I204" s="1">
        <v>45161</v>
      </c>
      <c r="J204">
        <f t="array" ref="J204">INDEX($D$3:$D$62,MATCH(1, (YEAR(I204)=YEAR($A$3:$A$62))*(MONTH(I204)=MONTH($A$3:$A$62)),0))</f>
        <v>122546.0585539169</v>
      </c>
      <c r="K204">
        <f t="array" ref="K204">INDEX($G$3:$G$200,MATCH(1, (YEAR(I204)=YEAR($A$3:$A$2000))*(MONTH(I204)=MONTH($A$3:$A$2000)),0))</f>
        <v>156896.13280993374</v>
      </c>
      <c r="L204">
        <f t="shared" si="7"/>
        <v>111118.27421718399</v>
      </c>
    </row>
    <row r="205" spans="4:12" x14ac:dyDescent="0.25">
      <c r="D205">
        <f t="shared" si="6"/>
        <v>0</v>
      </c>
      <c r="H205">
        <v>203</v>
      </c>
      <c r="I205" s="1">
        <v>45162</v>
      </c>
      <c r="J205">
        <f t="array" ref="J205">INDEX($D$3:$D$62,MATCH(1, (YEAR(I205)=YEAR($A$3:$A$62))*(MONTH(I205)=MONTH($A$3:$A$62)),0))</f>
        <v>122546.0585539169</v>
      </c>
      <c r="K205">
        <f t="array" ref="K205">INDEX($G$3:$G$200,MATCH(1, (YEAR(I205)=YEAR($A$3:$A$2000))*(MONTH(I205)=MONTH($A$3:$A$2000)),0))</f>
        <v>156896.13280993374</v>
      </c>
      <c r="L205">
        <f t="shared" si="7"/>
        <v>110980.23688238699</v>
      </c>
    </row>
    <row r="206" spans="4:12" x14ac:dyDescent="0.25">
      <c r="D206">
        <f t="shared" si="6"/>
        <v>0</v>
      </c>
      <c r="H206">
        <v>204</v>
      </c>
      <c r="I206" s="1">
        <v>45163</v>
      </c>
      <c r="J206">
        <f t="array" ref="J206">INDEX($D$3:$D$62,MATCH(1, (YEAR(I206)=YEAR($A$3:$A$62))*(MONTH(I206)=MONTH($A$3:$A$62)),0))</f>
        <v>122546.0585539169</v>
      </c>
      <c r="K206">
        <f t="array" ref="K206">INDEX($G$3:$G$200,MATCH(1, (YEAR(I206)=YEAR($A$3:$A$2000))*(MONTH(I206)=MONTH($A$3:$A$2000)),0))</f>
        <v>156896.13280993374</v>
      </c>
      <c r="L206">
        <f t="shared" si="7"/>
        <v>110842.44106334398</v>
      </c>
    </row>
    <row r="207" spans="4:12" x14ac:dyDescent="0.25">
      <c r="D207">
        <f t="shared" si="6"/>
        <v>0</v>
      </c>
      <c r="H207">
        <v>205</v>
      </c>
      <c r="I207" s="1">
        <v>45164</v>
      </c>
      <c r="J207">
        <f t="array" ref="J207">INDEX($D$3:$D$62,MATCH(1, (YEAR(I207)=YEAR($A$3:$A$62))*(MONTH(I207)=MONTH($A$3:$A$62)),0))</f>
        <v>122546.0585539169</v>
      </c>
      <c r="K207">
        <f t="array" ref="K207">INDEX($G$3:$G$200,MATCH(1, (YEAR(I207)=YEAR($A$3:$A$2000))*(MONTH(I207)=MONTH($A$3:$A$2000)),0))</f>
        <v>156896.13280993374</v>
      </c>
      <c r="L207">
        <f t="shared" si="7"/>
        <v>110704.88639602899</v>
      </c>
    </row>
    <row r="208" spans="4:12" x14ac:dyDescent="0.25">
      <c r="D208">
        <f t="shared" si="6"/>
        <v>0</v>
      </c>
      <c r="H208">
        <v>206</v>
      </c>
      <c r="I208" s="1">
        <v>45165</v>
      </c>
      <c r="J208">
        <f t="array" ref="J208">INDEX($D$3:$D$62,MATCH(1, (YEAR(I208)=YEAR($A$3:$A$62))*(MONTH(I208)=MONTH($A$3:$A$62)),0))</f>
        <v>122546.0585539169</v>
      </c>
      <c r="K208">
        <f t="array" ref="K208">INDEX($G$3:$G$200,MATCH(1, (YEAR(I208)=YEAR($A$3:$A$2000))*(MONTH(I208)=MONTH($A$3:$A$2000)),0))</f>
        <v>156896.13280993374</v>
      </c>
      <c r="L208">
        <f t="shared" si="7"/>
        <v>110567.57251670399</v>
      </c>
    </row>
    <row r="209" spans="4:12" x14ac:dyDescent="0.25">
      <c r="D209">
        <f t="shared" si="6"/>
        <v>0</v>
      </c>
      <c r="H209">
        <v>207</v>
      </c>
      <c r="I209" s="1">
        <v>45166</v>
      </c>
      <c r="J209">
        <f t="array" ref="J209">INDEX($D$3:$D$62,MATCH(1, (YEAR(I209)=YEAR($A$3:$A$62))*(MONTH(I209)=MONTH($A$3:$A$62)),0))</f>
        <v>122546.0585539169</v>
      </c>
      <c r="K209">
        <f t="array" ref="K209">INDEX($G$3:$G$200,MATCH(1, (YEAR(I209)=YEAR($A$3:$A$2000))*(MONTH(I209)=MONTH($A$3:$A$2000)),0))</f>
        <v>156896.13280993374</v>
      </c>
      <c r="L209">
        <f t="shared" si="7"/>
        <v>110430.49906191899</v>
      </c>
    </row>
    <row r="210" spans="4:12" x14ac:dyDescent="0.25">
      <c r="D210">
        <f t="shared" si="6"/>
        <v>0</v>
      </c>
      <c r="H210">
        <v>208</v>
      </c>
      <c r="I210" s="1">
        <v>45167</v>
      </c>
      <c r="J210">
        <f t="array" ref="J210">INDEX($D$3:$D$62,MATCH(1, (YEAR(I210)=YEAR($A$3:$A$62))*(MONTH(I210)=MONTH($A$3:$A$62)),0))</f>
        <v>122546.0585539169</v>
      </c>
      <c r="K210">
        <f t="array" ref="K210">INDEX($G$3:$G$200,MATCH(1, (YEAR(I210)=YEAR($A$3:$A$2000))*(MONTH(I210)=MONTH($A$3:$A$2000)),0))</f>
        <v>156896.13280993374</v>
      </c>
      <c r="L210">
        <f t="shared" si="7"/>
        <v>110293.665668512</v>
      </c>
    </row>
    <row r="211" spans="4:12" x14ac:dyDescent="0.25">
      <c r="D211">
        <f t="shared" si="6"/>
        <v>0</v>
      </c>
      <c r="H211">
        <v>209</v>
      </c>
      <c r="I211" s="1">
        <v>45168</v>
      </c>
      <c r="J211">
        <f t="array" ref="J211">INDEX($D$3:$D$62,MATCH(1, (YEAR(I211)=YEAR($A$3:$A$62))*(MONTH(I211)=MONTH($A$3:$A$62)),0))</f>
        <v>122546.0585539169</v>
      </c>
      <c r="K211">
        <f t="array" ref="K211">INDEX($G$3:$G$200,MATCH(1, (YEAR(I211)=YEAR($A$3:$A$2000))*(MONTH(I211)=MONTH($A$3:$A$2000)),0))</f>
        <v>156896.13280993374</v>
      </c>
      <c r="L211">
        <f t="shared" si="7"/>
        <v>110157.071973609</v>
      </c>
    </row>
    <row r="212" spans="4:12" x14ac:dyDescent="0.25">
      <c r="D212">
        <f t="shared" si="6"/>
        <v>0</v>
      </c>
      <c r="H212">
        <v>210</v>
      </c>
      <c r="I212" s="1">
        <v>45169</v>
      </c>
      <c r="J212">
        <f t="array" ref="J212">INDEX($D$3:$D$62,MATCH(1, (YEAR(I212)=YEAR($A$3:$A$62))*(MONTH(I212)=MONTH($A$3:$A$62)),0))</f>
        <v>122546.0585539169</v>
      </c>
      <c r="K212">
        <f t="array" ref="K212">INDEX($G$3:$G$200,MATCH(1, (YEAR(I212)=YEAR($A$3:$A$2000))*(MONTH(I212)=MONTH($A$3:$A$2000)),0))</f>
        <v>156896.13280993374</v>
      </c>
      <c r="L212">
        <f t="shared" si="7"/>
        <v>110020.71761462399</v>
      </c>
    </row>
    <row r="213" spans="4:12" x14ac:dyDescent="0.25">
      <c r="D213">
        <f t="shared" si="6"/>
        <v>0</v>
      </c>
      <c r="H213">
        <v>211</v>
      </c>
      <c r="I213" s="1">
        <v>45170</v>
      </c>
      <c r="J213">
        <f t="array" ref="J213">INDEX($D$3:$D$62,MATCH(1, (YEAR(I213)=YEAR($A$3:$A$62))*(MONTH(I213)=MONTH($A$3:$A$62)),0))</f>
        <v>118174.21808005929</v>
      </c>
      <c r="K213">
        <f t="array" ref="K213">INDEX($G$3:$G$200,MATCH(1, (YEAR(I213)=YEAR($A$3:$A$2000))*(MONTH(I213)=MONTH($A$3:$A$2000)),0))</f>
        <v>153840.94417226737</v>
      </c>
      <c r="L213">
        <f t="shared" si="7"/>
        <v>109884.60222925899</v>
      </c>
    </row>
    <row r="214" spans="4:12" x14ac:dyDescent="0.25">
      <c r="D214">
        <f t="shared" si="6"/>
        <v>0</v>
      </c>
      <c r="H214">
        <v>212</v>
      </c>
      <c r="I214" s="1">
        <v>45171</v>
      </c>
      <c r="J214">
        <f t="array" ref="J214">INDEX($D$3:$D$62,MATCH(1, (YEAR(I214)=YEAR($A$3:$A$62))*(MONTH(I214)=MONTH($A$3:$A$62)),0))</f>
        <v>118174.21808005929</v>
      </c>
      <c r="K214">
        <f t="array" ref="K214">INDEX($G$3:$G$200,MATCH(1, (YEAR(I214)=YEAR($A$3:$A$2000))*(MONTH(I214)=MONTH($A$3:$A$2000)),0))</f>
        <v>153840.94417226737</v>
      </c>
      <c r="L214">
        <f t="shared" si="7"/>
        <v>109748.725455504</v>
      </c>
    </row>
    <row r="215" spans="4:12" x14ac:dyDescent="0.25">
      <c r="D215">
        <f t="shared" si="6"/>
        <v>0</v>
      </c>
      <c r="H215">
        <v>213</v>
      </c>
      <c r="I215" s="1">
        <v>45172</v>
      </c>
      <c r="J215">
        <f t="array" ref="J215">INDEX($D$3:$D$62,MATCH(1, (YEAR(I215)=YEAR($A$3:$A$62))*(MONTH(I215)=MONTH($A$3:$A$62)),0))</f>
        <v>118174.21808005929</v>
      </c>
      <c r="K215">
        <f t="array" ref="K215">INDEX($G$3:$G$200,MATCH(1, (YEAR(I215)=YEAR($A$3:$A$2000))*(MONTH(I215)=MONTH($A$3:$A$2000)),0))</f>
        <v>153840.94417226737</v>
      </c>
      <c r="L215">
        <f t="shared" si="7"/>
        <v>109613.08693163699</v>
      </c>
    </row>
    <row r="216" spans="4:12" x14ac:dyDescent="0.25">
      <c r="D216">
        <f t="shared" si="6"/>
        <v>0</v>
      </c>
      <c r="H216">
        <v>214</v>
      </c>
      <c r="I216" s="1">
        <v>45173</v>
      </c>
      <c r="J216">
        <f t="array" ref="J216">INDEX($D$3:$D$62,MATCH(1, (YEAR(I216)=YEAR($A$3:$A$62))*(MONTH(I216)=MONTH($A$3:$A$62)),0))</f>
        <v>118174.21808005929</v>
      </c>
      <c r="K216">
        <f t="array" ref="K216">INDEX($G$3:$G$200,MATCH(1, (YEAR(I216)=YEAR($A$3:$A$2000))*(MONTH(I216)=MONTH($A$3:$A$2000)),0))</f>
        <v>153840.94417226737</v>
      </c>
      <c r="L216">
        <f t="shared" si="7"/>
        <v>109477.686296224</v>
      </c>
    </row>
    <row r="217" spans="4:12" x14ac:dyDescent="0.25">
      <c r="D217">
        <f t="shared" si="6"/>
        <v>0</v>
      </c>
      <c r="H217">
        <v>215</v>
      </c>
      <c r="I217" s="1">
        <v>45174</v>
      </c>
      <c r="J217">
        <f t="array" ref="J217">INDEX($D$3:$D$62,MATCH(1, (YEAR(I217)=YEAR($A$3:$A$62))*(MONTH(I217)=MONTH($A$3:$A$62)),0))</f>
        <v>118174.21808005929</v>
      </c>
      <c r="K217">
        <f t="array" ref="K217">INDEX($G$3:$G$200,MATCH(1, (YEAR(I217)=YEAR($A$3:$A$2000))*(MONTH(I217)=MONTH($A$3:$A$2000)),0))</f>
        <v>153840.94417226737</v>
      </c>
      <c r="L217">
        <f t="shared" si="7"/>
        <v>109342.523188119</v>
      </c>
    </row>
    <row r="218" spans="4:12" x14ac:dyDescent="0.25">
      <c r="D218">
        <f t="shared" si="6"/>
        <v>0</v>
      </c>
      <c r="H218">
        <v>216</v>
      </c>
      <c r="I218" s="1">
        <v>45175</v>
      </c>
      <c r="J218">
        <f t="array" ref="J218">INDEX($D$3:$D$62,MATCH(1, (YEAR(I218)=YEAR($A$3:$A$62))*(MONTH(I218)=MONTH($A$3:$A$62)),0))</f>
        <v>118174.21808005929</v>
      </c>
      <c r="K218">
        <f t="array" ref="K218">INDEX($G$3:$G$200,MATCH(1, (YEAR(I218)=YEAR($A$3:$A$2000))*(MONTH(I218)=MONTH($A$3:$A$2000)),0))</f>
        <v>153840.94417226737</v>
      </c>
      <c r="L218">
        <f t="shared" si="7"/>
        <v>109207.59724646399</v>
      </c>
    </row>
    <row r="219" spans="4:12" x14ac:dyDescent="0.25">
      <c r="D219">
        <f t="shared" si="6"/>
        <v>0</v>
      </c>
      <c r="H219">
        <v>217</v>
      </c>
      <c r="I219" s="1">
        <v>45176</v>
      </c>
      <c r="J219">
        <f t="array" ref="J219">INDEX($D$3:$D$62,MATCH(1, (YEAR(I219)=YEAR($A$3:$A$62))*(MONTH(I219)=MONTH($A$3:$A$62)),0))</f>
        <v>118174.21808005929</v>
      </c>
      <c r="K219">
        <f t="array" ref="K219">INDEX($G$3:$G$200,MATCH(1, (YEAR(I219)=YEAR($A$3:$A$2000))*(MONTH(I219)=MONTH($A$3:$A$2000)),0))</f>
        <v>153840.94417226737</v>
      </c>
      <c r="L219">
        <f t="shared" si="7"/>
        <v>109072.90811068899</v>
      </c>
    </row>
    <row r="220" spans="4:12" x14ac:dyDescent="0.25">
      <c r="D220">
        <f t="shared" si="6"/>
        <v>0</v>
      </c>
      <c r="H220">
        <v>218</v>
      </c>
      <c r="I220" s="1">
        <v>45177</v>
      </c>
      <c r="J220">
        <f t="array" ref="J220">INDEX($D$3:$D$62,MATCH(1, (YEAR(I220)=YEAR($A$3:$A$62))*(MONTH(I220)=MONTH($A$3:$A$62)),0))</f>
        <v>118174.21808005929</v>
      </c>
      <c r="K220">
        <f t="array" ref="K220">INDEX($G$3:$G$200,MATCH(1, (YEAR(I220)=YEAR($A$3:$A$2000))*(MONTH(I220)=MONTH($A$3:$A$2000)),0))</f>
        <v>153840.94417226737</v>
      </c>
      <c r="L220">
        <f t="shared" si="7"/>
        <v>108938.45542051199</v>
      </c>
    </row>
    <row r="221" spans="4:12" x14ac:dyDescent="0.25">
      <c r="D221">
        <f t="shared" si="6"/>
        <v>0</v>
      </c>
      <c r="H221">
        <v>219</v>
      </c>
      <c r="I221" s="1">
        <v>45178</v>
      </c>
      <c r="J221">
        <f t="array" ref="J221">INDEX($D$3:$D$62,MATCH(1, (YEAR(I221)=YEAR($A$3:$A$62))*(MONTH(I221)=MONTH($A$3:$A$62)),0))</f>
        <v>118174.21808005929</v>
      </c>
      <c r="K221">
        <f t="array" ref="K221">INDEX($G$3:$G$200,MATCH(1, (YEAR(I221)=YEAR($A$3:$A$2000))*(MONTH(I221)=MONTH($A$3:$A$2000)),0))</f>
        <v>153840.94417226737</v>
      </c>
      <c r="L221">
        <f t="shared" si="7"/>
        <v>108804.238815939</v>
      </c>
    </row>
    <row r="222" spans="4:12" x14ac:dyDescent="0.25">
      <c r="D222">
        <f t="shared" si="6"/>
        <v>0</v>
      </c>
      <c r="H222">
        <v>220</v>
      </c>
      <c r="I222" s="1">
        <v>45179</v>
      </c>
      <c r="J222">
        <f t="array" ref="J222">INDEX($D$3:$D$62,MATCH(1, (YEAR(I222)=YEAR($A$3:$A$62))*(MONTH(I222)=MONTH($A$3:$A$62)),0))</f>
        <v>118174.21808005929</v>
      </c>
      <c r="K222">
        <f t="array" ref="K222">INDEX($G$3:$G$200,MATCH(1, (YEAR(I222)=YEAR($A$3:$A$2000))*(MONTH(I222)=MONTH($A$3:$A$2000)),0))</f>
        <v>153840.94417226737</v>
      </c>
      <c r="L222">
        <f t="shared" si="7"/>
        <v>108670.25793726399</v>
      </c>
    </row>
    <row r="223" spans="4:12" x14ac:dyDescent="0.25">
      <c r="D223">
        <f t="shared" si="6"/>
        <v>0</v>
      </c>
      <c r="H223">
        <v>221</v>
      </c>
      <c r="I223" s="1">
        <v>45180</v>
      </c>
      <c r="J223">
        <f t="array" ref="J223">INDEX($D$3:$D$62,MATCH(1, (YEAR(I223)=YEAR($A$3:$A$62))*(MONTH(I223)=MONTH($A$3:$A$62)),0))</f>
        <v>118174.21808005929</v>
      </c>
      <c r="K223">
        <f t="array" ref="K223">INDEX($G$3:$G$200,MATCH(1, (YEAR(I223)=YEAR($A$3:$A$2000))*(MONTH(I223)=MONTH($A$3:$A$2000)),0))</f>
        <v>153840.94417226737</v>
      </c>
      <c r="L223">
        <f t="shared" si="7"/>
        <v>108536.512425069</v>
      </c>
    </row>
    <row r="224" spans="4:12" x14ac:dyDescent="0.25">
      <c r="D224">
        <f t="shared" si="6"/>
        <v>0</v>
      </c>
      <c r="H224">
        <v>222</v>
      </c>
      <c r="I224" s="1">
        <v>45181</v>
      </c>
      <c r="J224">
        <f t="array" ref="J224">INDEX($D$3:$D$62,MATCH(1, (YEAR(I224)=YEAR($A$3:$A$62))*(MONTH(I224)=MONTH($A$3:$A$62)),0))</f>
        <v>118174.21808005929</v>
      </c>
      <c r="K224">
        <f t="array" ref="K224">INDEX($G$3:$G$200,MATCH(1, (YEAR(I224)=YEAR($A$3:$A$2000))*(MONTH(I224)=MONTH($A$3:$A$2000)),0))</f>
        <v>153840.94417226737</v>
      </c>
      <c r="L224">
        <f t="shared" si="7"/>
        <v>108403.00192022399</v>
      </c>
    </row>
    <row r="225" spans="4:12" x14ac:dyDescent="0.25">
      <c r="D225">
        <f t="shared" si="6"/>
        <v>0</v>
      </c>
      <c r="H225">
        <v>223</v>
      </c>
      <c r="I225" s="1">
        <v>45182</v>
      </c>
      <c r="J225">
        <f t="array" ref="J225">INDEX($D$3:$D$62,MATCH(1, (YEAR(I225)=YEAR($A$3:$A$62))*(MONTH(I225)=MONTH($A$3:$A$62)),0))</f>
        <v>118174.21808005929</v>
      </c>
      <c r="K225">
        <f t="array" ref="K225">INDEX($G$3:$G$200,MATCH(1, (YEAR(I225)=YEAR($A$3:$A$2000))*(MONTH(I225)=MONTH($A$3:$A$2000)),0))</f>
        <v>153840.94417226737</v>
      </c>
      <c r="L225">
        <f t="shared" si="7"/>
        <v>108269.72606388699</v>
      </c>
    </row>
    <row r="226" spans="4:12" x14ac:dyDescent="0.25">
      <c r="D226">
        <f t="shared" si="6"/>
        <v>0</v>
      </c>
      <c r="H226">
        <v>224</v>
      </c>
      <c r="I226" s="1">
        <v>45183</v>
      </c>
      <c r="J226">
        <f t="array" ref="J226">INDEX($D$3:$D$62,MATCH(1, (YEAR(I226)=YEAR($A$3:$A$62))*(MONTH(I226)=MONTH($A$3:$A$62)),0))</f>
        <v>118174.21808005929</v>
      </c>
      <c r="K226">
        <f t="array" ref="K226">INDEX($G$3:$G$200,MATCH(1, (YEAR(I226)=YEAR($A$3:$A$2000))*(MONTH(I226)=MONTH($A$3:$A$2000)),0))</f>
        <v>153840.94417226737</v>
      </c>
      <c r="L226">
        <f t="shared" si="7"/>
        <v>108136.684497504</v>
      </c>
    </row>
    <row r="227" spans="4:12" x14ac:dyDescent="0.25">
      <c r="D227">
        <f t="shared" si="6"/>
        <v>0</v>
      </c>
      <c r="H227">
        <v>225</v>
      </c>
      <c r="I227" s="1">
        <v>45184</v>
      </c>
      <c r="J227">
        <f t="array" ref="J227">INDEX($D$3:$D$62,MATCH(1, (YEAR(I227)=YEAR($A$3:$A$62))*(MONTH(I227)=MONTH($A$3:$A$62)),0))</f>
        <v>118174.21808005929</v>
      </c>
      <c r="K227">
        <f t="array" ref="K227">INDEX($G$3:$G$200,MATCH(1, (YEAR(I227)=YEAR($A$3:$A$2000))*(MONTH(I227)=MONTH($A$3:$A$2000)),0))</f>
        <v>153840.94417226737</v>
      </c>
      <c r="L227">
        <f t="shared" si="7"/>
        <v>108003.87686280899</v>
      </c>
    </row>
    <row r="228" spans="4:12" x14ac:dyDescent="0.25">
      <c r="D228">
        <f t="shared" si="6"/>
        <v>0</v>
      </c>
      <c r="H228">
        <v>226</v>
      </c>
      <c r="I228" s="1">
        <v>45185</v>
      </c>
      <c r="J228">
        <f t="array" ref="J228">INDEX($D$3:$D$62,MATCH(1, (YEAR(I228)=YEAR($A$3:$A$62))*(MONTH(I228)=MONTH($A$3:$A$62)),0))</f>
        <v>118174.21808005929</v>
      </c>
      <c r="K228">
        <f t="array" ref="K228">INDEX($G$3:$G$200,MATCH(1, (YEAR(I228)=YEAR($A$3:$A$2000))*(MONTH(I228)=MONTH($A$3:$A$2000)),0))</f>
        <v>153840.94417226737</v>
      </c>
      <c r="L228">
        <f t="shared" si="7"/>
        <v>107871.302801824</v>
      </c>
    </row>
    <row r="229" spans="4:12" x14ac:dyDescent="0.25">
      <c r="D229">
        <f t="shared" si="6"/>
        <v>0</v>
      </c>
      <c r="H229">
        <v>227</v>
      </c>
      <c r="I229" s="1">
        <v>45186</v>
      </c>
      <c r="J229">
        <f t="array" ref="J229">INDEX($D$3:$D$62,MATCH(1, (YEAR(I229)=YEAR($A$3:$A$62))*(MONTH(I229)=MONTH($A$3:$A$62)),0))</f>
        <v>118174.21808005929</v>
      </c>
      <c r="K229">
        <f t="array" ref="K229">INDEX($G$3:$G$200,MATCH(1, (YEAR(I229)=YEAR($A$3:$A$2000))*(MONTH(I229)=MONTH($A$3:$A$2000)),0))</f>
        <v>153840.94417226737</v>
      </c>
      <c r="L229">
        <f t="shared" si="7"/>
        <v>107738.96195685898</v>
      </c>
    </row>
    <row r="230" spans="4:12" x14ac:dyDescent="0.25">
      <c r="D230">
        <f t="shared" si="6"/>
        <v>0</v>
      </c>
      <c r="H230">
        <v>228</v>
      </c>
      <c r="I230" s="1">
        <v>45187</v>
      </c>
      <c r="J230">
        <f t="array" ref="J230">INDEX($D$3:$D$62,MATCH(1, (YEAR(I230)=YEAR($A$3:$A$62))*(MONTH(I230)=MONTH($A$3:$A$62)),0))</f>
        <v>118174.21808005929</v>
      </c>
      <c r="K230">
        <f t="array" ref="K230">INDEX($G$3:$G$200,MATCH(1, (YEAR(I230)=YEAR($A$3:$A$2000))*(MONTH(I230)=MONTH($A$3:$A$2000)),0))</f>
        <v>153840.94417226737</v>
      </c>
      <c r="L230">
        <f t="shared" si="7"/>
        <v>107606.85397051199</v>
      </c>
    </row>
    <row r="231" spans="4:12" x14ac:dyDescent="0.25">
      <c r="D231">
        <f t="shared" si="6"/>
        <v>0</v>
      </c>
      <c r="H231">
        <v>229</v>
      </c>
      <c r="I231" s="1">
        <v>45188</v>
      </c>
      <c r="J231">
        <f t="array" ref="J231">INDEX($D$3:$D$62,MATCH(1, (YEAR(I231)=YEAR($A$3:$A$62))*(MONTH(I231)=MONTH($A$3:$A$62)),0))</f>
        <v>118174.21808005929</v>
      </c>
      <c r="K231">
        <f t="array" ref="K231">INDEX($G$3:$G$200,MATCH(1, (YEAR(I231)=YEAR($A$3:$A$2000))*(MONTH(I231)=MONTH($A$3:$A$2000)),0))</f>
        <v>153840.94417226737</v>
      </c>
      <c r="L231">
        <f t="shared" si="7"/>
        <v>107474.97848566898</v>
      </c>
    </row>
    <row r="232" spans="4:12" x14ac:dyDescent="0.25">
      <c r="D232">
        <f t="shared" si="6"/>
        <v>0</v>
      </c>
      <c r="H232">
        <v>230</v>
      </c>
      <c r="I232" s="1">
        <v>45189</v>
      </c>
      <c r="J232">
        <f t="array" ref="J232">INDEX($D$3:$D$62,MATCH(1, (YEAR(I232)=YEAR($A$3:$A$62))*(MONTH(I232)=MONTH($A$3:$A$62)),0))</f>
        <v>118174.21808005929</v>
      </c>
      <c r="K232">
        <f t="array" ref="K232">INDEX($G$3:$G$200,MATCH(1, (YEAR(I232)=YEAR($A$3:$A$2000))*(MONTH(I232)=MONTH($A$3:$A$2000)),0))</f>
        <v>153840.94417226737</v>
      </c>
      <c r="L232">
        <f t="shared" si="7"/>
        <v>107343.33514550398</v>
      </c>
    </row>
    <row r="233" spans="4:12" x14ac:dyDescent="0.25">
      <c r="D233">
        <f t="shared" si="6"/>
        <v>0</v>
      </c>
      <c r="H233">
        <v>231</v>
      </c>
      <c r="I233" s="1">
        <v>45190</v>
      </c>
      <c r="J233">
        <f t="array" ref="J233">INDEX($D$3:$D$62,MATCH(1, (YEAR(I233)=YEAR($A$3:$A$62))*(MONTH(I233)=MONTH($A$3:$A$62)),0))</f>
        <v>118174.21808005929</v>
      </c>
      <c r="K233">
        <f t="array" ref="K233">INDEX($G$3:$G$200,MATCH(1, (YEAR(I233)=YEAR($A$3:$A$2000))*(MONTH(I233)=MONTH($A$3:$A$2000)),0))</f>
        <v>153840.94417226737</v>
      </c>
      <c r="L233">
        <f t="shared" si="7"/>
        <v>107211.92359347899</v>
      </c>
    </row>
    <row r="234" spans="4:12" x14ac:dyDescent="0.25">
      <c r="D234">
        <f t="shared" si="6"/>
        <v>0</v>
      </c>
      <c r="H234">
        <v>232</v>
      </c>
      <c r="I234" s="1">
        <v>45191</v>
      </c>
      <c r="J234">
        <f t="array" ref="J234">INDEX($D$3:$D$62,MATCH(1, (YEAR(I234)=YEAR($A$3:$A$62))*(MONTH(I234)=MONTH($A$3:$A$62)),0))</f>
        <v>118174.21808005929</v>
      </c>
      <c r="K234">
        <f t="array" ref="K234">INDEX($G$3:$G$200,MATCH(1, (YEAR(I234)=YEAR($A$3:$A$2000))*(MONTH(I234)=MONTH($A$3:$A$2000)),0))</f>
        <v>153840.94417226737</v>
      </c>
      <c r="L234">
        <f t="shared" si="7"/>
        <v>107080.74347334399</v>
      </c>
    </row>
    <row r="235" spans="4:12" x14ac:dyDescent="0.25">
      <c r="D235">
        <f t="shared" si="6"/>
        <v>0</v>
      </c>
      <c r="H235">
        <v>233</v>
      </c>
      <c r="I235" s="1">
        <v>45192</v>
      </c>
      <c r="J235">
        <f t="array" ref="J235">INDEX($D$3:$D$62,MATCH(1, (YEAR(I235)=YEAR($A$3:$A$62))*(MONTH(I235)=MONTH($A$3:$A$62)),0))</f>
        <v>118174.21808005929</v>
      </c>
      <c r="K235">
        <f t="array" ref="K235">INDEX($G$3:$G$200,MATCH(1, (YEAR(I235)=YEAR($A$3:$A$2000))*(MONTH(I235)=MONTH($A$3:$A$2000)),0))</f>
        <v>153840.94417226737</v>
      </c>
      <c r="L235">
        <f t="shared" si="7"/>
        <v>106949.79442913699</v>
      </c>
    </row>
    <row r="236" spans="4:12" x14ac:dyDescent="0.25">
      <c r="D236">
        <f t="shared" si="6"/>
        <v>0</v>
      </c>
      <c r="H236">
        <v>234</v>
      </c>
      <c r="I236" s="1">
        <v>45193</v>
      </c>
      <c r="J236">
        <f t="array" ref="J236">INDEX($D$3:$D$62,MATCH(1, (YEAR(I236)=YEAR($A$3:$A$62))*(MONTH(I236)=MONTH($A$3:$A$62)),0))</f>
        <v>118174.21808005929</v>
      </c>
      <c r="K236">
        <f t="array" ref="K236">INDEX($G$3:$G$200,MATCH(1, (YEAR(I236)=YEAR($A$3:$A$2000))*(MONTH(I236)=MONTH($A$3:$A$2000)),0))</f>
        <v>153840.94417226737</v>
      </c>
      <c r="L236">
        <f t="shared" si="7"/>
        <v>106819.07610518398</v>
      </c>
    </row>
    <row r="237" spans="4:12" x14ac:dyDescent="0.25">
      <c r="D237">
        <f t="shared" si="6"/>
        <v>0</v>
      </c>
      <c r="H237">
        <v>235</v>
      </c>
      <c r="I237" s="1">
        <v>45194</v>
      </c>
      <c r="J237">
        <f t="array" ref="J237">INDEX($D$3:$D$62,MATCH(1, (YEAR(I237)=YEAR($A$3:$A$62))*(MONTH(I237)=MONTH($A$3:$A$62)),0))</f>
        <v>118174.21808005929</v>
      </c>
      <c r="K237">
        <f t="array" ref="K237">INDEX($G$3:$G$200,MATCH(1, (YEAR(I237)=YEAR($A$3:$A$2000))*(MONTH(I237)=MONTH($A$3:$A$2000)),0))</f>
        <v>153840.94417226737</v>
      </c>
      <c r="L237">
        <f t="shared" si="7"/>
        <v>106688.58814609899</v>
      </c>
    </row>
    <row r="238" spans="4:12" x14ac:dyDescent="0.25">
      <c r="D238">
        <f t="shared" si="6"/>
        <v>0</v>
      </c>
      <c r="H238">
        <v>236</v>
      </c>
      <c r="I238" s="1">
        <v>45195</v>
      </c>
      <c r="J238">
        <f t="array" ref="J238">INDEX($D$3:$D$62,MATCH(1, (YEAR(I238)=YEAR($A$3:$A$62))*(MONTH(I238)=MONTH($A$3:$A$62)),0))</f>
        <v>118174.21808005929</v>
      </c>
      <c r="K238">
        <f t="array" ref="K238">INDEX($G$3:$G$200,MATCH(1, (YEAR(I238)=YEAR($A$3:$A$2000))*(MONTH(I238)=MONTH($A$3:$A$2000)),0))</f>
        <v>153840.94417226737</v>
      </c>
      <c r="L238">
        <f t="shared" si="7"/>
        <v>106558.33019678399</v>
      </c>
    </row>
    <row r="239" spans="4:12" x14ac:dyDescent="0.25">
      <c r="D239">
        <f t="shared" si="6"/>
        <v>0</v>
      </c>
      <c r="H239">
        <v>237</v>
      </c>
      <c r="I239" s="1">
        <v>45196</v>
      </c>
      <c r="J239">
        <f t="array" ref="J239">INDEX($D$3:$D$62,MATCH(1, (YEAR(I239)=YEAR($A$3:$A$62))*(MONTH(I239)=MONTH($A$3:$A$62)),0))</f>
        <v>118174.21808005929</v>
      </c>
      <c r="K239">
        <f t="array" ref="K239">INDEX($G$3:$G$200,MATCH(1, (YEAR(I239)=YEAR($A$3:$A$2000))*(MONTH(I239)=MONTH($A$3:$A$2000)),0))</f>
        <v>153840.94417226737</v>
      </c>
      <c r="L239">
        <f t="shared" si="7"/>
        <v>106428.301902429</v>
      </c>
    </row>
    <row r="240" spans="4:12" x14ac:dyDescent="0.25">
      <c r="D240">
        <f t="shared" si="6"/>
        <v>0</v>
      </c>
      <c r="H240">
        <v>238</v>
      </c>
      <c r="I240" s="1">
        <v>45197</v>
      </c>
      <c r="J240">
        <f t="array" ref="J240">INDEX($D$3:$D$62,MATCH(1, (YEAR(I240)=YEAR($A$3:$A$62))*(MONTH(I240)=MONTH($A$3:$A$62)),0))</f>
        <v>118174.21808005929</v>
      </c>
      <c r="K240">
        <f t="array" ref="K240">INDEX($G$3:$G$200,MATCH(1, (YEAR(I240)=YEAR($A$3:$A$2000))*(MONTH(I240)=MONTH($A$3:$A$2000)),0))</f>
        <v>153840.94417226737</v>
      </c>
      <c r="L240">
        <f t="shared" si="7"/>
        <v>106298.50290851199</v>
      </c>
    </row>
    <row r="241" spans="4:12" x14ac:dyDescent="0.25">
      <c r="D241">
        <f t="shared" si="6"/>
        <v>0</v>
      </c>
      <c r="H241">
        <v>239</v>
      </c>
      <c r="I241" s="1">
        <v>45198</v>
      </c>
      <c r="J241">
        <f t="array" ref="J241">INDEX($D$3:$D$62,MATCH(1, (YEAR(I241)=YEAR($A$3:$A$62))*(MONTH(I241)=MONTH($A$3:$A$62)),0))</f>
        <v>118174.21808005929</v>
      </c>
      <c r="K241">
        <f t="array" ref="K241">INDEX($G$3:$G$200,MATCH(1, (YEAR(I241)=YEAR($A$3:$A$2000))*(MONTH(I241)=MONTH($A$3:$A$2000)),0))</f>
        <v>153840.94417226737</v>
      </c>
      <c r="L241">
        <f t="shared" si="7"/>
        <v>106168.93286079899</v>
      </c>
    </row>
    <row r="242" spans="4:12" x14ac:dyDescent="0.25">
      <c r="D242">
        <f t="shared" si="6"/>
        <v>0</v>
      </c>
      <c r="H242">
        <v>240</v>
      </c>
      <c r="I242" s="1">
        <v>45199</v>
      </c>
      <c r="J242">
        <f t="array" ref="J242">INDEX($D$3:$D$62,MATCH(1, (YEAR(I242)=YEAR($A$3:$A$62))*(MONTH(I242)=MONTH($A$3:$A$62)),0))</f>
        <v>118174.21808005929</v>
      </c>
      <c r="K242">
        <f t="array" ref="K242">INDEX($G$3:$G$200,MATCH(1, (YEAR(I242)=YEAR($A$3:$A$2000))*(MONTH(I242)=MONTH($A$3:$A$2000)),0))</f>
        <v>153840.94417226737</v>
      </c>
      <c r="L242">
        <f t="shared" si="7"/>
        <v>106039.59140534399</v>
      </c>
    </row>
    <row r="243" spans="4:12" x14ac:dyDescent="0.25">
      <c r="D243">
        <f t="shared" si="6"/>
        <v>0</v>
      </c>
      <c r="H243">
        <v>241</v>
      </c>
      <c r="I243" s="1">
        <v>45200</v>
      </c>
      <c r="J243">
        <f t="array" ref="J243">INDEX($D$3:$D$62,MATCH(1, (YEAR(I243)=YEAR($A$3:$A$62))*(MONTH(I243)=MONTH($A$3:$A$62)),0))</f>
        <v>113755.29189934948</v>
      </c>
      <c r="K243">
        <f t="array" ref="K243">INDEX($G$3:$G$200,MATCH(1, (YEAR(I243)=YEAR($A$3:$A$2000))*(MONTH(I243)=MONTH($A$3:$A$2000)),0))</f>
        <v>165723.45906886013</v>
      </c>
      <c r="L243">
        <f t="shared" si="7"/>
        <v>105910.478188489</v>
      </c>
    </row>
    <row r="244" spans="4:12" x14ac:dyDescent="0.25">
      <c r="D244">
        <f t="shared" si="6"/>
        <v>0</v>
      </c>
      <c r="H244">
        <v>242</v>
      </c>
      <c r="I244" s="1">
        <v>45201</v>
      </c>
      <c r="J244">
        <f t="array" ref="J244">INDEX($D$3:$D$62,MATCH(1, (YEAR(I244)=YEAR($A$3:$A$62))*(MONTH(I244)=MONTH($A$3:$A$62)),0))</f>
        <v>113755.29189934948</v>
      </c>
      <c r="K244">
        <f t="array" ref="K244">INDEX($G$3:$G$200,MATCH(1, (YEAR(I244)=YEAR($A$3:$A$2000))*(MONTH(I244)=MONTH($A$3:$A$2000)),0))</f>
        <v>165723.45906886013</v>
      </c>
      <c r="L244">
        <f t="shared" si="7"/>
        <v>105781.59285686399</v>
      </c>
    </row>
    <row r="245" spans="4:12" x14ac:dyDescent="0.25">
      <c r="D245">
        <f t="shared" si="6"/>
        <v>0</v>
      </c>
      <c r="H245">
        <v>243</v>
      </c>
      <c r="I245" s="1">
        <v>45202</v>
      </c>
      <c r="J245">
        <f t="array" ref="J245">INDEX($D$3:$D$62,MATCH(1, (YEAR(I245)=YEAR($A$3:$A$62))*(MONTH(I245)=MONTH($A$3:$A$62)),0))</f>
        <v>113755.29189934948</v>
      </c>
      <c r="K245">
        <f t="array" ref="K245">INDEX($G$3:$G$200,MATCH(1, (YEAR(I245)=YEAR($A$3:$A$2000))*(MONTH(I245)=MONTH($A$3:$A$2000)),0))</f>
        <v>165723.45906886013</v>
      </c>
      <c r="L245">
        <f t="shared" si="7"/>
        <v>105652.93505738699</v>
      </c>
    </row>
    <row r="246" spans="4:12" x14ac:dyDescent="0.25">
      <c r="D246">
        <f t="shared" si="6"/>
        <v>0</v>
      </c>
      <c r="H246">
        <v>244</v>
      </c>
      <c r="I246" s="1">
        <v>45203</v>
      </c>
      <c r="J246">
        <f t="array" ref="J246">INDEX($D$3:$D$62,MATCH(1, (YEAR(I246)=YEAR($A$3:$A$62))*(MONTH(I246)=MONTH($A$3:$A$62)),0))</f>
        <v>113755.29189934948</v>
      </c>
      <c r="K246">
        <f t="array" ref="K246">INDEX($G$3:$G$200,MATCH(1, (YEAR(I246)=YEAR($A$3:$A$2000))*(MONTH(I246)=MONTH($A$3:$A$2000)),0))</f>
        <v>165723.45906886013</v>
      </c>
      <c r="L246">
        <f t="shared" si="7"/>
        <v>105524.504437264</v>
      </c>
    </row>
    <row r="247" spans="4:12" x14ac:dyDescent="0.25">
      <c r="D247">
        <f t="shared" si="6"/>
        <v>0</v>
      </c>
      <c r="H247">
        <v>245</v>
      </c>
      <c r="I247" s="1">
        <v>45204</v>
      </c>
      <c r="J247">
        <f t="array" ref="J247">INDEX($D$3:$D$62,MATCH(1, (YEAR(I247)=YEAR($A$3:$A$62))*(MONTH(I247)=MONTH($A$3:$A$62)),0))</f>
        <v>113755.29189934948</v>
      </c>
      <c r="K247">
        <f t="array" ref="K247">INDEX($G$3:$G$200,MATCH(1, (YEAR(I247)=YEAR($A$3:$A$2000))*(MONTH(I247)=MONTH($A$3:$A$2000)),0))</f>
        <v>165723.45906886013</v>
      </c>
      <c r="L247">
        <f t="shared" si="7"/>
        <v>105396.300643989</v>
      </c>
    </row>
    <row r="248" spans="4:12" x14ac:dyDescent="0.25">
      <c r="D248">
        <f t="shared" si="6"/>
        <v>0</v>
      </c>
      <c r="H248">
        <v>246</v>
      </c>
      <c r="I248" s="1">
        <v>45205</v>
      </c>
      <c r="J248">
        <f t="array" ref="J248">INDEX($D$3:$D$62,MATCH(1, (YEAR(I248)=YEAR($A$3:$A$62))*(MONTH(I248)=MONTH($A$3:$A$62)),0))</f>
        <v>113755.29189934948</v>
      </c>
      <c r="K248">
        <f t="array" ref="K248">INDEX($G$3:$G$200,MATCH(1, (YEAR(I248)=YEAR($A$3:$A$2000))*(MONTH(I248)=MONTH($A$3:$A$2000)),0))</f>
        <v>165723.45906886013</v>
      </c>
      <c r="L248">
        <f t="shared" si="7"/>
        <v>105268.323325344</v>
      </c>
    </row>
    <row r="249" spans="4:12" x14ac:dyDescent="0.25">
      <c r="D249">
        <f t="shared" si="6"/>
        <v>0</v>
      </c>
      <c r="H249">
        <v>247</v>
      </c>
      <c r="I249" s="1">
        <v>45206</v>
      </c>
      <c r="J249">
        <f t="array" ref="J249">INDEX($D$3:$D$62,MATCH(1, (YEAR(I249)=YEAR($A$3:$A$62))*(MONTH(I249)=MONTH($A$3:$A$62)),0))</f>
        <v>113755.29189934948</v>
      </c>
      <c r="K249">
        <f t="array" ref="K249">INDEX($G$3:$G$200,MATCH(1, (YEAR(I249)=YEAR($A$3:$A$2000))*(MONTH(I249)=MONTH($A$3:$A$2000)),0))</f>
        <v>165723.45906886013</v>
      </c>
      <c r="L249">
        <f t="shared" si="7"/>
        <v>105140.57212939899</v>
      </c>
    </row>
    <row r="250" spans="4:12" x14ac:dyDescent="0.25">
      <c r="D250">
        <f t="shared" si="6"/>
        <v>0</v>
      </c>
      <c r="H250">
        <v>248</v>
      </c>
      <c r="I250" s="1">
        <v>45207</v>
      </c>
      <c r="J250">
        <f t="array" ref="J250">INDEX($D$3:$D$62,MATCH(1, (YEAR(I250)=YEAR($A$3:$A$62))*(MONTH(I250)=MONTH($A$3:$A$62)),0))</f>
        <v>113755.29189934948</v>
      </c>
      <c r="K250">
        <f t="array" ref="K250">INDEX($G$3:$G$200,MATCH(1, (YEAR(I250)=YEAR($A$3:$A$2000))*(MONTH(I250)=MONTH($A$3:$A$2000)),0))</f>
        <v>165723.45906886013</v>
      </c>
      <c r="L250">
        <f t="shared" si="7"/>
        <v>105013.046704512</v>
      </c>
    </row>
    <row r="251" spans="4:12" x14ac:dyDescent="0.25">
      <c r="D251">
        <f t="shared" si="6"/>
        <v>0</v>
      </c>
      <c r="H251">
        <v>249</v>
      </c>
      <c r="I251" s="1">
        <v>45208</v>
      </c>
      <c r="J251">
        <f t="array" ref="J251">INDEX($D$3:$D$62,MATCH(1, (YEAR(I251)=YEAR($A$3:$A$62))*(MONTH(I251)=MONTH($A$3:$A$62)),0))</f>
        <v>113755.29189934948</v>
      </c>
      <c r="K251">
        <f t="array" ref="K251">INDEX($G$3:$G$200,MATCH(1, (YEAR(I251)=YEAR($A$3:$A$2000))*(MONTH(I251)=MONTH($A$3:$A$2000)),0))</f>
        <v>165723.45906886013</v>
      </c>
      <c r="L251">
        <f t="shared" si="7"/>
        <v>104885.746699329</v>
      </c>
    </row>
    <row r="252" spans="4:12" x14ac:dyDescent="0.25">
      <c r="D252">
        <f t="shared" si="6"/>
        <v>0</v>
      </c>
      <c r="H252">
        <v>250</v>
      </c>
      <c r="I252" s="1">
        <v>45209</v>
      </c>
      <c r="J252">
        <f t="array" ref="J252">INDEX($D$3:$D$62,MATCH(1, (YEAR(I252)=YEAR($A$3:$A$62))*(MONTH(I252)=MONTH($A$3:$A$62)),0))</f>
        <v>113755.29189934948</v>
      </c>
      <c r="K252">
        <f t="array" ref="K252">INDEX($G$3:$G$200,MATCH(1, (YEAR(I252)=YEAR($A$3:$A$2000))*(MONTH(I252)=MONTH($A$3:$A$2000)),0))</f>
        <v>165723.45906886013</v>
      </c>
      <c r="L252">
        <f t="shared" si="7"/>
        <v>104758.671762784</v>
      </c>
    </row>
    <row r="253" spans="4:12" x14ac:dyDescent="0.25">
      <c r="D253">
        <f t="shared" si="6"/>
        <v>0</v>
      </c>
      <c r="H253">
        <v>251</v>
      </c>
      <c r="I253" s="1">
        <v>45210</v>
      </c>
      <c r="J253">
        <f t="array" ref="J253">INDEX($D$3:$D$62,MATCH(1, (YEAR(I253)=YEAR($A$3:$A$62))*(MONTH(I253)=MONTH($A$3:$A$62)),0))</f>
        <v>113755.29189934948</v>
      </c>
      <c r="K253">
        <f t="array" ref="K253">INDEX($G$3:$G$200,MATCH(1, (YEAR(I253)=YEAR($A$3:$A$2000))*(MONTH(I253)=MONTH($A$3:$A$2000)),0))</f>
        <v>165723.45906886013</v>
      </c>
      <c r="L253">
        <f t="shared" si="7"/>
        <v>104631.82154409899</v>
      </c>
    </row>
    <row r="254" spans="4:12" x14ac:dyDescent="0.25">
      <c r="D254">
        <f t="shared" si="6"/>
        <v>0</v>
      </c>
      <c r="H254">
        <v>252</v>
      </c>
      <c r="I254" s="1">
        <v>45211</v>
      </c>
      <c r="J254">
        <f t="array" ref="J254">INDEX($D$3:$D$62,MATCH(1, (YEAR(I254)=YEAR($A$3:$A$62))*(MONTH(I254)=MONTH($A$3:$A$62)),0))</f>
        <v>113755.29189934948</v>
      </c>
      <c r="K254">
        <f t="array" ref="K254">INDEX($G$3:$G$200,MATCH(1, (YEAR(I254)=YEAR($A$3:$A$2000))*(MONTH(I254)=MONTH($A$3:$A$2000)),0))</f>
        <v>165723.45906886013</v>
      </c>
      <c r="L254">
        <f t="shared" si="7"/>
        <v>104505.19569278399</v>
      </c>
    </row>
    <row r="255" spans="4:12" x14ac:dyDescent="0.25">
      <c r="D255">
        <f t="shared" si="6"/>
        <v>0</v>
      </c>
      <c r="H255">
        <v>253</v>
      </c>
      <c r="I255" s="1">
        <v>45212</v>
      </c>
      <c r="J255">
        <f t="array" ref="J255">INDEX($D$3:$D$62,MATCH(1, (YEAR(I255)=YEAR($A$3:$A$62))*(MONTH(I255)=MONTH($A$3:$A$62)),0))</f>
        <v>113755.29189934948</v>
      </c>
      <c r="K255">
        <f t="array" ref="K255">INDEX($G$3:$G$200,MATCH(1, (YEAR(I255)=YEAR($A$3:$A$2000))*(MONTH(I255)=MONTH($A$3:$A$2000)),0))</f>
        <v>165723.45906886013</v>
      </c>
      <c r="L255">
        <f t="shared" si="7"/>
        <v>104378.79385863699</v>
      </c>
    </row>
    <row r="256" spans="4:12" x14ac:dyDescent="0.25">
      <c r="D256">
        <f t="shared" si="6"/>
        <v>0</v>
      </c>
      <c r="H256">
        <v>254</v>
      </c>
      <c r="I256" s="1">
        <v>45213</v>
      </c>
      <c r="J256">
        <f t="array" ref="J256">INDEX($D$3:$D$62,MATCH(1, (YEAR(I256)=YEAR($A$3:$A$62))*(MONTH(I256)=MONTH($A$3:$A$62)),0))</f>
        <v>113755.29189934948</v>
      </c>
      <c r="K256">
        <f t="array" ref="K256">INDEX($G$3:$G$200,MATCH(1, (YEAR(I256)=YEAR($A$3:$A$2000))*(MONTH(I256)=MONTH($A$3:$A$2000)),0))</f>
        <v>165723.45906886013</v>
      </c>
      <c r="L256">
        <f t="shared" si="7"/>
        <v>104252.61569174399</v>
      </c>
    </row>
    <row r="257" spans="4:12" x14ac:dyDescent="0.25">
      <c r="D257">
        <f t="shared" si="6"/>
        <v>0</v>
      </c>
      <c r="H257">
        <v>255</v>
      </c>
      <c r="I257" s="1">
        <v>45214</v>
      </c>
      <c r="J257">
        <f t="array" ref="J257">INDEX($D$3:$D$62,MATCH(1, (YEAR(I257)=YEAR($A$3:$A$62))*(MONTH(I257)=MONTH($A$3:$A$62)),0))</f>
        <v>113755.29189934948</v>
      </c>
      <c r="K257">
        <f t="array" ref="K257">INDEX($G$3:$G$200,MATCH(1, (YEAR(I257)=YEAR($A$3:$A$2000))*(MONTH(I257)=MONTH($A$3:$A$2000)),0))</f>
        <v>165723.45906886013</v>
      </c>
      <c r="L257">
        <f t="shared" si="7"/>
        <v>104126.66084247899</v>
      </c>
    </row>
    <row r="258" spans="4:12" x14ac:dyDescent="0.25">
      <c r="D258">
        <f t="shared" si="6"/>
        <v>0</v>
      </c>
      <c r="H258">
        <v>256</v>
      </c>
      <c r="I258" s="1">
        <v>45215</v>
      </c>
      <c r="J258">
        <f t="array" ref="J258">INDEX($D$3:$D$62,MATCH(1, (YEAR(I258)=YEAR($A$3:$A$62))*(MONTH(I258)=MONTH($A$3:$A$62)),0))</f>
        <v>113755.29189934948</v>
      </c>
      <c r="K258">
        <f t="array" ref="K258">INDEX($G$3:$G$200,MATCH(1, (YEAR(I258)=YEAR($A$3:$A$2000))*(MONTH(I258)=MONTH($A$3:$A$2000)),0))</f>
        <v>165723.45906886013</v>
      </c>
      <c r="L258">
        <f t="shared" si="7"/>
        <v>104000.92896150399</v>
      </c>
    </row>
    <row r="259" spans="4:12" x14ac:dyDescent="0.25">
      <c r="D259">
        <f t="shared" si="6"/>
        <v>0</v>
      </c>
      <c r="H259">
        <v>257</v>
      </c>
      <c r="I259" s="1">
        <v>45216</v>
      </c>
      <c r="J259">
        <f t="array" ref="J259">INDEX($D$3:$D$62,MATCH(1, (YEAR(I259)=YEAR($A$3:$A$62))*(MONTH(I259)=MONTH($A$3:$A$62)),0))</f>
        <v>113755.29189934948</v>
      </c>
      <c r="K259">
        <f t="array" ref="K259">INDEX($G$3:$G$200,MATCH(1, (YEAR(I259)=YEAR($A$3:$A$2000))*(MONTH(I259)=MONTH($A$3:$A$2000)),0))</f>
        <v>165723.45906886013</v>
      </c>
      <c r="L259">
        <f t="shared" si="7"/>
        <v>103875.41969976899</v>
      </c>
    </row>
    <row r="260" spans="4:12" x14ac:dyDescent="0.25">
      <c r="D260">
        <f t="shared" ref="D260:D323" si="8">SUM(B260:C260)</f>
        <v>0</v>
      </c>
      <c r="H260">
        <v>258</v>
      </c>
      <c r="I260" s="1">
        <v>45217</v>
      </c>
      <c r="J260">
        <f t="array" ref="J260">INDEX($D$3:$D$62,MATCH(1, (YEAR(I260)=YEAR($A$3:$A$62))*(MONTH(I260)=MONTH($A$3:$A$62)),0))</f>
        <v>113755.29189934948</v>
      </c>
      <c r="K260">
        <f t="array" ref="K260">INDEX($G$3:$G$200,MATCH(1, (YEAR(I260)=YEAR($A$3:$A$2000))*(MONTH(I260)=MONTH($A$3:$A$2000)),0))</f>
        <v>165723.45906886013</v>
      </c>
      <c r="L260">
        <f t="shared" ref="L260:L323" si="9">0.000000012*H260^4-0.000070439*H260^3+0.160688168*H260^2-194.849290676*H260+144481.718306784</f>
        <v>103750.13270851198</v>
      </c>
    </row>
    <row r="261" spans="4:12" x14ac:dyDescent="0.25">
      <c r="D261">
        <f t="shared" si="8"/>
        <v>0</v>
      </c>
      <c r="H261">
        <v>259</v>
      </c>
      <c r="I261" s="1">
        <v>45218</v>
      </c>
      <c r="J261">
        <f t="array" ref="J261">INDEX($D$3:$D$62,MATCH(1, (YEAR(I261)=YEAR($A$3:$A$62))*(MONTH(I261)=MONTH($A$3:$A$62)),0))</f>
        <v>113755.29189934948</v>
      </c>
      <c r="K261">
        <f t="array" ref="K261">INDEX($G$3:$G$200,MATCH(1, (YEAR(I261)=YEAR($A$3:$A$2000))*(MONTH(I261)=MONTH($A$3:$A$2000)),0))</f>
        <v>165723.45906886013</v>
      </c>
      <c r="L261">
        <f t="shared" si="9"/>
        <v>103625.06763925898</v>
      </c>
    </row>
    <row r="262" spans="4:12" x14ac:dyDescent="0.25">
      <c r="D262">
        <f t="shared" si="8"/>
        <v>0</v>
      </c>
      <c r="H262">
        <v>260</v>
      </c>
      <c r="I262" s="1">
        <v>45219</v>
      </c>
      <c r="J262">
        <f t="array" ref="J262">INDEX($D$3:$D$62,MATCH(1, (YEAR(I262)=YEAR($A$3:$A$62))*(MONTH(I262)=MONTH($A$3:$A$62)),0))</f>
        <v>113755.29189934948</v>
      </c>
      <c r="K262">
        <f t="array" ref="K262">INDEX($G$3:$G$200,MATCH(1, (YEAR(I262)=YEAR($A$3:$A$2000))*(MONTH(I262)=MONTH($A$3:$A$2000)),0))</f>
        <v>165723.45906886013</v>
      </c>
      <c r="L262">
        <f t="shared" si="9"/>
        <v>103500.22414382399</v>
      </c>
    </row>
    <row r="263" spans="4:12" x14ac:dyDescent="0.25">
      <c r="D263">
        <f t="shared" si="8"/>
        <v>0</v>
      </c>
      <c r="H263">
        <v>261</v>
      </c>
      <c r="I263" s="1">
        <v>45220</v>
      </c>
      <c r="J263">
        <f t="array" ref="J263">INDEX($D$3:$D$62,MATCH(1, (YEAR(I263)=YEAR($A$3:$A$62))*(MONTH(I263)=MONTH($A$3:$A$62)),0))</f>
        <v>113755.29189934948</v>
      </c>
      <c r="K263">
        <f t="array" ref="K263">INDEX($G$3:$G$200,MATCH(1, (YEAR(I263)=YEAR($A$3:$A$2000))*(MONTH(I263)=MONTH($A$3:$A$2000)),0))</f>
        <v>165723.45906886013</v>
      </c>
      <c r="L263">
        <f t="shared" si="9"/>
        <v>103375.60187430898</v>
      </c>
    </row>
    <row r="264" spans="4:12" x14ac:dyDescent="0.25">
      <c r="D264">
        <f t="shared" si="8"/>
        <v>0</v>
      </c>
      <c r="H264">
        <v>262</v>
      </c>
      <c r="I264" s="1">
        <v>45221</v>
      </c>
      <c r="J264">
        <f t="array" ref="J264">INDEX($D$3:$D$62,MATCH(1, (YEAR(I264)=YEAR($A$3:$A$62))*(MONTH(I264)=MONTH($A$3:$A$62)),0))</f>
        <v>113755.29189934948</v>
      </c>
      <c r="K264">
        <f t="array" ref="K264">INDEX($G$3:$G$200,MATCH(1, (YEAR(I264)=YEAR($A$3:$A$2000))*(MONTH(I264)=MONTH($A$3:$A$2000)),0))</f>
        <v>165723.45906886013</v>
      </c>
      <c r="L264">
        <f t="shared" si="9"/>
        <v>103251.20048310398</v>
      </c>
    </row>
    <row r="265" spans="4:12" x14ac:dyDescent="0.25">
      <c r="D265">
        <f t="shared" si="8"/>
        <v>0</v>
      </c>
      <c r="H265">
        <v>263</v>
      </c>
      <c r="I265" s="1">
        <v>45222</v>
      </c>
      <c r="J265">
        <f t="array" ref="J265">INDEX($D$3:$D$62,MATCH(1, (YEAR(I265)=YEAR($A$3:$A$62))*(MONTH(I265)=MONTH($A$3:$A$62)),0))</f>
        <v>113755.29189934948</v>
      </c>
      <c r="K265">
        <f t="array" ref="K265">INDEX($G$3:$G$200,MATCH(1, (YEAR(I265)=YEAR($A$3:$A$2000))*(MONTH(I265)=MONTH($A$3:$A$2000)),0))</f>
        <v>165723.45906886013</v>
      </c>
      <c r="L265">
        <f t="shared" si="9"/>
        <v>103127.01962288699</v>
      </c>
    </row>
    <row r="266" spans="4:12" x14ac:dyDescent="0.25">
      <c r="D266">
        <f t="shared" si="8"/>
        <v>0</v>
      </c>
      <c r="H266">
        <v>264</v>
      </c>
      <c r="I266" s="1">
        <v>45223</v>
      </c>
      <c r="J266">
        <f t="array" ref="J266">INDEX($D$3:$D$62,MATCH(1, (YEAR(I266)=YEAR($A$3:$A$62))*(MONTH(I266)=MONTH($A$3:$A$62)),0))</f>
        <v>113755.29189934948</v>
      </c>
      <c r="K266">
        <f t="array" ref="K266">INDEX($G$3:$G$200,MATCH(1, (YEAR(I266)=YEAR($A$3:$A$2000))*(MONTH(I266)=MONTH($A$3:$A$2000)),0))</f>
        <v>165723.45906886013</v>
      </c>
      <c r="L266">
        <f t="shared" si="9"/>
        <v>103003.05894662399</v>
      </c>
    </row>
    <row r="267" spans="4:12" x14ac:dyDescent="0.25">
      <c r="D267">
        <f t="shared" si="8"/>
        <v>0</v>
      </c>
      <c r="H267">
        <v>265</v>
      </c>
      <c r="I267" s="1">
        <v>45224</v>
      </c>
      <c r="J267">
        <f t="array" ref="J267">INDEX($D$3:$D$62,MATCH(1, (YEAR(I267)=YEAR($A$3:$A$62))*(MONTH(I267)=MONTH($A$3:$A$62)),0))</f>
        <v>113755.29189934948</v>
      </c>
      <c r="K267">
        <f t="array" ref="K267">INDEX($G$3:$G$200,MATCH(1, (YEAR(I267)=YEAR($A$3:$A$2000))*(MONTH(I267)=MONTH($A$3:$A$2000)),0))</f>
        <v>165723.45906886013</v>
      </c>
      <c r="L267">
        <f t="shared" si="9"/>
        <v>102879.31810756899</v>
      </c>
    </row>
    <row r="268" spans="4:12" x14ac:dyDescent="0.25">
      <c r="D268">
        <f t="shared" si="8"/>
        <v>0</v>
      </c>
      <c r="H268">
        <v>266</v>
      </c>
      <c r="I268" s="1">
        <v>45225</v>
      </c>
      <c r="J268">
        <f t="array" ref="J268">INDEX($D$3:$D$62,MATCH(1, (YEAR(I268)=YEAR($A$3:$A$62))*(MONTH(I268)=MONTH($A$3:$A$62)),0))</f>
        <v>113755.29189934948</v>
      </c>
      <c r="K268">
        <f t="array" ref="K268">INDEX($G$3:$G$200,MATCH(1, (YEAR(I268)=YEAR($A$3:$A$2000))*(MONTH(I268)=MONTH($A$3:$A$2000)),0))</f>
        <v>165723.45906886013</v>
      </c>
      <c r="L268">
        <f t="shared" si="9"/>
        <v>102755.79675926399</v>
      </c>
    </row>
    <row r="269" spans="4:12" x14ac:dyDescent="0.25">
      <c r="D269">
        <f t="shared" si="8"/>
        <v>0</v>
      </c>
      <c r="H269">
        <v>267</v>
      </c>
      <c r="I269" s="1">
        <v>45226</v>
      </c>
      <c r="J269">
        <f t="array" ref="J269">INDEX($D$3:$D$62,MATCH(1, (YEAR(I269)=YEAR($A$3:$A$62))*(MONTH(I269)=MONTH($A$3:$A$62)),0))</f>
        <v>113755.29189934948</v>
      </c>
      <c r="K269">
        <f t="array" ref="K269">INDEX($G$3:$G$200,MATCH(1, (YEAR(I269)=YEAR($A$3:$A$2000))*(MONTH(I269)=MONTH($A$3:$A$2000)),0))</f>
        <v>165723.45906886013</v>
      </c>
      <c r="L269">
        <f t="shared" si="9"/>
        <v>102632.49455553899</v>
      </c>
    </row>
    <row r="270" spans="4:12" x14ac:dyDescent="0.25">
      <c r="D270">
        <f t="shared" si="8"/>
        <v>0</v>
      </c>
      <c r="H270">
        <v>268</v>
      </c>
      <c r="I270" s="1">
        <v>45227</v>
      </c>
      <c r="J270">
        <f t="array" ref="J270">INDEX($D$3:$D$62,MATCH(1, (YEAR(I270)=YEAR($A$3:$A$62))*(MONTH(I270)=MONTH($A$3:$A$62)),0))</f>
        <v>113755.29189934948</v>
      </c>
      <c r="K270">
        <f t="array" ref="K270">INDEX($G$3:$G$200,MATCH(1, (YEAR(I270)=YEAR($A$3:$A$2000))*(MONTH(I270)=MONTH($A$3:$A$2000)),0))</f>
        <v>165723.45906886013</v>
      </c>
      <c r="L270">
        <f t="shared" si="9"/>
        <v>102509.41115051199</v>
      </c>
    </row>
    <row r="271" spans="4:12" x14ac:dyDescent="0.25">
      <c r="D271">
        <f t="shared" si="8"/>
        <v>0</v>
      </c>
      <c r="H271">
        <v>269</v>
      </c>
      <c r="I271" s="1">
        <v>45228</v>
      </c>
      <c r="J271">
        <f t="array" ref="J271">INDEX($D$3:$D$62,MATCH(1, (YEAR(I271)=YEAR($A$3:$A$62))*(MONTH(I271)=MONTH($A$3:$A$62)),0))</f>
        <v>113755.29189934948</v>
      </c>
      <c r="K271">
        <f t="array" ref="K271">INDEX($G$3:$G$200,MATCH(1, (YEAR(I271)=YEAR($A$3:$A$2000))*(MONTH(I271)=MONTH($A$3:$A$2000)),0))</f>
        <v>165723.45906886013</v>
      </c>
      <c r="L271">
        <f t="shared" si="9"/>
        <v>102386.54619858899</v>
      </c>
    </row>
    <row r="272" spans="4:12" x14ac:dyDescent="0.25">
      <c r="D272">
        <f t="shared" si="8"/>
        <v>0</v>
      </c>
      <c r="H272">
        <v>270</v>
      </c>
      <c r="I272" s="1">
        <v>45229</v>
      </c>
      <c r="J272">
        <f t="array" ref="J272">INDEX($D$3:$D$62,MATCH(1, (YEAR(I272)=YEAR($A$3:$A$62))*(MONTH(I272)=MONTH($A$3:$A$62)),0))</f>
        <v>113755.29189934948</v>
      </c>
      <c r="K272">
        <f t="array" ref="K272">INDEX($G$3:$G$200,MATCH(1, (YEAR(I272)=YEAR($A$3:$A$2000))*(MONTH(I272)=MONTH($A$3:$A$2000)),0))</f>
        <v>165723.45906886013</v>
      </c>
      <c r="L272">
        <f t="shared" si="9"/>
        <v>102263.899354464</v>
      </c>
    </row>
    <row r="273" spans="4:12" x14ac:dyDescent="0.25">
      <c r="D273">
        <f t="shared" si="8"/>
        <v>0</v>
      </c>
      <c r="H273">
        <v>271</v>
      </c>
      <c r="I273" s="1">
        <v>45230</v>
      </c>
      <c r="J273">
        <f t="array" ref="J273">INDEX($D$3:$D$62,MATCH(1, (YEAR(I273)=YEAR($A$3:$A$62))*(MONTH(I273)=MONTH($A$3:$A$62)),0))</f>
        <v>113755.29189934948</v>
      </c>
      <c r="K273">
        <f t="array" ref="K273">INDEX($G$3:$G$200,MATCH(1, (YEAR(I273)=YEAR($A$3:$A$2000))*(MONTH(I273)=MONTH($A$3:$A$2000)),0))</f>
        <v>165723.45906886013</v>
      </c>
      <c r="L273">
        <f t="shared" si="9"/>
        <v>102141.47027311899</v>
      </c>
    </row>
    <row r="274" spans="4:12" x14ac:dyDescent="0.25">
      <c r="D274">
        <f t="shared" si="8"/>
        <v>0</v>
      </c>
      <c r="H274">
        <v>272</v>
      </c>
      <c r="I274" s="1">
        <v>45231</v>
      </c>
      <c r="J274">
        <f t="array" ref="J274">INDEX($D$3:$D$62,MATCH(1, (YEAR(I274)=YEAR($A$3:$A$62))*(MONTH(I274)=MONTH($A$3:$A$62)),0))</f>
        <v>110005.32710972808</v>
      </c>
      <c r="K274">
        <f t="array" ref="K274">INDEX($G$3:$G$200,MATCH(1, (YEAR(I274)=YEAR($A$3:$A$2000))*(MONTH(I274)=MONTH($A$3:$A$2000)),0))</f>
        <v>170770.41949768036</v>
      </c>
      <c r="L274">
        <f t="shared" si="9"/>
        <v>102019.25860982398</v>
      </c>
    </row>
    <row r="275" spans="4:12" x14ac:dyDescent="0.25">
      <c r="D275">
        <f t="shared" si="8"/>
        <v>0</v>
      </c>
      <c r="H275">
        <v>273</v>
      </c>
      <c r="I275" s="1">
        <v>45232</v>
      </c>
      <c r="J275">
        <f t="array" ref="J275">INDEX($D$3:$D$62,MATCH(1, (YEAR(I275)=YEAR($A$3:$A$62))*(MONTH(I275)=MONTH($A$3:$A$62)),0))</f>
        <v>110005.32710972808</v>
      </c>
      <c r="K275">
        <f t="array" ref="K275">INDEX($G$3:$G$200,MATCH(1, (YEAR(I275)=YEAR($A$3:$A$2000))*(MONTH(I275)=MONTH($A$3:$A$2000)),0))</f>
        <v>170770.41949768036</v>
      </c>
      <c r="L275">
        <f t="shared" si="9"/>
        <v>101897.26402013699</v>
      </c>
    </row>
    <row r="276" spans="4:12" x14ac:dyDescent="0.25">
      <c r="D276">
        <f t="shared" si="8"/>
        <v>0</v>
      </c>
      <c r="H276">
        <v>274</v>
      </c>
      <c r="I276" s="1">
        <v>45233</v>
      </c>
      <c r="J276">
        <f t="array" ref="J276">INDEX($D$3:$D$62,MATCH(1, (YEAR(I276)=YEAR($A$3:$A$62))*(MONTH(I276)=MONTH($A$3:$A$62)),0))</f>
        <v>110005.32710972808</v>
      </c>
      <c r="K276">
        <f t="array" ref="K276">INDEX($G$3:$G$200,MATCH(1, (YEAR(I276)=YEAR($A$3:$A$2000))*(MONTH(I276)=MONTH($A$3:$A$2000)),0))</f>
        <v>170770.41949768036</v>
      </c>
      <c r="L276">
        <f t="shared" si="9"/>
        <v>101775.48615990399</v>
      </c>
    </row>
    <row r="277" spans="4:12" x14ac:dyDescent="0.25">
      <c r="D277">
        <f t="shared" si="8"/>
        <v>0</v>
      </c>
      <c r="H277">
        <v>275</v>
      </c>
      <c r="I277" s="1">
        <v>45234</v>
      </c>
      <c r="J277">
        <f t="array" ref="J277">INDEX($D$3:$D$62,MATCH(1, (YEAR(I277)=YEAR($A$3:$A$62))*(MONTH(I277)=MONTH($A$3:$A$62)),0))</f>
        <v>110005.32710972808</v>
      </c>
      <c r="K277">
        <f t="array" ref="K277">INDEX($G$3:$G$200,MATCH(1, (YEAR(I277)=YEAR($A$3:$A$2000))*(MONTH(I277)=MONTH($A$3:$A$2000)),0))</f>
        <v>170770.41949768036</v>
      </c>
      <c r="L277">
        <f t="shared" si="9"/>
        <v>101653.924685259</v>
      </c>
    </row>
    <row r="278" spans="4:12" x14ac:dyDescent="0.25">
      <c r="D278">
        <f t="shared" si="8"/>
        <v>0</v>
      </c>
      <c r="H278">
        <v>276</v>
      </c>
      <c r="I278" s="1">
        <v>45235</v>
      </c>
      <c r="J278">
        <f t="array" ref="J278">INDEX($D$3:$D$62,MATCH(1, (YEAR(I278)=YEAR($A$3:$A$62))*(MONTH(I278)=MONTH($A$3:$A$62)),0))</f>
        <v>110005.32710972808</v>
      </c>
      <c r="K278">
        <f t="array" ref="K278">INDEX($G$3:$G$200,MATCH(1, (YEAR(I278)=YEAR($A$3:$A$2000))*(MONTH(I278)=MONTH($A$3:$A$2000)),0))</f>
        <v>170770.41949768036</v>
      </c>
      <c r="L278">
        <f t="shared" si="9"/>
        <v>101532.579252624</v>
      </c>
    </row>
    <row r="279" spans="4:12" x14ac:dyDescent="0.25">
      <c r="D279">
        <f t="shared" si="8"/>
        <v>0</v>
      </c>
      <c r="H279">
        <v>277</v>
      </c>
      <c r="I279" s="1">
        <v>45236</v>
      </c>
      <c r="J279">
        <f t="array" ref="J279">INDEX($D$3:$D$62,MATCH(1, (YEAR(I279)=YEAR($A$3:$A$62))*(MONTH(I279)=MONTH($A$3:$A$62)),0))</f>
        <v>110005.32710972808</v>
      </c>
      <c r="K279">
        <f t="array" ref="K279">INDEX($G$3:$G$200,MATCH(1, (YEAR(I279)=YEAR($A$3:$A$2000))*(MONTH(I279)=MONTH($A$3:$A$2000)),0))</f>
        <v>170770.41949768036</v>
      </c>
      <c r="L279">
        <f t="shared" si="9"/>
        <v>101411.44951870899</v>
      </c>
    </row>
    <row r="280" spans="4:12" x14ac:dyDescent="0.25">
      <c r="D280">
        <f t="shared" si="8"/>
        <v>0</v>
      </c>
      <c r="H280">
        <v>278</v>
      </c>
      <c r="I280" s="1">
        <v>45237</v>
      </c>
      <c r="J280">
        <f t="array" ref="J280">INDEX($D$3:$D$62,MATCH(1, (YEAR(I280)=YEAR($A$3:$A$62))*(MONTH(I280)=MONTH($A$3:$A$62)),0))</f>
        <v>110005.32710972808</v>
      </c>
      <c r="K280">
        <f t="array" ref="K280">INDEX($G$3:$G$200,MATCH(1, (YEAR(I280)=YEAR($A$3:$A$2000))*(MONTH(I280)=MONTH($A$3:$A$2000)),0))</f>
        <v>170770.41949768036</v>
      </c>
      <c r="L280">
        <f t="shared" si="9"/>
        <v>101290.53514051199</v>
      </c>
    </row>
    <row r="281" spans="4:12" x14ac:dyDescent="0.25">
      <c r="D281">
        <f t="shared" si="8"/>
        <v>0</v>
      </c>
      <c r="H281">
        <v>279</v>
      </c>
      <c r="I281" s="1">
        <v>45238</v>
      </c>
      <c r="J281">
        <f t="array" ref="J281">INDEX($D$3:$D$62,MATCH(1, (YEAR(I281)=YEAR($A$3:$A$62))*(MONTH(I281)=MONTH($A$3:$A$62)),0))</f>
        <v>110005.32710972808</v>
      </c>
      <c r="K281">
        <f t="array" ref="K281">INDEX($G$3:$G$200,MATCH(1, (YEAR(I281)=YEAR($A$3:$A$2000))*(MONTH(I281)=MONTH($A$3:$A$2000)),0))</f>
        <v>170770.41949768036</v>
      </c>
      <c r="L281">
        <f t="shared" si="9"/>
        <v>101169.83577531899</v>
      </c>
    </row>
    <row r="282" spans="4:12" x14ac:dyDescent="0.25">
      <c r="D282">
        <f t="shared" si="8"/>
        <v>0</v>
      </c>
      <c r="H282">
        <v>280</v>
      </c>
      <c r="I282" s="1">
        <v>45239</v>
      </c>
      <c r="J282">
        <f t="array" ref="J282">INDEX($D$3:$D$62,MATCH(1, (YEAR(I282)=YEAR($A$3:$A$62))*(MONTH(I282)=MONTH($A$3:$A$62)),0))</f>
        <v>110005.32710972808</v>
      </c>
      <c r="K282">
        <f t="array" ref="K282">INDEX($G$3:$G$200,MATCH(1, (YEAR(I282)=YEAR($A$3:$A$2000))*(MONTH(I282)=MONTH($A$3:$A$2000)),0))</f>
        <v>170770.41949768036</v>
      </c>
      <c r="L282">
        <f t="shared" si="9"/>
        <v>101049.35108070399</v>
      </c>
    </row>
    <row r="283" spans="4:12" x14ac:dyDescent="0.25">
      <c r="D283">
        <f t="shared" si="8"/>
        <v>0</v>
      </c>
      <c r="H283">
        <v>281</v>
      </c>
      <c r="I283" s="1">
        <v>45240</v>
      </c>
      <c r="J283">
        <f t="array" ref="J283">INDEX($D$3:$D$62,MATCH(1, (YEAR(I283)=YEAR($A$3:$A$62))*(MONTH(I283)=MONTH($A$3:$A$62)),0))</f>
        <v>110005.32710972808</v>
      </c>
      <c r="K283">
        <f t="array" ref="K283">INDEX($G$3:$G$200,MATCH(1, (YEAR(I283)=YEAR($A$3:$A$2000))*(MONTH(I283)=MONTH($A$3:$A$2000)),0))</f>
        <v>170770.41949768036</v>
      </c>
      <c r="L283">
        <f t="shared" si="9"/>
        <v>100929.080714529</v>
      </c>
    </row>
    <row r="284" spans="4:12" x14ac:dyDescent="0.25">
      <c r="D284">
        <f t="shared" si="8"/>
        <v>0</v>
      </c>
      <c r="H284">
        <v>282</v>
      </c>
      <c r="I284" s="1">
        <v>45241</v>
      </c>
      <c r="J284">
        <f t="array" ref="J284">INDEX($D$3:$D$62,MATCH(1, (YEAR(I284)=YEAR($A$3:$A$62))*(MONTH(I284)=MONTH($A$3:$A$62)),0))</f>
        <v>110005.32710972808</v>
      </c>
      <c r="K284">
        <f t="array" ref="K284">INDEX($G$3:$G$200,MATCH(1, (YEAR(I284)=YEAR($A$3:$A$2000))*(MONTH(I284)=MONTH($A$3:$A$2000)),0))</f>
        <v>170770.41949768036</v>
      </c>
      <c r="L284">
        <f t="shared" si="9"/>
        <v>100809.024334944</v>
      </c>
    </row>
    <row r="285" spans="4:12" x14ac:dyDescent="0.25">
      <c r="D285">
        <f t="shared" si="8"/>
        <v>0</v>
      </c>
      <c r="H285">
        <v>283</v>
      </c>
      <c r="I285" s="1">
        <v>45242</v>
      </c>
      <c r="J285">
        <f t="array" ref="J285">INDEX($D$3:$D$62,MATCH(1, (YEAR(I285)=YEAR($A$3:$A$62))*(MONTH(I285)=MONTH($A$3:$A$62)),0))</f>
        <v>110005.32710972808</v>
      </c>
      <c r="K285">
        <f t="array" ref="K285">INDEX($G$3:$G$200,MATCH(1, (YEAR(I285)=YEAR($A$3:$A$2000))*(MONTH(I285)=MONTH($A$3:$A$2000)),0))</f>
        <v>170770.41949768036</v>
      </c>
      <c r="L285">
        <f t="shared" si="9"/>
        <v>100689.18160038699</v>
      </c>
    </row>
    <row r="286" spans="4:12" x14ac:dyDescent="0.25">
      <c r="D286">
        <f t="shared" si="8"/>
        <v>0</v>
      </c>
      <c r="H286">
        <v>284</v>
      </c>
      <c r="I286" s="1">
        <v>45243</v>
      </c>
      <c r="J286">
        <f t="array" ref="J286">INDEX($D$3:$D$62,MATCH(1, (YEAR(I286)=YEAR($A$3:$A$62))*(MONTH(I286)=MONTH($A$3:$A$62)),0))</f>
        <v>110005.32710972808</v>
      </c>
      <c r="K286">
        <f t="array" ref="K286">INDEX($G$3:$G$200,MATCH(1, (YEAR(I286)=YEAR($A$3:$A$2000))*(MONTH(I286)=MONTH($A$3:$A$2000)),0))</f>
        <v>170770.41949768036</v>
      </c>
      <c r="L286">
        <f t="shared" si="9"/>
        <v>100569.552169584</v>
      </c>
    </row>
    <row r="287" spans="4:12" x14ac:dyDescent="0.25">
      <c r="D287">
        <f t="shared" si="8"/>
        <v>0</v>
      </c>
      <c r="H287">
        <v>285</v>
      </c>
      <c r="I287" s="1">
        <v>45244</v>
      </c>
      <c r="J287">
        <f t="array" ref="J287">INDEX($D$3:$D$62,MATCH(1, (YEAR(I287)=YEAR($A$3:$A$62))*(MONTH(I287)=MONTH($A$3:$A$62)),0))</f>
        <v>110005.32710972808</v>
      </c>
      <c r="K287">
        <f t="array" ref="K287">INDEX($G$3:$G$200,MATCH(1, (YEAR(I287)=YEAR($A$3:$A$2000))*(MONTH(I287)=MONTH($A$3:$A$2000)),0))</f>
        <v>170770.41949768036</v>
      </c>
      <c r="L287">
        <f t="shared" si="9"/>
        <v>100450.13570154899</v>
      </c>
    </row>
    <row r="288" spans="4:12" x14ac:dyDescent="0.25">
      <c r="D288">
        <f t="shared" si="8"/>
        <v>0</v>
      </c>
      <c r="H288">
        <v>286</v>
      </c>
      <c r="I288" s="1">
        <v>45245</v>
      </c>
      <c r="J288">
        <f t="array" ref="J288">INDEX($D$3:$D$62,MATCH(1, (YEAR(I288)=YEAR($A$3:$A$62))*(MONTH(I288)=MONTH($A$3:$A$62)),0))</f>
        <v>110005.32710972808</v>
      </c>
      <c r="K288">
        <f t="array" ref="K288">INDEX($G$3:$G$200,MATCH(1, (YEAR(I288)=YEAR($A$3:$A$2000))*(MONTH(I288)=MONTH($A$3:$A$2000)),0))</f>
        <v>170770.41949768036</v>
      </c>
      <c r="L288">
        <f t="shared" si="9"/>
        <v>100330.931855584</v>
      </c>
    </row>
    <row r="289" spans="4:12" x14ac:dyDescent="0.25">
      <c r="D289">
        <f t="shared" si="8"/>
        <v>0</v>
      </c>
      <c r="H289">
        <v>287</v>
      </c>
      <c r="I289" s="1">
        <v>45246</v>
      </c>
      <c r="J289">
        <f t="array" ref="J289">INDEX($D$3:$D$62,MATCH(1, (YEAR(I289)=YEAR($A$3:$A$62))*(MONTH(I289)=MONTH($A$3:$A$62)),0))</f>
        <v>110005.32710972808</v>
      </c>
      <c r="K289">
        <f t="array" ref="K289">INDEX($G$3:$G$200,MATCH(1, (YEAR(I289)=YEAR($A$3:$A$2000))*(MONTH(I289)=MONTH($A$3:$A$2000)),0))</f>
        <v>170770.41949768036</v>
      </c>
      <c r="L289">
        <f t="shared" si="9"/>
        <v>100211.940291279</v>
      </c>
    </row>
    <row r="290" spans="4:12" x14ac:dyDescent="0.25">
      <c r="D290">
        <f t="shared" si="8"/>
        <v>0</v>
      </c>
      <c r="H290">
        <v>288</v>
      </c>
      <c r="I290" s="1">
        <v>45247</v>
      </c>
      <c r="J290">
        <f t="array" ref="J290">INDEX($D$3:$D$62,MATCH(1, (YEAR(I290)=YEAR($A$3:$A$62))*(MONTH(I290)=MONTH($A$3:$A$62)),0))</f>
        <v>110005.32710972808</v>
      </c>
      <c r="K290">
        <f t="array" ref="K290">INDEX($G$3:$G$200,MATCH(1, (YEAR(I290)=YEAR($A$3:$A$2000))*(MONTH(I290)=MONTH($A$3:$A$2000)),0))</f>
        <v>170770.41949768036</v>
      </c>
      <c r="L290">
        <f t="shared" si="9"/>
        <v>100093.16066851199</v>
      </c>
    </row>
    <row r="291" spans="4:12" x14ac:dyDescent="0.25">
      <c r="D291">
        <f t="shared" si="8"/>
        <v>0</v>
      </c>
      <c r="H291">
        <v>289</v>
      </c>
      <c r="I291" s="1">
        <v>45248</v>
      </c>
      <c r="J291">
        <f t="array" ref="J291">INDEX($D$3:$D$62,MATCH(1, (YEAR(I291)=YEAR($A$3:$A$62))*(MONTH(I291)=MONTH($A$3:$A$62)),0))</f>
        <v>110005.32710972808</v>
      </c>
      <c r="K291">
        <f t="array" ref="K291">INDEX($G$3:$G$200,MATCH(1, (YEAR(I291)=YEAR($A$3:$A$2000))*(MONTH(I291)=MONTH($A$3:$A$2000)),0))</f>
        <v>170770.41949768036</v>
      </c>
      <c r="L291">
        <f t="shared" si="9"/>
        <v>99974.592647448997</v>
      </c>
    </row>
    <row r="292" spans="4:12" x14ac:dyDescent="0.25">
      <c r="D292">
        <f t="shared" si="8"/>
        <v>0</v>
      </c>
      <c r="H292">
        <v>290</v>
      </c>
      <c r="I292" s="1">
        <v>45249</v>
      </c>
      <c r="J292">
        <f t="array" ref="J292">INDEX($D$3:$D$62,MATCH(1, (YEAR(I292)=YEAR($A$3:$A$62))*(MONTH(I292)=MONTH($A$3:$A$62)),0))</f>
        <v>110005.32710972808</v>
      </c>
      <c r="K292">
        <f t="array" ref="K292">INDEX($G$3:$G$200,MATCH(1, (YEAR(I292)=YEAR($A$3:$A$2000))*(MONTH(I292)=MONTH($A$3:$A$2000)),0))</f>
        <v>170770.41949768036</v>
      </c>
      <c r="L292">
        <f t="shared" si="9"/>
        <v>99856.23588854399</v>
      </c>
    </row>
    <row r="293" spans="4:12" x14ac:dyDescent="0.25">
      <c r="D293">
        <f t="shared" si="8"/>
        <v>0</v>
      </c>
      <c r="H293">
        <v>291</v>
      </c>
      <c r="I293" s="1">
        <v>45250</v>
      </c>
      <c r="J293">
        <f t="array" ref="J293">INDEX($D$3:$D$62,MATCH(1, (YEAR(I293)=YEAR($A$3:$A$62))*(MONTH(I293)=MONTH($A$3:$A$62)),0))</f>
        <v>110005.32710972808</v>
      </c>
      <c r="K293">
        <f t="array" ref="K293">INDEX($G$3:$G$200,MATCH(1, (YEAR(I293)=YEAR($A$3:$A$2000))*(MONTH(I293)=MONTH($A$3:$A$2000)),0))</f>
        <v>170770.41949768036</v>
      </c>
      <c r="L293">
        <f t="shared" si="9"/>
        <v>99738.090052538988</v>
      </c>
    </row>
    <row r="294" spans="4:12" x14ac:dyDescent="0.25">
      <c r="D294">
        <f t="shared" si="8"/>
        <v>0</v>
      </c>
      <c r="H294">
        <v>292</v>
      </c>
      <c r="I294" s="1">
        <v>45251</v>
      </c>
      <c r="J294">
        <f t="array" ref="J294">INDEX($D$3:$D$62,MATCH(1, (YEAR(I294)=YEAR($A$3:$A$62))*(MONTH(I294)=MONTH($A$3:$A$62)),0))</f>
        <v>110005.32710972808</v>
      </c>
      <c r="K294">
        <f t="array" ref="K294">INDEX($G$3:$G$200,MATCH(1, (YEAR(I294)=YEAR($A$3:$A$2000))*(MONTH(I294)=MONTH($A$3:$A$2000)),0))</f>
        <v>170770.41949768036</v>
      </c>
      <c r="L294">
        <f t="shared" si="9"/>
        <v>99620.154800463992</v>
      </c>
    </row>
    <row r="295" spans="4:12" x14ac:dyDescent="0.25">
      <c r="D295">
        <f t="shared" si="8"/>
        <v>0</v>
      </c>
      <c r="H295">
        <v>293</v>
      </c>
      <c r="I295" s="1">
        <v>45252</v>
      </c>
      <c r="J295">
        <f t="array" ref="J295">INDEX($D$3:$D$62,MATCH(1, (YEAR(I295)=YEAR($A$3:$A$62))*(MONTH(I295)=MONTH($A$3:$A$62)),0))</f>
        <v>110005.32710972808</v>
      </c>
      <c r="K295">
        <f t="array" ref="K295">INDEX($G$3:$G$200,MATCH(1, (YEAR(I295)=YEAR($A$3:$A$2000))*(MONTH(I295)=MONTH($A$3:$A$2000)),0))</f>
        <v>170770.41949768036</v>
      </c>
      <c r="L295">
        <f t="shared" si="9"/>
        <v>99502.429793636984</v>
      </c>
    </row>
    <row r="296" spans="4:12" x14ac:dyDescent="0.25">
      <c r="D296">
        <f t="shared" si="8"/>
        <v>0</v>
      </c>
      <c r="H296">
        <v>294</v>
      </c>
      <c r="I296" s="1">
        <v>45253</v>
      </c>
      <c r="J296">
        <f t="array" ref="J296">INDEX($D$3:$D$62,MATCH(1, (YEAR(I296)=YEAR($A$3:$A$62))*(MONTH(I296)=MONTH($A$3:$A$62)),0))</f>
        <v>110005.32710972808</v>
      </c>
      <c r="K296">
        <f t="array" ref="K296">INDEX($G$3:$G$200,MATCH(1, (YEAR(I296)=YEAR($A$3:$A$2000))*(MONTH(I296)=MONTH($A$3:$A$2000)),0))</f>
        <v>170770.41949768036</v>
      </c>
      <c r="L296">
        <f t="shared" si="9"/>
        <v>99384.914693663988</v>
      </c>
    </row>
    <row r="297" spans="4:12" x14ac:dyDescent="0.25">
      <c r="D297">
        <f t="shared" si="8"/>
        <v>0</v>
      </c>
      <c r="H297">
        <v>295</v>
      </c>
      <c r="I297" s="1">
        <v>45254</v>
      </c>
      <c r="J297">
        <f t="array" ref="J297">INDEX($D$3:$D$62,MATCH(1, (YEAR(I297)=YEAR($A$3:$A$62))*(MONTH(I297)=MONTH($A$3:$A$62)),0))</f>
        <v>110005.32710972808</v>
      </c>
      <c r="K297">
        <f t="array" ref="K297">INDEX($G$3:$G$200,MATCH(1, (YEAR(I297)=YEAR($A$3:$A$2000))*(MONTH(I297)=MONTH($A$3:$A$2000)),0))</f>
        <v>170770.41949768036</v>
      </c>
      <c r="L297">
        <f t="shared" si="9"/>
        <v>99267.609162438981</v>
      </c>
    </row>
    <row r="298" spans="4:12" x14ac:dyDescent="0.25">
      <c r="D298">
        <f t="shared" si="8"/>
        <v>0</v>
      </c>
      <c r="H298">
        <v>296</v>
      </c>
      <c r="I298" s="1">
        <v>45255</v>
      </c>
      <c r="J298">
        <f t="array" ref="J298">INDEX($D$3:$D$62,MATCH(1, (YEAR(I298)=YEAR($A$3:$A$62))*(MONTH(I298)=MONTH($A$3:$A$62)),0))</f>
        <v>110005.32710972808</v>
      </c>
      <c r="K298">
        <f t="array" ref="K298">INDEX($G$3:$G$200,MATCH(1, (YEAR(I298)=YEAR($A$3:$A$2000))*(MONTH(I298)=MONTH($A$3:$A$2000)),0))</f>
        <v>170770.41949768036</v>
      </c>
      <c r="L298">
        <f t="shared" si="9"/>
        <v>99150.51286214398</v>
      </c>
    </row>
    <row r="299" spans="4:12" x14ac:dyDescent="0.25">
      <c r="D299">
        <f t="shared" si="8"/>
        <v>0</v>
      </c>
      <c r="H299">
        <v>297</v>
      </c>
      <c r="I299" s="1">
        <v>45256</v>
      </c>
      <c r="J299">
        <f t="array" ref="J299">INDEX($D$3:$D$62,MATCH(1, (YEAR(I299)=YEAR($A$3:$A$62))*(MONTH(I299)=MONTH($A$3:$A$62)),0))</f>
        <v>110005.32710972808</v>
      </c>
      <c r="K299">
        <f t="array" ref="K299">INDEX($G$3:$G$200,MATCH(1, (YEAR(I299)=YEAR($A$3:$A$2000))*(MONTH(I299)=MONTH($A$3:$A$2000)),0))</f>
        <v>170770.41949768036</v>
      </c>
      <c r="L299">
        <f t="shared" si="9"/>
        <v>99033.625455248985</v>
      </c>
    </row>
    <row r="300" spans="4:12" x14ac:dyDescent="0.25">
      <c r="D300">
        <f t="shared" si="8"/>
        <v>0</v>
      </c>
      <c r="H300">
        <v>298</v>
      </c>
      <c r="I300" s="1">
        <v>45257</v>
      </c>
      <c r="J300">
        <f t="array" ref="J300">INDEX($D$3:$D$62,MATCH(1, (YEAR(I300)=YEAR($A$3:$A$62))*(MONTH(I300)=MONTH($A$3:$A$62)),0))</f>
        <v>110005.32710972808</v>
      </c>
      <c r="K300">
        <f t="array" ref="K300">INDEX($G$3:$G$200,MATCH(1, (YEAR(I300)=YEAR($A$3:$A$2000))*(MONTH(I300)=MONTH($A$3:$A$2000)),0))</f>
        <v>170770.41949768036</v>
      </c>
      <c r="L300">
        <f t="shared" si="9"/>
        <v>98916.946604511992</v>
      </c>
    </row>
    <row r="301" spans="4:12" x14ac:dyDescent="0.25">
      <c r="D301">
        <f t="shared" si="8"/>
        <v>0</v>
      </c>
      <c r="H301">
        <v>299</v>
      </c>
      <c r="I301" s="1">
        <v>45258</v>
      </c>
      <c r="J301">
        <f t="array" ref="J301">INDEX($D$3:$D$62,MATCH(1, (YEAR(I301)=YEAR($A$3:$A$62))*(MONTH(I301)=MONTH($A$3:$A$62)),0))</f>
        <v>110005.32710972808</v>
      </c>
      <c r="K301">
        <f t="array" ref="K301">INDEX($G$3:$G$200,MATCH(1, (YEAR(I301)=YEAR($A$3:$A$2000))*(MONTH(I301)=MONTH($A$3:$A$2000)),0))</f>
        <v>170770.41949768036</v>
      </c>
      <c r="L301">
        <f t="shared" si="9"/>
        <v>98800.47597297898</v>
      </c>
    </row>
    <row r="302" spans="4:12" x14ac:dyDescent="0.25">
      <c r="D302">
        <f t="shared" si="8"/>
        <v>0</v>
      </c>
      <c r="H302">
        <v>300</v>
      </c>
      <c r="I302" s="1">
        <v>45259</v>
      </c>
      <c r="J302">
        <f t="array" ref="J302">INDEX($D$3:$D$62,MATCH(1, (YEAR(I302)=YEAR($A$3:$A$62))*(MONTH(I302)=MONTH($A$3:$A$62)),0))</f>
        <v>110005.32710972808</v>
      </c>
      <c r="K302">
        <f t="array" ref="K302">INDEX($G$3:$G$200,MATCH(1, (YEAR(I302)=YEAR($A$3:$A$2000))*(MONTH(I302)=MONTH($A$3:$A$2000)),0))</f>
        <v>170770.41949768036</v>
      </c>
      <c r="L302">
        <f t="shared" si="9"/>
        <v>98684.213223983985</v>
      </c>
    </row>
    <row r="303" spans="4:12" x14ac:dyDescent="0.25">
      <c r="D303">
        <f t="shared" si="8"/>
        <v>0</v>
      </c>
      <c r="H303">
        <v>301</v>
      </c>
      <c r="I303" s="1">
        <v>45260</v>
      </c>
      <c r="J303">
        <f t="array" ref="J303">INDEX($D$3:$D$62,MATCH(1, (YEAR(I303)=YEAR($A$3:$A$62))*(MONTH(I303)=MONTH($A$3:$A$62)),0))</f>
        <v>110005.32710972808</v>
      </c>
      <c r="K303">
        <f t="array" ref="K303">INDEX($G$3:$G$200,MATCH(1, (YEAR(I303)=YEAR($A$3:$A$2000))*(MONTH(I303)=MONTH($A$3:$A$2000)),0))</f>
        <v>170770.41949768036</v>
      </c>
      <c r="L303">
        <f t="shared" si="9"/>
        <v>98568.158021148993</v>
      </c>
    </row>
    <row r="304" spans="4:12" x14ac:dyDescent="0.25">
      <c r="D304">
        <f t="shared" si="8"/>
        <v>0</v>
      </c>
      <c r="H304">
        <v>302</v>
      </c>
      <c r="I304" s="1">
        <v>45261</v>
      </c>
      <c r="J304">
        <f t="array" ref="J304">INDEX($D$3:$D$62,MATCH(1, (YEAR(I304)=YEAR($A$3:$A$62))*(MONTH(I304)=MONTH($A$3:$A$62)),0))</f>
        <v>105668.66910304019</v>
      </c>
      <c r="K304">
        <f t="array" ref="K304">INDEX($G$3:$G$200,MATCH(1, (YEAR(I304)=YEAR($A$3:$A$2000))*(MONTH(I304)=MONTH($A$3:$A$2000)),0))</f>
        <v>164953.3129410593</v>
      </c>
      <c r="L304">
        <f t="shared" si="9"/>
        <v>98452.310028383989</v>
      </c>
    </row>
    <row r="305" spans="4:12" x14ac:dyDescent="0.25">
      <c r="D305">
        <f t="shared" si="8"/>
        <v>0</v>
      </c>
      <c r="H305">
        <v>303</v>
      </c>
      <c r="I305" s="1">
        <v>45262</v>
      </c>
      <c r="J305">
        <f t="array" ref="J305">INDEX($D$3:$D$62,MATCH(1, (YEAR(I305)=YEAR($A$3:$A$62))*(MONTH(I305)=MONTH($A$3:$A$62)),0))</f>
        <v>105668.66910304019</v>
      </c>
      <c r="K305">
        <f t="array" ref="K305">INDEX($G$3:$G$200,MATCH(1, (YEAR(I305)=YEAR($A$3:$A$2000))*(MONTH(I305)=MONTH($A$3:$A$2000)),0))</f>
        <v>164953.3129410593</v>
      </c>
      <c r="L305">
        <f t="shared" si="9"/>
        <v>98336.668909886997</v>
      </c>
    </row>
    <row r="306" spans="4:12" x14ac:dyDescent="0.25">
      <c r="D306">
        <f t="shared" si="8"/>
        <v>0</v>
      </c>
      <c r="H306">
        <v>304</v>
      </c>
      <c r="I306" s="1">
        <v>45263</v>
      </c>
      <c r="J306">
        <f t="array" ref="J306">INDEX($D$3:$D$62,MATCH(1, (YEAR(I306)=YEAR($A$3:$A$62))*(MONTH(I306)=MONTH($A$3:$A$62)),0))</f>
        <v>105668.66910304019</v>
      </c>
      <c r="K306">
        <f t="array" ref="K306">INDEX($G$3:$G$200,MATCH(1, (YEAR(I306)=YEAR($A$3:$A$2000))*(MONTH(I306)=MONTH($A$3:$A$2000)),0))</f>
        <v>164953.3129410593</v>
      </c>
      <c r="L306">
        <f t="shared" si="9"/>
        <v>98221.234330143998</v>
      </c>
    </row>
    <row r="307" spans="4:12" x14ac:dyDescent="0.25">
      <c r="D307">
        <f t="shared" si="8"/>
        <v>0</v>
      </c>
      <c r="H307">
        <v>305</v>
      </c>
      <c r="I307" s="1">
        <v>45264</v>
      </c>
      <c r="J307">
        <f t="array" ref="J307">INDEX($D$3:$D$62,MATCH(1, (YEAR(I307)=YEAR($A$3:$A$62))*(MONTH(I307)=MONTH($A$3:$A$62)),0))</f>
        <v>105668.66910304019</v>
      </c>
      <c r="K307">
        <f t="array" ref="K307">INDEX($G$3:$G$200,MATCH(1, (YEAR(I307)=YEAR($A$3:$A$2000))*(MONTH(I307)=MONTH($A$3:$A$2000)),0))</f>
        <v>164953.3129410593</v>
      </c>
      <c r="L307">
        <f t="shared" si="9"/>
        <v>98106.005953928994</v>
      </c>
    </row>
    <row r="308" spans="4:12" x14ac:dyDescent="0.25">
      <c r="D308">
        <f t="shared" si="8"/>
        <v>0</v>
      </c>
      <c r="H308">
        <v>306</v>
      </c>
      <c r="I308" s="1">
        <v>45265</v>
      </c>
      <c r="J308">
        <f t="array" ref="J308">INDEX($D$3:$D$62,MATCH(1, (YEAR(I308)=YEAR($A$3:$A$62))*(MONTH(I308)=MONTH($A$3:$A$62)),0))</f>
        <v>105668.66910304019</v>
      </c>
      <c r="K308">
        <f t="array" ref="K308">INDEX($G$3:$G$200,MATCH(1, (YEAR(I308)=YEAR($A$3:$A$2000))*(MONTH(I308)=MONTH($A$3:$A$2000)),0))</f>
        <v>164953.3129410593</v>
      </c>
      <c r="L308">
        <f t="shared" si="9"/>
        <v>97990.983446303988</v>
      </c>
    </row>
    <row r="309" spans="4:12" x14ac:dyDescent="0.25">
      <c r="D309">
        <f t="shared" si="8"/>
        <v>0</v>
      </c>
      <c r="H309">
        <v>307</v>
      </c>
      <c r="I309" s="1">
        <v>45266</v>
      </c>
      <c r="J309">
        <f t="array" ref="J309">INDEX($D$3:$D$62,MATCH(1, (YEAR(I309)=YEAR($A$3:$A$62))*(MONTH(I309)=MONTH($A$3:$A$62)),0))</f>
        <v>105668.66910304019</v>
      </c>
      <c r="K309">
        <f t="array" ref="K309">INDEX($G$3:$G$200,MATCH(1, (YEAR(I309)=YEAR($A$3:$A$2000))*(MONTH(I309)=MONTH($A$3:$A$2000)),0))</f>
        <v>164953.3129410593</v>
      </c>
      <c r="L309">
        <f t="shared" si="9"/>
        <v>97876.166472618992</v>
      </c>
    </row>
    <row r="310" spans="4:12" x14ac:dyDescent="0.25">
      <c r="D310">
        <f t="shared" si="8"/>
        <v>0</v>
      </c>
      <c r="H310">
        <v>308</v>
      </c>
      <c r="I310" s="1">
        <v>45267</v>
      </c>
      <c r="J310">
        <f t="array" ref="J310">INDEX($D$3:$D$62,MATCH(1, (YEAR(I310)=YEAR($A$3:$A$62))*(MONTH(I310)=MONTH($A$3:$A$62)),0))</f>
        <v>105668.66910304019</v>
      </c>
      <c r="K310">
        <f t="array" ref="K310">INDEX($G$3:$G$200,MATCH(1, (YEAR(I310)=YEAR($A$3:$A$2000))*(MONTH(I310)=MONTH($A$3:$A$2000)),0))</f>
        <v>164953.3129410593</v>
      </c>
      <c r="L310">
        <f t="shared" si="9"/>
        <v>97761.554698511987</v>
      </c>
    </row>
    <row r="311" spans="4:12" x14ac:dyDescent="0.25">
      <c r="D311">
        <f t="shared" si="8"/>
        <v>0</v>
      </c>
      <c r="H311">
        <v>309</v>
      </c>
      <c r="I311" s="1">
        <v>45268</v>
      </c>
      <c r="J311">
        <f t="array" ref="J311">INDEX($D$3:$D$62,MATCH(1, (YEAR(I311)=YEAR($A$3:$A$62))*(MONTH(I311)=MONTH($A$3:$A$62)),0))</f>
        <v>105668.66910304019</v>
      </c>
      <c r="K311">
        <f t="array" ref="K311">INDEX($G$3:$G$200,MATCH(1, (YEAR(I311)=YEAR($A$3:$A$2000))*(MONTH(I311)=MONTH($A$3:$A$2000)),0))</f>
        <v>164953.3129410593</v>
      </c>
      <c r="L311">
        <f t="shared" si="9"/>
        <v>97647.147789908995</v>
      </c>
    </row>
    <row r="312" spans="4:12" x14ac:dyDescent="0.25">
      <c r="D312">
        <f t="shared" si="8"/>
        <v>0</v>
      </c>
      <c r="H312">
        <v>310</v>
      </c>
      <c r="I312" s="1">
        <v>45269</v>
      </c>
      <c r="J312">
        <f t="array" ref="J312">INDEX($D$3:$D$62,MATCH(1, (YEAR(I312)=YEAR($A$3:$A$62))*(MONTH(I312)=MONTH($A$3:$A$62)),0))</f>
        <v>105668.66910304019</v>
      </c>
      <c r="K312">
        <f t="array" ref="K312">INDEX($G$3:$G$200,MATCH(1, (YEAR(I312)=YEAR($A$3:$A$2000))*(MONTH(I312)=MONTH($A$3:$A$2000)),0))</f>
        <v>164953.3129410593</v>
      </c>
      <c r="L312">
        <f t="shared" si="9"/>
        <v>97532.94541302399</v>
      </c>
    </row>
    <row r="313" spans="4:12" x14ac:dyDescent="0.25">
      <c r="D313">
        <f t="shared" si="8"/>
        <v>0</v>
      </c>
      <c r="H313">
        <v>311</v>
      </c>
      <c r="I313" s="1">
        <v>45270</v>
      </c>
      <c r="J313">
        <f t="array" ref="J313">INDEX($D$3:$D$62,MATCH(1, (YEAR(I313)=YEAR($A$3:$A$62))*(MONTH(I313)=MONTH($A$3:$A$62)),0))</f>
        <v>105668.66910304019</v>
      </c>
      <c r="K313">
        <f t="array" ref="K313">INDEX($G$3:$G$200,MATCH(1, (YEAR(I313)=YEAR($A$3:$A$2000))*(MONTH(I313)=MONTH($A$3:$A$2000)),0))</f>
        <v>164953.3129410593</v>
      </c>
      <c r="L313">
        <f t="shared" si="9"/>
        <v>97418.947234358988</v>
      </c>
    </row>
    <row r="314" spans="4:12" x14ac:dyDescent="0.25">
      <c r="D314">
        <f t="shared" si="8"/>
        <v>0</v>
      </c>
      <c r="H314">
        <v>312</v>
      </c>
      <c r="I314" s="1">
        <v>45271</v>
      </c>
      <c r="J314">
        <f t="array" ref="J314">INDEX($D$3:$D$62,MATCH(1, (YEAR(I314)=YEAR($A$3:$A$62))*(MONTH(I314)=MONTH($A$3:$A$62)),0))</f>
        <v>105668.66910304019</v>
      </c>
      <c r="K314">
        <f t="array" ref="K314">INDEX($G$3:$G$200,MATCH(1, (YEAR(I314)=YEAR($A$3:$A$2000))*(MONTH(I314)=MONTH($A$3:$A$2000)),0))</f>
        <v>164953.3129410593</v>
      </c>
      <c r="L314">
        <f t="shared" si="9"/>
        <v>97305.152920703986</v>
      </c>
    </row>
    <row r="315" spans="4:12" x14ac:dyDescent="0.25">
      <c r="D315">
        <f t="shared" si="8"/>
        <v>0</v>
      </c>
      <c r="H315">
        <v>313</v>
      </c>
      <c r="I315" s="1">
        <v>45272</v>
      </c>
      <c r="J315">
        <f t="array" ref="J315">INDEX($D$3:$D$62,MATCH(1, (YEAR(I315)=YEAR($A$3:$A$62))*(MONTH(I315)=MONTH($A$3:$A$62)),0))</f>
        <v>105668.66910304019</v>
      </c>
      <c r="K315">
        <f t="array" ref="K315">INDEX($G$3:$G$200,MATCH(1, (YEAR(I315)=YEAR($A$3:$A$2000))*(MONTH(I315)=MONTH($A$3:$A$2000)),0))</f>
        <v>164953.3129410593</v>
      </c>
      <c r="L315">
        <f t="shared" si="9"/>
        <v>97191.562139136993</v>
      </c>
    </row>
    <row r="316" spans="4:12" x14ac:dyDescent="0.25">
      <c r="D316">
        <f t="shared" si="8"/>
        <v>0</v>
      </c>
      <c r="H316">
        <v>314</v>
      </c>
      <c r="I316" s="1">
        <v>45273</v>
      </c>
      <c r="J316">
        <f t="array" ref="J316">INDEX($D$3:$D$62,MATCH(1, (YEAR(I316)=YEAR($A$3:$A$62))*(MONTH(I316)=MONTH($A$3:$A$62)),0))</f>
        <v>105668.66910304019</v>
      </c>
      <c r="K316">
        <f t="array" ref="K316">INDEX($G$3:$G$200,MATCH(1, (YEAR(I316)=YEAR($A$3:$A$2000))*(MONTH(I316)=MONTH($A$3:$A$2000)),0))</f>
        <v>164953.3129410593</v>
      </c>
      <c r="L316">
        <f t="shared" si="9"/>
        <v>97078.174557024002</v>
      </c>
    </row>
    <row r="317" spans="4:12" x14ac:dyDescent="0.25">
      <c r="D317">
        <f t="shared" si="8"/>
        <v>0</v>
      </c>
      <c r="H317">
        <v>315</v>
      </c>
      <c r="I317" s="1">
        <v>45274</v>
      </c>
      <c r="J317">
        <f t="array" ref="J317">INDEX($D$3:$D$62,MATCH(1, (YEAR(I317)=YEAR($A$3:$A$62))*(MONTH(I317)=MONTH($A$3:$A$62)),0))</f>
        <v>105668.66910304019</v>
      </c>
      <c r="K317">
        <f t="array" ref="K317">INDEX($G$3:$G$200,MATCH(1, (YEAR(I317)=YEAR($A$3:$A$2000))*(MONTH(I317)=MONTH($A$3:$A$2000)),0))</f>
        <v>164953.3129410593</v>
      </c>
      <c r="L317">
        <f t="shared" si="9"/>
        <v>96964.989842018986</v>
      </c>
    </row>
    <row r="318" spans="4:12" x14ac:dyDescent="0.25">
      <c r="D318">
        <f t="shared" si="8"/>
        <v>0</v>
      </c>
      <c r="H318">
        <v>316</v>
      </c>
      <c r="I318" s="1">
        <v>45275</v>
      </c>
      <c r="J318">
        <f t="array" ref="J318">INDEX($D$3:$D$62,MATCH(1, (YEAR(I318)=YEAR($A$3:$A$62))*(MONTH(I318)=MONTH($A$3:$A$62)),0))</f>
        <v>105668.66910304019</v>
      </c>
      <c r="K318">
        <f t="array" ref="K318">INDEX($G$3:$G$200,MATCH(1, (YEAR(I318)=YEAR($A$3:$A$2000))*(MONTH(I318)=MONTH($A$3:$A$2000)),0))</f>
        <v>164953.3129410593</v>
      </c>
      <c r="L318">
        <f t="shared" si="9"/>
        <v>96852.007662063988</v>
      </c>
    </row>
    <row r="319" spans="4:12" x14ac:dyDescent="0.25">
      <c r="D319">
        <f t="shared" si="8"/>
        <v>0</v>
      </c>
      <c r="H319">
        <v>317</v>
      </c>
      <c r="I319" s="1">
        <v>45276</v>
      </c>
      <c r="J319">
        <f t="array" ref="J319">INDEX($D$3:$D$62,MATCH(1, (YEAR(I319)=YEAR($A$3:$A$62))*(MONTH(I319)=MONTH($A$3:$A$62)),0))</f>
        <v>105668.66910304019</v>
      </c>
      <c r="K319">
        <f t="array" ref="K319">INDEX($G$3:$G$200,MATCH(1, (YEAR(I319)=YEAR($A$3:$A$2000))*(MONTH(I319)=MONTH($A$3:$A$2000)),0))</f>
        <v>164953.3129410593</v>
      </c>
      <c r="L319">
        <f t="shared" si="9"/>
        <v>96739.227685388993</v>
      </c>
    </row>
    <row r="320" spans="4:12" x14ac:dyDescent="0.25">
      <c r="D320">
        <f t="shared" si="8"/>
        <v>0</v>
      </c>
      <c r="H320">
        <v>318</v>
      </c>
      <c r="I320" s="1">
        <v>45277</v>
      </c>
      <c r="J320">
        <f t="array" ref="J320">INDEX($D$3:$D$62,MATCH(1, (YEAR(I320)=YEAR($A$3:$A$62))*(MONTH(I320)=MONTH($A$3:$A$62)),0))</f>
        <v>105668.66910304019</v>
      </c>
      <c r="K320">
        <f t="array" ref="K320">INDEX($G$3:$G$200,MATCH(1, (YEAR(I320)=YEAR($A$3:$A$2000))*(MONTH(I320)=MONTH($A$3:$A$2000)),0))</f>
        <v>164953.3129410593</v>
      </c>
      <c r="L320">
        <f t="shared" si="9"/>
        <v>96626.649580511992</v>
      </c>
    </row>
    <row r="321" spans="4:12" x14ac:dyDescent="0.25">
      <c r="D321">
        <f t="shared" si="8"/>
        <v>0</v>
      </c>
      <c r="H321">
        <v>319</v>
      </c>
      <c r="I321" s="1">
        <v>45278</v>
      </c>
      <c r="J321">
        <f t="array" ref="J321">INDEX($D$3:$D$62,MATCH(1, (YEAR(I321)=YEAR($A$3:$A$62))*(MONTH(I321)=MONTH($A$3:$A$62)),0))</f>
        <v>105668.66910304019</v>
      </c>
      <c r="K321">
        <f t="array" ref="K321">INDEX($G$3:$G$200,MATCH(1, (YEAR(I321)=YEAR($A$3:$A$2000))*(MONTH(I321)=MONTH($A$3:$A$2000)),0))</f>
        <v>164953.3129410593</v>
      </c>
      <c r="L321">
        <f t="shared" si="9"/>
        <v>96514.273016238993</v>
      </c>
    </row>
    <row r="322" spans="4:12" x14ac:dyDescent="0.25">
      <c r="D322">
        <f t="shared" si="8"/>
        <v>0</v>
      </c>
      <c r="H322">
        <v>320</v>
      </c>
      <c r="I322" s="1">
        <v>45279</v>
      </c>
      <c r="J322">
        <f t="array" ref="J322">INDEX($D$3:$D$62,MATCH(1, (YEAR(I322)=YEAR($A$3:$A$62))*(MONTH(I322)=MONTH($A$3:$A$62)),0))</f>
        <v>105668.66910304019</v>
      </c>
      <c r="K322">
        <f t="array" ref="K322">INDEX($G$3:$G$200,MATCH(1, (YEAR(I322)=YEAR($A$3:$A$2000))*(MONTH(I322)=MONTH($A$3:$A$2000)),0))</f>
        <v>164953.3129410593</v>
      </c>
      <c r="L322">
        <f t="shared" si="9"/>
        <v>96402.097661663996</v>
      </c>
    </row>
    <row r="323" spans="4:12" x14ac:dyDescent="0.25">
      <c r="D323">
        <f t="shared" si="8"/>
        <v>0</v>
      </c>
      <c r="H323">
        <v>321</v>
      </c>
      <c r="I323" s="1">
        <v>45280</v>
      </c>
      <c r="J323">
        <f t="array" ref="J323">INDEX($D$3:$D$62,MATCH(1, (YEAR(I323)=YEAR($A$3:$A$62))*(MONTH(I323)=MONTH($A$3:$A$62)),0))</f>
        <v>105668.66910304019</v>
      </c>
      <c r="K323">
        <f t="array" ref="K323">INDEX($G$3:$G$200,MATCH(1, (YEAR(I323)=YEAR($A$3:$A$2000))*(MONTH(I323)=MONTH($A$3:$A$2000)),0))</f>
        <v>164953.3129410593</v>
      </c>
      <c r="L323">
        <f t="shared" si="9"/>
        <v>96290.123186168988</v>
      </c>
    </row>
    <row r="324" spans="4:12" x14ac:dyDescent="0.25">
      <c r="D324">
        <f t="shared" ref="D324:D387" si="10">SUM(B324:C324)</f>
        <v>0</v>
      </c>
      <c r="H324">
        <v>322</v>
      </c>
      <c r="I324" s="1">
        <v>45281</v>
      </c>
      <c r="J324">
        <f t="array" ref="J324">INDEX($D$3:$D$62,MATCH(1, (YEAR(I324)=YEAR($A$3:$A$62))*(MONTH(I324)=MONTH($A$3:$A$62)),0))</f>
        <v>105668.66910304019</v>
      </c>
      <c r="K324">
        <f t="array" ref="K324">INDEX($G$3:$G$200,MATCH(1, (YEAR(I324)=YEAR($A$3:$A$2000))*(MONTH(I324)=MONTH($A$3:$A$2000)),0))</f>
        <v>164953.3129410593</v>
      </c>
      <c r="L324">
        <f t="shared" ref="L324:L387" si="11">0.000000012*H324^4-0.000070439*H324^3+0.160688168*H324^2-194.849290676*H324+144481.718306784</f>
        <v>96178.349259423994</v>
      </c>
    </row>
    <row r="325" spans="4:12" x14ac:dyDescent="0.25">
      <c r="D325">
        <f t="shared" si="10"/>
        <v>0</v>
      </c>
      <c r="H325">
        <v>323</v>
      </c>
      <c r="I325" s="1">
        <v>45282</v>
      </c>
      <c r="J325">
        <f t="array" ref="J325">INDEX($D$3:$D$62,MATCH(1, (YEAR(I325)=YEAR($A$3:$A$62))*(MONTH(I325)=MONTH($A$3:$A$62)),0))</f>
        <v>105668.66910304019</v>
      </c>
      <c r="K325">
        <f t="array" ref="K325">INDEX($G$3:$G$200,MATCH(1, (YEAR(I325)=YEAR($A$3:$A$2000))*(MONTH(I325)=MONTH($A$3:$A$2000)),0))</f>
        <v>164953.3129410593</v>
      </c>
      <c r="L325">
        <f t="shared" si="11"/>
        <v>96066.775551386992</v>
      </c>
    </row>
    <row r="326" spans="4:12" x14ac:dyDescent="0.25">
      <c r="D326">
        <f t="shared" si="10"/>
        <v>0</v>
      </c>
      <c r="H326">
        <v>324</v>
      </c>
      <c r="I326" s="1">
        <v>45283</v>
      </c>
      <c r="J326">
        <f t="array" ref="J326">INDEX($D$3:$D$62,MATCH(1, (YEAR(I326)=YEAR($A$3:$A$62))*(MONTH(I326)=MONTH($A$3:$A$62)),0))</f>
        <v>105668.66910304019</v>
      </c>
      <c r="K326">
        <f t="array" ref="K326">INDEX($G$3:$G$200,MATCH(1, (YEAR(I326)=YEAR($A$3:$A$2000))*(MONTH(I326)=MONTH($A$3:$A$2000)),0))</f>
        <v>164953.3129410593</v>
      </c>
      <c r="L326">
        <f t="shared" si="11"/>
        <v>95955.401732303988</v>
      </c>
    </row>
    <row r="327" spans="4:12" x14ac:dyDescent="0.25">
      <c r="D327">
        <f t="shared" si="10"/>
        <v>0</v>
      </c>
      <c r="H327">
        <v>325</v>
      </c>
      <c r="I327" s="1">
        <v>45284</v>
      </c>
      <c r="J327">
        <f t="array" ref="J327">INDEX($D$3:$D$62,MATCH(1, (YEAR(I327)=YEAR($A$3:$A$62))*(MONTH(I327)=MONTH($A$3:$A$62)),0))</f>
        <v>105668.66910304019</v>
      </c>
      <c r="K327">
        <f t="array" ref="K327">INDEX($G$3:$G$200,MATCH(1, (YEAR(I327)=YEAR($A$3:$A$2000))*(MONTH(I327)=MONTH($A$3:$A$2000)),0))</f>
        <v>164953.3129410593</v>
      </c>
      <c r="L327">
        <f t="shared" si="11"/>
        <v>95844.227472708997</v>
      </c>
    </row>
    <row r="328" spans="4:12" x14ac:dyDescent="0.25">
      <c r="D328">
        <f t="shared" si="10"/>
        <v>0</v>
      </c>
      <c r="H328">
        <v>326</v>
      </c>
      <c r="I328" s="1">
        <v>45285</v>
      </c>
      <c r="J328">
        <f t="array" ref="J328">INDEX($D$3:$D$62,MATCH(1, (YEAR(I328)=YEAR($A$3:$A$62))*(MONTH(I328)=MONTH($A$3:$A$62)),0))</f>
        <v>105668.66910304019</v>
      </c>
      <c r="K328">
        <f t="array" ref="K328">INDEX($G$3:$G$200,MATCH(1, (YEAR(I328)=YEAR($A$3:$A$2000))*(MONTH(I328)=MONTH($A$3:$A$2000)),0))</f>
        <v>164953.3129410593</v>
      </c>
      <c r="L328">
        <f t="shared" si="11"/>
        <v>95733.252443423989</v>
      </c>
    </row>
    <row r="329" spans="4:12" x14ac:dyDescent="0.25">
      <c r="D329">
        <f t="shared" si="10"/>
        <v>0</v>
      </c>
      <c r="H329">
        <v>327</v>
      </c>
      <c r="I329" s="1">
        <v>45286</v>
      </c>
      <c r="J329">
        <f t="array" ref="J329">INDEX($D$3:$D$62,MATCH(1, (YEAR(I329)=YEAR($A$3:$A$62))*(MONTH(I329)=MONTH($A$3:$A$62)),0))</f>
        <v>105668.66910304019</v>
      </c>
      <c r="K329">
        <f t="array" ref="K329">INDEX($G$3:$G$200,MATCH(1, (YEAR(I329)=YEAR($A$3:$A$2000))*(MONTH(I329)=MONTH($A$3:$A$2000)),0))</f>
        <v>164953.3129410593</v>
      </c>
      <c r="L329">
        <f t="shared" si="11"/>
        <v>95622.47631555899</v>
      </c>
    </row>
    <row r="330" spans="4:12" x14ac:dyDescent="0.25">
      <c r="D330">
        <f t="shared" si="10"/>
        <v>0</v>
      </c>
      <c r="H330">
        <v>328</v>
      </c>
      <c r="I330" s="1">
        <v>45287</v>
      </c>
      <c r="J330">
        <f t="array" ref="J330">INDEX($D$3:$D$62,MATCH(1, (YEAR(I330)=YEAR($A$3:$A$62))*(MONTH(I330)=MONTH($A$3:$A$62)),0))</f>
        <v>105668.66910304019</v>
      </c>
      <c r="K330">
        <f t="array" ref="K330">INDEX($G$3:$G$200,MATCH(1, (YEAR(I330)=YEAR($A$3:$A$2000))*(MONTH(I330)=MONTH($A$3:$A$2000)),0))</f>
        <v>164953.3129410593</v>
      </c>
      <c r="L330">
        <f t="shared" si="11"/>
        <v>95511.898760511991</v>
      </c>
    </row>
    <row r="331" spans="4:12" x14ac:dyDescent="0.25">
      <c r="D331">
        <f t="shared" si="10"/>
        <v>0</v>
      </c>
      <c r="H331">
        <v>329</v>
      </c>
      <c r="I331" s="1">
        <v>45288</v>
      </c>
      <c r="J331">
        <f t="array" ref="J331">INDEX($D$3:$D$62,MATCH(1, (YEAR(I331)=YEAR($A$3:$A$62))*(MONTH(I331)=MONTH($A$3:$A$62)),0))</f>
        <v>105668.66910304019</v>
      </c>
      <c r="K331">
        <f t="array" ref="K331">INDEX($G$3:$G$200,MATCH(1, (YEAR(I331)=YEAR($A$3:$A$2000))*(MONTH(I331)=MONTH($A$3:$A$2000)),0))</f>
        <v>164953.3129410593</v>
      </c>
      <c r="L331">
        <f t="shared" si="11"/>
        <v>95401.519449968997</v>
      </c>
    </row>
    <row r="332" spans="4:12" x14ac:dyDescent="0.25">
      <c r="D332">
        <f t="shared" si="10"/>
        <v>0</v>
      </c>
      <c r="H332">
        <v>330</v>
      </c>
      <c r="I332" s="1">
        <v>45289</v>
      </c>
      <c r="J332">
        <f t="array" ref="J332">INDEX($D$3:$D$62,MATCH(1, (YEAR(I332)=YEAR($A$3:$A$62))*(MONTH(I332)=MONTH($A$3:$A$62)),0))</f>
        <v>105668.66910304019</v>
      </c>
      <c r="K332">
        <f t="array" ref="K332">INDEX($G$3:$G$200,MATCH(1, (YEAR(I332)=YEAR($A$3:$A$2000))*(MONTH(I332)=MONTH($A$3:$A$2000)),0))</f>
        <v>164953.3129410593</v>
      </c>
      <c r="L332">
        <f t="shared" si="11"/>
        <v>95291.338055903994</v>
      </c>
    </row>
    <row r="333" spans="4:12" x14ac:dyDescent="0.25">
      <c r="D333">
        <f t="shared" si="10"/>
        <v>0</v>
      </c>
      <c r="H333">
        <v>331</v>
      </c>
      <c r="I333" s="1">
        <v>45290</v>
      </c>
      <c r="J333">
        <f t="array" ref="J333">INDEX($D$3:$D$62,MATCH(1, (YEAR(I333)=YEAR($A$3:$A$62))*(MONTH(I333)=MONTH($A$3:$A$62)),0))</f>
        <v>105668.66910304019</v>
      </c>
      <c r="K333">
        <f t="array" ref="K333">INDEX($G$3:$G$200,MATCH(1, (YEAR(I333)=YEAR($A$3:$A$2000))*(MONTH(I333)=MONTH($A$3:$A$2000)),0))</f>
        <v>164953.3129410593</v>
      </c>
      <c r="L333">
        <f t="shared" si="11"/>
        <v>95181.354250578996</v>
      </c>
    </row>
    <row r="334" spans="4:12" x14ac:dyDescent="0.25">
      <c r="D334">
        <f t="shared" si="10"/>
        <v>0</v>
      </c>
      <c r="H334">
        <v>332</v>
      </c>
      <c r="I334" s="1">
        <v>45291</v>
      </c>
      <c r="J334">
        <f t="array" ref="J334">INDEX($D$3:$D$62,MATCH(1, (YEAR(I334)=YEAR($A$3:$A$62))*(MONTH(I334)=MONTH($A$3:$A$62)),0))</f>
        <v>105668.66910304019</v>
      </c>
      <c r="K334">
        <f t="array" ref="K334">INDEX($G$3:$G$200,MATCH(1, (YEAR(I334)=YEAR($A$3:$A$2000))*(MONTH(I334)=MONTH($A$3:$A$2000)),0))</f>
        <v>164953.3129410593</v>
      </c>
      <c r="L334">
        <f t="shared" si="11"/>
        <v>95071.567706543981</v>
      </c>
    </row>
    <row r="335" spans="4:12" x14ac:dyDescent="0.25">
      <c r="D335">
        <f t="shared" si="10"/>
        <v>0</v>
      </c>
      <c r="H335">
        <v>333</v>
      </c>
      <c r="I335" s="1">
        <v>45292</v>
      </c>
      <c r="J335">
        <f t="array" ref="J335">INDEX($D$3:$D$62,MATCH(1, (YEAR(I335)=YEAR($A$3:$A$62))*(MONTH(I335)=MONTH($A$3:$A$62)),0))</f>
        <v>101666.04217770227</v>
      </c>
      <c r="K335">
        <f t="array" ref="K335">INDEX($G$3:$G$200,MATCH(1, (YEAR(I335)=YEAR($A$3:$A$2000))*(MONTH(I335)=MONTH($A$3:$A$2000)),0))</f>
        <v>158720.98692803638</v>
      </c>
      <c r="L335">
        <f t="shared" si="11"/>
        <v>94961.978096636987</v>
      </c>
    </row>
    <row r="336" spans="4:12" x14ac:dyDescent="0.25">
      <c r="D336">
        <f t="shared" si="10"/>
        <v>0</v>
      </c>
      <c r="H336">
        <v>334</v>
      </c>
      <c r="I336" s="1">
        <v>45293</v>
      </c>
      <c r="J336">
        <f t="array" ref="J336">INDEX($D$3:$D$62,MATCH(1, (YEAR(I336)=YEAR($A$3:$A$62))*(MONTH(I336)=MONTH($A$3:$A$62)),0))</f>
        <v>101666.04217770227</v>
      </c>
      <c r="K336">
        <f t="array" ref="K336">INDEX($G$3:$G$200,MATCH(1, (YEAR(I336)=YEAR($A$3:$A$2000))*(MONTH(I336)=MONTH($A$3:$A$2000)),0))</f>
        <v>158720.98692803638</v>
      </c>
      <c r="L336">
        <f t="shared" si="11"/>
        <v>94852.585093983987</v>
      </c>
    </row>
    <row r="337" spans="4:12" x14ac:dyDescent="0.25">
      <c r="D337">
        <f t="shared" si="10"/>
        <v>0</v>
      </c>
      <c r="H337">
        <v>335</v>
      </c>
      <c r="I337" s="1">
        <v>45294</v>
      </c>
      <c r="J337">
        <f t="array" ref="J337">INDEX($D$3:$D$62,MATCH(1, (YEAR(I337)=YEAR($A$3:$A$62))*(MONTH(I337)=MONTH($A$3:$A$62)),0))</f>
        <v>101666.04217770227</v>
      </c>
      <c r="K337">
        <f t="array" ref="K337">INDEX($G$3:$G$200,MATCH(1, (YEAR(I337)=YEAR($A$3:$A$2000))*(MONTH(I337)=MONTH($A$3:$A$2000)),0))</f>
        <v>158720.98692803638</v>
      </c>
      <c r="L337">
        <f t="shared" si="11"/>
        <v>94743.388371998983</v>
      </c>
    </row>
    <row r="338" spans="4:12" x14ac:dyDescent="0.25">
      <c r="D338">
        <f t="shared" si="10"/>
        <v>0</v>
      </c>
      <c r="H338">
        <v>336</v>
      </c>
      <c r="I338" s="1">
        <v>45295</v>
      </c>
      <c r="J338">
        <f t="array" ref="J338">INDEX($D$3:$D$62,MATCH(1, (YEAR(I338)=YEAR($A$3:$A$62))*(MONTH(I338)=MONTH($A$3:$A$62)),0))</f>
        <v>101666.04217770227</v>
      </c>
      <c r="K338">
        <f t="array" ref="K338">INDEX($G$3:$G$200,MATCH(1, (YEAR(I338)=YEAR($A$3:$A$2000))*(MONTH(I338)=MONTH($A$3:$A$2000)),0))</f>
        <v>158720.98692803638</v>
      </c>
      <c r="L338">
        <f t="shared" si="11"/>
        <v>94634.387604383985</v>
      </c>
    </row>
    <row r="339" spans="4:12" x14ac:dyDescent="0.25">
      <c r="D339">
        <f t="shared" si="10"/>
        <v>0</v>
      </c>
      <c r="H339">
        <v>337</v>
      </c>
      <c r="I339" s="1">
        <v>45296</v>
      </c>
      <c r="J339">
        <f t="array" ref="J339">INDEX($D$3:$D$62,MATCH(1, (YEAR(I339)=YEAR($A$3:$A$62))*(MONTH(I339)=MONTH($A$3:$A$62)),0))</f>
        <v>101666.04217770227</v>
      </c>
      <c r="K339">
        <f t="array" ref="K339">INDEX($G$3:$G$200,MATCH(1, (YEAR(I339)=YEAR($A$3:$A$2000))*(MONTH(I339)=MONTH($A$3:$A$2000)),0))</f>
        <v>158720.98692803638</v>
      </c>
      <c r="L339">
        <f t="shared" si="11"/>
        <v>94525.582465128988</v>
      </c>
    </row>
    <row r="340" spans="4:12" x14ac:dyDescent="0.25">
      <c r="D340">
        <f t="shared" si="10"/>
        <v>0</v>
      </c>
      <c r="H340">
        <v>338</v>
      </c>
      <c r="I340" s="1">
        <v>45297</v>
      </c>
      <c r="J340">
        <f t="array" ref="J340">INDEX($D$3:$D$62,MATCH(1, (YEAR(I340)=YEAR($A$3:$A$62))*(MONTH(I340)=MONTH($A$3:$A$62)),0))</f>
        <v>101666.04217770227</v>
      </c>
      <c r="K340">
        <f t="array" ref="K340">INDEX($G$3:$G$200,MATCH(1, (YEAR(I340)=YEAR($A$3:$A$2000))*(MONTH(I340)=MONTH($A$3:$A$2000)),0))</f>
        <v>158720.98692803638</v>
      </c>
      <c r="L340">
        <f t="shared" si="11"/>
        <v>94416.972628511983</v>
      </c>
    </row>
    <row r="341" spans="4:12" x14ac:dyDescent="0.25">
      <c r="D341">
        <f t="shared" si="10"/>
        <v>0</v>
      </c>
      <c r="H341">
        <v>339</v>
      </c>
      <c r="I341" s="1">
        <v>45298</v>
      </c>
      <c r="J341">
        <f t="array" ref="J341">INDEX($D$3:$D$62,MATCH(1, (YEAR(I341)=YEAR($A$3:$A$62))*(MONTH(I341)=MONTH($A$3:$A$62)),0))</f>
        <v>101666.04217770227</v>
      </c>
      <c r="K341">
        <f t="array" ref="K341">INDEX($G$3:$G$200,MATCH(1, (YEAR(I341)=YEAR($A$3:$A$2000))*(MONTH(I341)=MONTH($A$3:$A$2000)),0))</f>
        <v>158720.98692803638</v>
      </c>
      <c r="L341">
        <f t="shared" si="11"/>
        <v>94308.557769098989</v>
      </c>
    </row>
    <row r="342" spans="4:12" x14ac:dyDescent="0.25">
      <c r="D342">
        <f t="shared" si="10"/>
        <v>0</v>
      </c>
      <c r="H342">
        <v>340</v>
      </c>
      <c r="I342" s="1">
        <v>45299</v>
      </c>
      <c r="J342">
        <f t="array" ref="J342">INDEX($D$3:$D$62,MATCH(1, (YEAR(I342)=YEAR($A$3:$A$62))*(MONTH(I342)=MONTH($A$3:$A$62)),0))</f>
        <v>101666.04217770227</v>
      </c>
      <c r="K342">
        <f t="array" ref="K342">INDEX($G$3:$G$200,MATCH(1, (YEAR(I342)=YEAR($A$3:$A$2000))*(MONTH(I342)=MONTH($A$3:$A$2000)),0))</f>
        <v>158720.98692803638</v>
      </c>
      <c r="L342">
        <f t="shared" si="11"/>
        <v>94200.337561743989</v>
      </c>
    </row>
    <row r="343" spans="4:12" x14ac:dyDescent="0.25">
      <c r="D343">
        <f t="shared" si="10"/>
        <v>0</v>
      </c>
      <c r="H343">
        <v>341</v>
      </c>
      <c r="I343" s="1">
        <v>45300</v>
      </c>
      <c r="J343">
        <f t="array" ref="J343">INDEX($D$3:$D$62,MATCH(1, (YEAR(I343)=YEAR($A$3:$A$62))*(MONTH(I343)=MONTH($A$3:$A$62)),0))</f>
        <v>101666.04217770227</v>
      </c>
      <c r="K343">
        <f t="array" ref="K343">INDEX($G$3:$G$200,MATCH(1, (YEAR(I343)=YEAR($A$3:$A$2000))*(MONTH(I343)=MONTH($A$3:$A$2000)),0))</f>
        <v>158720.98692803638</v>
      </c>
      <c r="L343">
        <f t="shared" si="11"/>
        <v>94092.311681588995</v>
      </c>
    </row>
    <row r="344" spans="4:12" x14ac:dyDescent="0.25">
      <c r="D344">
        <f t="shared" si="10"/>
        <v>0</v>
      </c>
      <c r="H344">
        <v>342</v>
      </c>
      <c r="I344" s="1">
        <v>45301</v>
      </c>
      <c r="J344">
        <f t="array" ref="J344">INDEX($D$3:$D$62,MATCH(1, (YEAR(I344)=YEAR($A$3:$A$62))*(MONTH(I344)=MONTH($A$3:$A$62)),0))</f>
        <v>101666.04217770227</v>
      </c>
      <c r="K344">
        <f t="array" ref="K344">INDEX($G$3:$G$200,MATCH(1, (YEAR(I344)=YEAR($A$3:$A$2000))*(MONTH(I344)=MONTH($A$3:$A$2000)),0))</f>
        <v>158720.98692803638</v>
      </c>
      <c r="L344">
        <f t="shared" si="11"/>
        <v>93984.479804063987</v>
      </c>
    </row>
    <row r="345" spans="4:12" x14ac:dyDescent="0.25">
      <c r="D345">
        <f t="shared" si="10"/>
        <v>0</v>
      </c>
      <c r="H345">
        <v>343</v>
      </c>
      <c r="I345" s="1">
        <v>45302</v>
      </c>
      <c r="J345">
        <f t="array" ref="J345">INDEX($D$3:$D$62,MATCH(1, (YEAR(I345)=YEAR($A$3:$A$62))*(MONTH(I345)=MONTH($A$3:$A$62)),0))</f>
        <v>101666.04217770227</v>
      </c>
      <c r="K345">
        <f t="array" ref="K345">INDEX($G$3:$G$200,MATCH(1, (YEAR(I345)=YEAR($A$3:$A$2000))*(MONTH(I345)=MONTH($A$3:$A$2000)),0))</f>
        <v>158720.98692803638</v>
      </c>
      <c r="L345">
        <f t="shared" si="11"/>
        <v>93876.841604886984</v>
      </c>
    </row>
    <row r="346" spans="4:12" x14ac:dyDescent="0.25">
      <c r="D346">
        <f t="shared" si="10"/>
        <v>0</v>
      </c>
      <c r="H346">
        <v>344</v>
      </c>
      <c r="I346" s="1">
        <v>45303</v>
      </c>
      <c r="J346">
        <f t="array" ref="J346">INDEX($D$3:$D$62,MATCH(1, (YEAR(I346)=YEAR($A$3:$A$62))*(MONTH(I346)=MONTH($A$3:$A$62)),0))</f>
        <v>101666.04217770227</v>
      </c>
      <c r="K346">
        <f t="array" ref="K346">INDEX($G$3:$G$200,MATCH(1, (YEAR(I346)=YEAR($A$3:$A$2000))*(MONTH(I346)=MONTH($A$3:$A$2000)),0))</f>
        <v>158720.98692803638</v>
      </c>
      <c r="L346">
        <f t="shared" si="11"/>
        <v>93769.396760063988</v>
      </c>
    </row>
    <row r="347" spans="4:12" x14ac:dyDescent="0.25">
      <c r="D347">
        <f t="shared" si="10"/>
        <v>0</v>
      </c>
      <c r="H347">
        <v>345</v>
      </c>
      <c r="I347" s="1">
        <v>45304</v>
      </c>
      <c r="J347">
        <f t="array" ref="J347">INDEX($D$3:$D$62,MATCH(1, (YEAR(I347)=YEAR($A$3:$A$62))*(MONTH(I347)=MONTH($A$3:$A$62)),0))</f>
        <v>101666.04217770227</v>
      </c>
      <c r="K347">
        <f t="array" ref="K347">INDEX($G$3:$G$200,MATCH(1, (YEAR(I347)=YEAR($A$3:$A$2000))*(MONTH(I347)=MONTH($A$3:$A$2000)),0))</f>
        <v>158720.98692803638</v>
      </c>
      <c r="L347">
        <f t="shared" si="11"/>
        <v>93662.144945888984</v>
      </c>
    </row>
    <row r="348" spans="4:12" x14ac:dyDescent="0.25">
      <c r="D348">
        <f t="shared" si="10"/>
        <v>0</v>
      </c>
      <c r="H348">
        <v>346</v>
      </c>
      <c r="I348" s="1">
        <v>45305</v>
      </c>
      <c r="J348">
        <f t="array" ref="J348">INDEX($D$3:$D$62,MATCH(1, (YEAR(I348)=YEAR($A$3:$A$62))*(MONTH(I348)=MONTH($A$3:$A$62)),0))</f>
        <v>101666.04217770227</v>
      </c>
      <c r="K348">
        <f t="array" ref="K348">INDEX($G$3:$G$200,MATCH(1, (YEAR(I348)=YEAR($A$3:$A$2000))*(MONTH(I348)=MONTH($A$3:$A$2000)),0))</f>
        <v>158720.98692803638</v>
      </c>
      <c r="L348">
        <f t="shared" si="11"/>
        <v>93555.085838943982</v>
      </c>
    </row>
    <row r="349" spans="4:12" x14ac:dyDescent="0.25">
      <c r="D349">
        <f t="shared" si="10"/>
        <v>0</v>
      </c>
      <c r="H349">
        <v>347</v>
      </c>
      <c r="I349" s="1">
        <v>45306</v>
      </c>
      <c r="J349">
        <f t="array" ref="J349">INDEX($D$3:$D$62,MATCH(1, (YEAR(I349)=YEAR($A$3:$A$62))*(MONTH(I349)=MONTH($A$3:$A$62)),0))</f>
        <v>101666.04217770227</v>
      </c>
      <c r="K349">
        <f t="array" ref="K349">INDEX($G$3:$G$200,MATCH(1, (YEAR(I349)=YEAR($A$3:$A$2000))*(MONTH(I349)=MONTH($A$3:$A$2000)),0))</f>
        <v>158720.98692803638</v>
      </c>
      <c r="L349">
        <f t="shared" si="11"/>
        <v>93448.21911609899</v>
      </c>
    </row>
    <row r="350" spans="4:12" x14ac:dyDescent="0.25">
      <c r="D350">
        <f t="shared" si="10"/>
        <v>0</v>
      </c>
      <c r="H350">
        <v>348</v>
      </c>
      <c r="I350" s="1">
        <v>45307</v>
      </c>
      <c r="J350">
        <f t="array" ref="J350">INDEX($D$3:$D$62,MATCH(1, (YEAR(I350)=YEAR($A$3:$A$62))*(MONTH(I350)=MONTH($A$3:$A$62)),0))</f>
        <v>101666.04217770227</v>
      </c>
      <c r="K350">
        <f t="array" ref="K350">INDEX($G$3:$G$200,MATCH(1, (YEAR(I350)=YEAR($A$3:$A$2000))*(MONTH(I350)=MONTH($A$3:$A$2000)),0))</f>
        <v>158720.98692803638</v>
      </c>
      <c r="L350">
        <f t="shared" si="11"/>
        <v>93341.544454511983</v>
      </c>
    </row>
    <row r="351" spans="4:12" x14ac:dyDescent="0.25">
      <c r="D351">
        <f t="shared" si="10"/>
        <v>0</v>
      </c>
      <c r="H351">
        <v>349</v>
      </c>
      <c r="I351" s="1">
        <v>45308</v>
      </c>
      <c r="J351">
        <f t="array" ref="J351">INDEX($D$3:$D$62,MATCH(1, (YEAR(I351)=YEAR($A$3:$A$62))*(MONTH(I351)=MONTH($A$3:$A$62)),0))</f>
        <v>101666.04217770227</v>
      </c>
      <c r="K351">
        <f t="array" ref="K351">INDEX($G$3:$G$200,MATCH(1, (YEAR(I351)=YEAR($A$3:$A$2000))*(MONTH(I351)=MONTH($A$3:$A$2000)),0))</f>
        <v>158720.98692803638</v>
      </c>
      <c r="L351">
        <f t="shared" si="11"/>
        <v>93235.061531628991</v>
      </c>
    </row>
    <row r="352" spans="4:12" x14ac:dyDescent="0.25">
      <c r="D352">
        <f t="shared" si="10"/>
        <v>0</v>
      </c>
      <c r="H352">
        <v>350</v>
      </c>
      <c r="I352" s="1">
        <v>45309</v>
      </c>
      <c r="J352">
        <f t="array" ref="J352">INDEX($D$3:$D$62,MATCH(1, (YEAR(I352)=YEAR($A$3:$A$62))*(MONTH(I352)=MONTH($A$3:$A$62)),0))</f>
        <v>101666.04217770227</v>
      </c>
      <c r="K352">
        <f t="array" ref="K352">INDEX($G$3:$G$200,MATCH(1, (YEAR(I352)=YEAR($A$3:$A$2000))*(MONTH(I352)=MONTH($A$3:$A$2000)),0))</f>
        <v>158720.98692803638</v>
      </c>
      <c r="L352">
        <f t="shared" si="11"/>
        <v>93128.770025183985</v>
      </c>
    </row>
    <row r="353" spans="4:12" x14ac:dyDescent="0.25">
      <c r="D353">
        <f t="shared" si="10"/>
        <v>0</v>
      </c>
      <c r="H353">
        <v>351</v>
      </c>
      <c r="I353" s="1">
        <v>45310</v>
      </c>
      <c r="J353">
        <f t="array" ref="J353">INDEX($D$3:$D$62,MATCH(1, (YEAR(I353)=YEAR($A$3:$A$62))*(MONTH(I353)=MONTH($A$3:$A$62)),0))</f>
        <v>101666.04217770227</v>
      </c>
      <c r="K353">
        <f t="array" ref="K353">INDEX($G$3:$G$200,MATCH(1, (YEAR(I353)=YEAR($A$3:$A$2000))*(MONTH(I353)=MONTH($A$3:$A$2000)),0))</f>
        <v>158720.98692803638</v>
      </c>
      <c r="L353">
        <f t="shared" si="11"/>
        <v>93022.669613198988</v>
      </c>
    </row>
    <row r="354" spans="4:12" x14ac:dyDescent="0.25">
      <c r="D354">
        <f t="shared" si="10"/>
        <v>0</v>
      </c>
      <c r="H354">
        <v>352</v>
      </c>
      <c r="I354" s="1">
        <v>45311</v>
      </c>
      <c r="J354">
        <f t="array" ref="J354">INDEX($D$3:$D$62,MATCH(1, (YEAR(I354)=YEAR($A$3:$A$62))*(MONTH(I354)=MONTH($A$3:$A$62)),0))</f>
        <v>101666.04217770227</v>
      </c>
      <c r="K354">
        <f t="array" ref="K354">INDEX($G$3:$G$200,MATCH(1, (YEAR(I354)=YEAR($A$3:$A$2000))*(MONTH(I354)=MONTH($A$3:$A$2000)),0))</f>
        <v>158720.98692803638</v>
      </c>
      <c r="L354">
        <f t="shared" si="11"/>
        <v>92916.759973983993</v>
      </c>
    </row>
    <row r="355" spans="4:12" x14ac:dyDescent="0.25">
      <c r="D355">
        <f t="shared" si="10"/>
        <v>0</v>
      </c>
      <c r="H355">
        <v>353</v>
      </c>
      <c r="I355" s="1">
        <v>45312</v>
      </c>
      <c r="J355">
        <f t="array" ref="J355">INDEX($D$3:$D$62,MATCH(1, (YEAR(I355)=YEAR($A$3:$A$62))*(MONTH(I355)=MONTH($A$3:$A$62)),0))</f>
        <v>101666.04217770227</v>
      </c>
      <c r="K355">
        <f t="array" ref="K355">INDEX($G$3:$G$200,MATCH(1, (YEAR(I355)=YEAR($A$3:$A$2000))*(MONTH(I355)=MONTH($A$3:$A$2000)),0))</f>
        <v>158720.98692803638</v>
      </c>
      <c r="L355">
        <f t="shared" si="11"/>
        <v>92811.040786136989</v>
      </c>
    </row>
    <row r="356" spans="4:12" x14ac:dyDescent="0.25">
      <c r="D356">
        <f t="shared" si="10"/>
        <v>0</v>
      </c>
      <c r="H356">
        <v>354</v>
      </c>
      <c r="I356" s="1">
        <v>45313</v>
      </c>
      <c r="J356">
        <f t="array" ref="J356">INDEX($D$3:$D$62,MATCH(1, (YEAR(I356)=YEAR($A$3:$A$62))*(MONTH(I356)=MONTH($A$3:$A$62)),0))</f>
        <v>101666.04217770227</v>
      </c>
      <c r="K356">
        <f t="array" ref="K356">INDEX($G$3:$G$200,MATCH(1, (YEAR(I356)=YEAR($A$3:$A$2000))*(MONTH(I356)=MONTH($A$3:$A$2000)),0))</f>
        <v>158720.98692803638</v>
      </c>
      <c r="L356">
        <f t="shared" si="11"/>
        <v>92705.511728543992</v>
      </c>
    </row>
    <row r="357" spans="4:12" x14ac:dyDescent="0.25">
      <c r="D357">
        <f t="shared" si="10"/>
        <v>0</v>
      </c>
      <c r="H357">
        <v>355</v>
      </c>
      <c r="I357" s="1">
        <v>45314</v>
      </c>
      <c r="J357">
        <f t="array" ref="J357">INDEX($D$3:$D$62,MATCH(1, (YEAR(I357)=YEAR($A$3:$A$62))*(MONTH(I357)=MONTH($A$3:$A$62)),0))</f>
        <v>101666.04217770227</v>
      </c>
      <c r="K357">
        <f t="array" ref="K357">INDEX($G$3:$G$200,MATCH(1, (YEAR(I357)=YEAR($A$3:$A$2000))*(MONTH(I357)=MONTH($A$3:$A$2000)),0))</f>
        <v>158720.98692803638</v>
      </c>
      <c r="L357">
        <f t="shared" si="11"/>
        <v>92600.172480378998</v>
      </c>
    </row>
    <row r="358" spans="4:12" x14ac:dyDescent="0.25">
      <c r="D358">
        <f t="shared" si="10"/>
        <v>0</v>
      </c>
      <c r="H358">
        <v>356</v>
      </c>
      <c r="I358" s="1">
        <v>45315</v>
      </c>
      <c r="J358">
        <f t="array" ref="J358">INDEX($D$3:$D$62,MATCH(1, (YEAR(I358)=YEAR($A$3:$A$62))*(MONTH(I358)=MONTH($A$3:$A$62)),0))</f>
        <v>101666.04217770227</v>
      </c>
      <c r="K358">
        <f t="array" ref="K358">INDEX($G$3:$G$200,MATCH(1, (YEAR(I358)=YEAR($A$3:$A$2000))*(MONTH(I358)=MONTH($A$3:$A$2000)),0))</f>
        <v>158720.98692803638</v>
      </c>
      <c r="L358">
        <f t="shared" si="11"/>
        <v>92495.022721104004</v>
      </c>
    </row>
    <row r="359" spans="4:12" x14ac:dyDescent="0.25">
      <c r="D359">
        <f t="shared" si="10"/>
        <v>0</v>
      </c>
      <c r="H359">
        <v>357</v>
      </c>
      <c r="I359" s="1">
        <v>45316</v>
      </c>
      <c r="J359">
        <f t="array" ref="J359">INDEX($D$3:$D$62,MATCH(1, (YEAR(I359)=YEAR($A$3:$A$62))*(MONTH(I359)=MONTH($A$3:$A$62)),0))</f>
        <v>101666.04217770227</v>
      </c>
      <c r="K359">
        <f t="array" ref="K359">INDEX($G$3:$G$200,MATCH(1, (YEAR(I359)=YEAR($A$3:$A$2000))*(MONTH(I359)=MONTH($A$3:$A$2000)),0))</f>
        <v>158720.98692803638</v>
      </c>
      <c r="L359">
        <f t="shared" si="11"/>
        <v>92390.062130468985</v>
      </c>
    </row>
    <row r="360" spans="4:12" x14ac:dyDescent="0.25">
      <c r="D360">
        <f t="shared" si="10"/>
        <v>0</v>
      </c>
      <c r="H360">
        <v>358</v>
      </c>
      <c r="I360" s="1">
        <v>45317</v>
      </c>
      <c r="J360">
        <f t="array" ref="J360">INDEX($D$3:$D$62,MATCH(1, (YEAR(I360)=YEAR($A$3:$A$62))*(MONTH(I360)=MONTH($A$3:$A$62)),0))</f>
        <v>101666.04217770227</v>
      </c>
      <c r="K360">
        <f t="array" ref="K360">INDEX($G$3:$G$200,MATCH(1, (YEAR(I360)=YEAR($A$3:$A$2000))*(MONTH(I360)=MONTH($A$3:$A$2000)),0))</f>
        <v>158720.98692803638</v>
      </c>
      <c r="L360">
        <f t="shared" si="11"/>
        <v>92285.290388511989</v>
      </c>
    </row>
    <row r="361" spans="4:12" x14ac:dyDescent="0.25">
      <c r="D361">
        <f t="shared" si="10"/>
        <v>0</v>
      </c>
      <c r="H361">
        <v>359</v>
      </c>
      <c r="I361" s="1">
        <v>45318</v>
      </c>
      <c r="J361">
        <f t="array" ref="J361">INDEX($D$3:$D$62,MATCH(1, (YEAR(I361)=YEAR($A$3:$A$62))*(MONTH(I361)=MONTH($A$3:$A$62)),0))</f>
        <v>101666.04217770227</v>
      </c>
      <c r="K361">
        <f t="array" ref="K361">INDEX($G$3:$G$200,MATCH(1, (YEAR(I361)=YEAR($A$3:$A$2000))*(MONTH(I361)=MONTH($A$3:$A$2000)),0))</f>
        <v>158720.98692803638</v>
      </c>
      <c r="L361">
        <f t="shared" si="11"/>
        <v>92180.707175558986</v>
      </c>
    </row>
    <row r="362" spans="4:12" x14ac:dyDescent="0.25">
      <c r="D362">
        <f t="shared" si="10"/>
        <v>0</v>
      </c>
      <c r="H362">
        <v>360</v>
      </c>
      <c r="I362" s="1">
        <v>45319</v>
      </c>
      <c r="J362">
        <f t="array" ref="J362">INDEX($D$3:$D$62,MATCH(1, (YEAR(I362)=YEAR($A$3:$A$62))*(MONTH(I362)=MONTH($A$3:$A$62)),0))</f>
        <v>101666.04217770227</v>
      </c>
      <c r="K362">
        <f t="array" ref="K362">INDEX($G$3:$G$200,MATCH(1, (YEAR(I362)=YEAR($A$3:$A$2000))*(MONTH(I362)=MONTH($A$3:$A$2000)),0))</f>
        <v>158720.98692803638</v>
      </c>
      <c r="L362">
        <f t="shared" si="11"/>
        <v>92076.312172223988</v>
      </c>
    </row>
    <row r="363" spans="4:12" x14ac:dyDescent="0.25">
      <c r="D363">
        <f t="shared" si="10"/>
        <v>0</v>
      </c>
      <c r="H363">
        <v>361</v>
      </c>
      <c r="I363" s="1">
        <v>45320</v>
      </c>
      <c r="J363">
        <f t="array" ref="J363">INDEX($D$3:$D$62,MATCH(1, (YEAR(I363)=YEAR($A$3:$A$62))*(MONTH(I363)=MONTH($A$3:$A$62)),0))</f>
        <v>101666.04217770227</v>
      </c>
      <c r="K363">
        <f t="array" ref="K363">INDEX($G$3:$G$200,MATCH(1, (YEAR(I363)=YEAR($A$3:$A$2000))*(MONTH(I363)=MONTH($A$3:$A$2000)),0))</f>
        <v>158720.98692803638</v>
      </c>
      <c r="L363">
        <f t="shared" si="11"/>
        <v>91972.10505940899</v>
      </c>
    </row>
    <row r="364" spans="4:12" x14ac:dyDescent="0.25">
      <c r="D364">
        <f t="shared" si="10"/>
        <v>0</v>
      </c>
      <c r="H364">
        <v>362</v>
      </c>
      <c r="I364" s="1">
        <v>45321</v>
      </c>
      <c r="J364">
        <f t="array" ref="J364">INDEX($D$3:$D$62,MATCH(1, (YEAR(I364)=YEAR($A$3:$A$62))*(MONTH(I364)=MONTH($A$3:$A$62)),0))</f>
        <v>101666.04217770227</v>
      </c>
      <c r="K364">
        <f t="array" ref="K364">INDEX($G$3:$G$200,MATCH(1, (YEAR(I364)=YEAR($A$3:$A$2000))*(MONTH(I364)=MONTH($A$3:$A$2000)),0))</f>
        <v>158720.98692803638</v>
      </c>
      <c r="L364">
        <f t="shared" si="11"/>
        <v>91868.085518303997</v>
      </c>
    </row>
    <row r="365" spans="4:12" x14ac:dyDescent="0.25">
      <c r="D365">
        <f t="shared" si="10"/>
        <v>0</v>
      </c>
      <c r="H365">
        <v>363</v>
      </c>
      <c r="I365" s="1">
        <v>45322</v>
      </c>
      <c r="J365">
        <f t="array" ref="J365">INDEX($D$3:$D$62,MATCH(1, (YEAR(I365)=YEAR($A$3:$A$62))*(MONTH(I365)=MONTH($A$3:$A$62)),0))</f>
        <v>101666.04217770227</v>
      </c>
      <c r="K365">
        <f t="array" ref="K365">INDEX($G$3:$G$200,MATCH(1, (YEAR(I365)=YEAR($A$3:$A$2000))*(MONTH(I365)=MONTH($A$3:$A$2000)),0))</f>
        <v>158720.98692803638</v>
      </c>
      <c r="L365">
        <f t="shared" si="11"/>
        <v>91764.253230386996</v>
      </c>
    </row>
    <row r="366" spans="4:12" x14ac:dyDescent="0.25">
      <c r="D366">
        <f t="shared" si="10"/>
        <v>0</v>
      </c>
      <c r="H366">
        <v>364</v>
      </c>
      <c r="I366" s="1">
        <v>45323</v>
      </c>
      <c r="J366">
        <f t="array" ref="J366">INDEX($D$3:$D$62,MATCH(1, (YEAR(I366)=YEAR($A$3:$A$62))*(MONTH(I366)=MONTH($A$3:$A$62)),0))</f>
        <v>97633.030632581183</v>
      </c>
      <c r="K366">
        <f t="array" ref="K366">INDEX($G$3:$G$200,MATCH(1, (YEAR(I366)=YEAR($A$3:$A$2000))*(MONTH(I366)=MONTH($A$3:$A$2000)),0))</f>
        <v>153041.08738949426</v>
      </c>
      <c r="L366">
        <f t="shared" si="11"/>
        <v>91660.607877423987</v>
      </c>
    </row>
    <row r="367" spans="4:12" x14ac:dyDescent="0.25">
      <c r="D367">
        <f t="shared" si="10"/>
        <v>0</v>
      </c>
      <c r="H367">
        <v>365</v>
      </c>
      <c r="I367" s="1">
        <v>45324</v>
      </c>
      <c r="J367">
        <f t="array" ref="J367">INDEX($D$3:$D$62,MATCH(1, (YEAR(I367)=YEAR($A$3:$A$62))*(MONTH(I367)=MONTH($A$3:$A$62)),0))</f>
        <v>97633.030632581183</v>
      </c>
      <c r="K367">
        <f t="array" ref="K367">INDEX($G$3:$G$200,MATCH(1, (YEAR(I367)=YEAR($A$3:$A$2000))*(MONTH(I367)=MONTH($A$3:$A$2000)),0))</f>
        <v>153041.08738949426</v>
      </c>
      <c r="L367">
        <f t="shared" si="11"/>
        <v>91557.149141468981</v>
      </c>
    </row>
    <row r="368" spans="4:12" x14ac:dyDescent="0.25">
      <c r="D368">
        <f t="shared" si="10"/>
        <v>0</v>
      </c>
      <c r="H368">
        <v>366</v>
      </c>
      <c r="I368" s="1">
        <v>45325</v>
      </c>
      <c r="J368">
        <f t="array" ref="J368">INDEX($D$3:$D$62,MATCH(1, (YEAR(I368)=YEAR($A$3:$A$62))*(MONTH(I368)=MONTH($A$3:$A$62)),0))</f>
        <v>97633.030632581183</v>
      </c>
      <c r="K368">
        <f t="array" ref="K368">INDEX($G$3:$G$200,MATCH(1, (YEAR(I368)=YEAR($A$3:$A$2000))*(MONTH(I368)=MONTH($A$3:$A$2000)),0))</f>
        <v>153041.08738949426</v>
      </c>
      <c r="L368">
        <f t="shared" si="11"/>
        <v>91453.876704864</v>
      </c>
    </row>
    <row r="369" spans="4:12" x14ac:dyDescent="0.25">
      <c r="D369">
        <f t="shared" si="10"/>
        <v>0</v>
      </c>
      <c r="H369">
        <v>367</v>
      </c>
      <c r="I369" s="1">
        <v>45326</v>
      </c>
      <c r="J369">
        <f t="array" ref="J369">INDEX($D$3:$D$62,MATCH(1, (YEAR(I369)=YEAR($A$3:$A$62))*(MONTH(I369)=MONTH($A$3:$A$62)),0))</f>
        <v>97633.030632581183</v>
      </c>
      <c r="K369">
        <f t="array" ref="K369">INDEX($G$3:$G$200,MATCH(1, (YEAR(I369)=YEAR($A$3:$A$2000))*(MONTH(I369)=MONTH($A$3:$A$2000)),0))</f>
        <v>153041.08738949426</v>
      </c>
      <c r="L369">
        <f t="shared" si="11"/>
        <v>91350.790250238992</v>
      </c>
    </row>
    <row r="370" spans="4:12" x14ac:dyDescent="0.25">
      <c r="D370">
        <f t="shared" si="10"/>
        <v>0</v>
      </c>
      <c r="H370">
        <v>368</v>
      </c>
      <c r="I370" s="1">
        <v>45327</v>
      </c>
      <c r="J370">
        <f t="array" ref="J370">INDEX($D$3:$D$62,MATCH(1, (YEAR(I370)=YEAR($A$3:$A$62))*(MONTH(I370)=MONTH($A$3:$A$62)),0))</f>
        <v>97633.030632581183</v>
      </c>
      <c r="K370">
        <f t="array" ref="K370">INDEX($G$3:$G$200,MATCH(1, (YEAR(I370)=YEAR($A$3:$A$2000))*(MONTH(I370)=MONTH($A$3:$A$2000)),0))</f>
        <v>153041.08738949426</v>
      </c>
      <c r="L370">
        <f t="shared" si="11"/>
        <v>91247.889460512</v>
      </c>
    </row>
    <row r="371" spans="4:12" x14ac:dyDescent="0.25">
      <c r="D371">
        <f t="shared" si="10"/>
        <v>0</v>
      </c>
      <c r="H371">
        <v>369</v>
      </c>
      <c r="I371" s="1">
        <v>45328</v>
      </c>
      <c r="J371">
        <f t="array" ref="J371">INDEX($D$3:$D$62,MATCH(1, (YEAR(I371)=YEAR($A$3:$A$62))*(MONTH(I371)=MONTH($A$3:$A$62)),0))</f>
        <v>97633.030632581183</v>
      </c>
      <c r="K371">
        <f t="array" ref="K371">INDEX($G$3:$G$200,MATCH(1, (YEAR(I371)=YEAR($A$3:$A$2000))*(MONTH(I371)=MONTH($A$3:$A$2000)),0))</f>
        <v>153041.08738949426</v>
      </c>
      <c r="L371">
        <f t="shared" si="11"/>
        <v>91145.174018888982</v>
      </c>
    </row>
    <row r="372" spans="4:12" x14ac:dyDescent="0.25">
      <c r="D372">
        <f t="shared" si="10"/>
        <v>0</v>
      </c>
      <c r="H372">
        <v>370</v>
      </c>
      <c r="I372" s="1">
        <v>45329</v>
      </c>
      <c r="J372">
        <f t="array" ref="J372">INDEX($D$3:$D$62,MATCH(1, (YEAR(I372)=YEAR($A$3:$A$62))*(MONTH(I372)=MONTH($A$3:$A$62)),0))</f>
        <v>97633.030632581183</v>
      </c>
      <c r="K372">
        <f t="array" ref="K372">INDEX($G$3:$G$200,MATCH(1, (YEAR(I372)=YEAR($A$3:$A$2000))*(MONTH(I372)=MONTH($A$3:$A$2000)),0))</f>
        <v>153041.08738949426</v>
      </c>
      <c r="L372">
        <f t="shared" si="11"/>
        <v>91042.643608863989</v>
      </c>
    </row>
    <row r="373" spans="4:12" x14ac:dyDescent="0.25">
      <c r="D373">
        <f t="shared" si="10"/>
        <v>0</v>
      </c>
      <c r="H373">
        <v>371</v>
      </c>
      <c r="I373" s="1">
        <v>45330</v>
      </c>
      <c r="J373">
        <f t="array" ref="J373">INDEX($D$3:$D$62,MATCH(1, (YEAR(I373)=YEAR($A$3:$A$62))*(MONTH(I373)=MONTH($A$3:$A$62)),0))</f>
        <v>97633.030632581183</v>
      </c>
      <c r="K373">
        <f t="array" ref="K373">INDEX($G$3:$G$200,MATCH(1, (YEAR(I373)=YEAR($A$3:$A$2000))*(MONTH(I373)=MONTH($A$3:$A$2000)),0))</f>
        <v>153041.08738949426</v>
      </c>
      <c r="L373">
        <f t="shared" si="11"/>
        <v>90940.297914218987</v>
      </c>
    </row>
    <row r="374" spans="4:12" x14ac:dyDescent="0.25">
      <c r="D374">
        <f t="shared" si="10"/>
        <v>0</v>
      </c>
      <c r="H374">
        <v>372</v>
      </c>
      <c r="I374" s="1">
        <v>45331</v>
      </c>
      <c r="J374">
        <f t="array" ref="J374">INDEX($D$3:$D$62,MATCH(1, (YEAR(I374)=YEAR($A$3:$A$62))*(MONTH(I374)=MONTH($A$3:$A$62)),0))</f>
        <v>97633.030632581183</v>
      </c>
      <c r="K374">
        <f t="array" ref="K374">INDEX($G$3:$G$200,MATCH(1, (YEAR(I374)=YEAR($A$3:$A$2000))*(MONTH(I374)=MONTH($A$3:$A$2000)),0))</f>
        <v>153041.08738949426</v>
      </c>
      <c r="L374">
        <f t="shared" si="11"/>
        <v>90838.136619023993</v>
      </c>
    </row>
    <row r="375" spans="4:12" x14ac:dyDescent="0.25">
      <c r="D375">
        <f t="shared" si="10"/>
        <v>0</v>
      </c>
      <c r="H375">
        <v>373</v>
      </c>
      <c r="I375" s="1">
        <v>45332</v>
      </c>
      <c r="J375">
        <f t="array" ref="J375">INDEX($D$3:$D$62,MATCH(1, (YEAR(I375)=YEAR($A$3:$A$62))*(MONTH(I375)=MONTH($A$3:$A$62)),0))</f>
        <v>97633.030632581183</v>
      </c>
      <c r="K375">
        <f t="array" ref="K375">INDEX($G$3:$G$200,MATCH(1, (YEAR(I375)=YEAR($A$3:$A$2000))*(MONTH(I375)=MONTH($A$3:$A$2000)),0))</f>
        <v>153041.08738949426</v>
      </c>
      <c r="L375">
        <f t="shared" si="11"/>
        <v>90736.159407636995</v>
      </c>
    </row>
    <row r="376" spans="4:12" x14ac:dyDescent="0.25">
      <c r="D376">
        <f t="shared" si="10"/>
        <v>0</v>
      </c>
      <c r="H376">
        <v>374</v>
      </c>
      <c r="I376" s="1">
        <v>45333</v>
      </c>
      <c r="J376">
        <f t="array" ref="J376">INDEX($D$3:$D$62,MATCH(1, (YEAR(I376)=YEAR($A$3:$A$62))*(MONTH(I376)=MONTH($A$3:$A$62)),0))</f>
        <v>97633.030632581183</v>
      </c>
      <c r="K376">
        <f t="array" ref="K376">INDEX($G$3:$G$200,MATCH(1, (YEAR(I376)=YEAR($A$3:$A$2000))*(MONTH(I376)=MONTH($A$3:$A$2000)),0))</f>
        <v>153041.08738949426</v>
      </c>
      <c r="L376">
        <f t="shared" si="11"/>
        <v>90634.365964703989</v>
      </c>
    </row>
    <row r="377" spans="4:12" x14ac:dyDescent="0.25">
      <c r="D377">
        <f t="shared" si="10"/>
        <v>0</v>
      </c>
      <c r="H377">
        <v>375</v>
      </c>
      <c r="I377" s="1">
        <v>45334</v>
      </c>
      <c r="J377">
        <f t="array" ref="J377">INDEX($D$3:$D$62,MATCH(1, (YEAR(I377)=YEAR($A$3:$A$62))*(MONTH(I377)=MONTH($A$3:$A$62)),0))</f>
        <v>97633.030632581183</v>
      </c>
      <c r="K377">
        <f t="array" ref="K377">INDEX($G$3:$G$200,MATCH(1, (YEAR(I377)=YEAR($A$3:$A$2000))*(MONTH(I377)=MONTH($A$3:$A$2000)),0))</f>
        <v>153041.08738949426</v>
      </c>
      <c r="L377">
        <f t="shared" si="11"/>
        <v>90532.755975158987</v>
      </c>
    </row>
    <row r="378" spans="4:12" x14ac:dyDescent="0.25">
      <c r="D378">
        <f t="shared" si="10"/>
        <v>0</v>
      </c>
      <c r="H378">
        <v>376</v>
      </c>
      <c r="I378" s="1">
        <v>45335</v>
      </c>
      <c r="J378">
        <f t="array" ref="J378">INDEX($D$3:$D$62,MATCH(1, (YEAR(I378)=YEAR($A$3:$A$62))*(MONTH(I378)=MONTH($A$3:$A$62)),0))</f>
        <v>97633.030632581183</v>
      </c>
      <c r="K378">
        <f t="array" ref="K378">INDEX($G$3:$G$200,MATCH(1, (YEAR(I378)=YEAR($A$3:$A$2000))*(MONTH(I378)=MONTH($A$3:$A$2000)),0))</f>
        <v>153041.08738949426</v>
      </c>
      <c r="L378">
        <f t="shared" si="11"/>
        <v>90431.329124223994</v>
      </c>
    </row>
    <row r="379" spans="4:12" x14ac:dyDescent="0.25">
      <c r="D379">
        <f t="shared" si="10"/>
        <v>0</v>
      </c>
      <c r="H379">
        <v>377</v>
      </c>
      <c r="I379" s="1">
        <v>45336</v>
      </c>
      <c r="J379">
        <f t="array" ref="J379">INDEX($D$3:$D$62,MATCH(1, (YEAR(I379)=YEAR($A$3:$A$62))*(MONTH(I379)=MONTH($A$3:$A$62)),0))</f>
        <v>97633.030632581183</v>
      </c>
      <c r="K379">
        <f t="array" ref="K379">INDEX($G$3:$G$200,MATCH(1, (YEAR(I379)=YEAR($A$3:$A$2000))*(MONTH(I379)=MONTH($A$3:$A$2000)),0))</f>
        <v>153041.08738949426</v>
      </c>
      <c r="L379">
        <f t="shared" si="11"/>
        <v>90330.085097408984</v>
      </c>
    </row>
    <row r="380" spans="4:12" x14ac:dyDescent="0.25">
      <c r="D380">
        <f t="shared" si="10"/>
        <v>0</v>
      </c>
      <c r="H380">
        <v>378</v>
      </c>
      <c r="I380" s="1">
        <v>45337</v>
      </c>
      <c r="J380">
        <f t="array" ref="J380">INDEX($D$3:$D$62,MATCH(1, (YEAR(I380)=YEAR($A$3:$A$62))*(MONTH(I380)=MONTH($A$3:$A$62)),0))</f>
        <v>97633.030632581183</v>
      </c>
      <c r="K380">
        <f t="array" ref="K380">INDEX($G$3:$G$200,MATCH(1, (YEAR(I380)=YEAR($A$3:$A$2000))*(MONTH(I380)=MONTH($A$3:$A$2000)),0))</f>
        <v>153041.08738949426</v>
      </c>
      <c r="L380">
        <f t="shared" si="11"/>
        <v>90229.023580511988</v>
      </c>
    </row>
    <row r="381" spans="4:12" x14ac:dyDescent="0.25">
      <c r="D381">
        <f t="shared" si="10"/>
        <v>0</v>
      </c>
      <c r="H381">
        <v>379</v>
      </c>
      <c r="I381" s="1">
        <v>45338</v>
      </c>
      <c r="J381">
        <f t="array" ref="J381">INDEX($D$3:$D$62,MATCH(1, (YEAR(I381)=YEAR($A$3:$A$62))*(MONTH(I381)=MONTH($A$3:$A$62)),0))</f>
        <v>97633.030632581183</v>
      </c>
      <c r="K381">
        <f t="array" ref="K381">INDEX($G$3:$G$200,MATCH(1, (YEAR(I381)=YEAR($A$3:$A$2000))*(MONTH(I381)=MONTH($A$3:$A$2000)),0))</f>
        <v>153041.08738949426</v>
      </c>
      <c r="L381">
        <f t="shared" si="11"/>
        <v>90128.144259618988</v>
      </c>
    </row>
    <row r="382" spans="4:12" x14ac:dyDescent="0.25">
      <c r="D382">
        <f t="shared" si="10"/>
        <v>0</v>
      </c>
      <c r="H382">
        <v>380</v>
      </c>
      <c r="I382" s="1">
        <v>45339</v>
      </c>
      <c r="J382">
        <f t="array" ref="J382">INDEX($D$3:$D$62,MATCH(1, (YEAR(I382)=YEAR($A$3:$A$62))*(MONTH(I382)=MONTH($A$3:$A$62)),0))</f>
        <v>97633.030632581183</v>
      </c>
      <c r="K382">
        <f t="array" ref="K382">INDEX($G$3:$G$200,MATCH(1, (YEAR(I382)=YEAR($A$3:$A$2000))*(MONTH(I382)=MONTH($A$3:$A$2000)),0))</f>
        <v>153041.08738949426</v>
      </c>
      <c r="L382">
        <f t="shared" si="11"/>
        <v>90027.446821103993</v>
      </c>
    </row>
    <row r="383" spans="4:12" x14ac:dyDescent="0.25">
      <c r="D383">
        <f t="shared" si="10"/>
        <v>0</v>
      </c>
      <c r="H383">
        <v>381</v>
      </c>
      <c r="I383" s="1">
        <v>45340</v>
      </c>
      <c r="J383">
        <f t="array" ref="J383">INDEX($D$3:$D$62,MATCH(1, (YEAR(I383)=YEAR($A$3:$A$62))*(MONTH(I383)=MONTH($A$3:$A$62)),0))</f>
        <v>97633.030632581183</v>
      </c>
      <c r="K383">
        <f t="array" ref="K383">INDEX($G$3:$G$200,MATCH(1, (YEAR(I383)=YEAR($A$3:$A$2000))*(MONTH(I383)=MONTH($A$3:$A$2000)),0))</f>
        <v>153041.08738949426</v>
      </c>
      <c r="L383">
        <f t="shared" si="11"/>
        <v>89926.93095162898</v>
      </c>
    </row>
    <row r="384" spans="4:12" x14ac:dyDescent="0.25">
      <c r="D384">
        <f t="shared" si="10"/>
        <v>0</v>
      </c>
      <c r="H384">
        <v>382</v>
      </c>
      <c r="I384" s="1">
        <v>45341</v>
      </c>
      <c r="J384">
        <f t="array" ref="J384">INDEX($D$3:$D$62,MATCH(1, (YEAR(I384)=YEAR($A$3:$A$62))*(MONTH(I384)=MONTH($A$3:$A$62)),0))</f>
        <v>97633.030632581183</v>
      </c>
      <c r="K384">
        <f t="array" ref="K384">INDEX($G$3:$G$200,MATCH(1, (YEAR(I384)=YEAR($A$3:$A$2000))*(MONTH(I384)=MONTH($A$3:$A$2000)),0))</f>
        <v>153041.08738949426</v>
      </c>
      <c r="L384">
        <f t="shared" si="11"/>
        <v>89826.596338143994</v>
      </c>
    </row>
    <row r="385" spans="4:12" x14ac:dyDescent="0.25">
      <c r="D385">
        <f t="shared" si="10"/>
        <v>0</v>
      </c>
      <c r="H385">
        <v>383</v>
      </c>
      <c r="I385" s="1">
        <v>45342</v>
      </c>
      <c r="J385">
        <f t="array" ref="J385">INDEX($D$3:$D$62,MATCH(1, (YEAR(I385)=YEAR($A$3:$A$62))*(MONTH(I385)=MONTH($A$3:$A$62)),0))</f>
        <v>97633.030632581183</v>
      </c>
      <c r="K385">
        <f t="array" ref="K385">INDEX($G$3:$G$200,MATCH(1, (YEAR(I385)=YEAR($A$3:$A$2000))*(MONTH(I385)=MONTH($A$3:$A$2000)),0))</f>
        <v>153041.08738949426</v>
      </c>
      <c r="L385">
        <f t="shared" si="11"/>
        <v>89726.442667886993</v>
      </c>
    </row>
    <row r="386" spans="4:12" x14ac:dyDescent="0.25">
      <c r="D386">
        <f t="shared" si="10"/>
        <v>0</v>
      </c>
      <c r="H386">
        <v>384</v>
      </c>
      <c r="I386" s="1">
        <v>45343</v>
      </c>
      <c r="J386">
        <f t="array" ref="J386">INDEX($D$3:$D$62,MATCH(1, (YEAR(I386)=YEAR($A$3:$A$62))*(MONTH(I386)=MONTH($A$3:$A$62)),0))</f>
        <v>97633.030632581183</v>
      </c>
      <c r="K386">
        <f t="array" ref="K386">INDEX($G$3:$G$200,MATCH(1, (YEAR(I386)=YEAR($A$3:$A$2000))*(MONTH(I386)=MONTH($A$3:$A$2000)),0))</f>
        <v>153041.08738949426</v>
      </c>
      <c r="L386">
        <f t="shared" si="11"/>
        <v>89626.469628383988</v>
      </c>
    </row>
    <row r="387" spans="4:12" x14ac:dyDescent="0.25">
      <c r="D387">
        <f t="shared" si="10"/>
        <v>0</v>
      </c>
      <c r="H387">
        <v>385</v>
      </c>
      <c r="I387" s="1">
        <v>45344</v>
      </c>
      <c r="J387">
        <f t="array" ref="J387">INDEX($D$3:$D$62,MATCH(1, (YEAR(I387)=YEAR($A$3:$A$62))*(MONTH(I387)=MONTH($A$3:$A$62)),0))</f>
        <v>97633.030632581183</v>
      </c>
      <c r="K387">
        <f t="array" ref="K387">INDEX($G$3:$G$200,MATCH(1, (YEAR(I387)=YEAR($A$3:$A$2000))*(MONTH(I387)=MONTH($A$3:$A$2000)),0))</f>
        <v>153041.08738949426</v>
      </c>
      <c r="L387">
        <f t="shared" si="11"/>
        <v>89526.676907449</v>
      </c>
    </row>
    <row r="388" spans="4:12" x14ac:dyDescent="0.25">
      <c r="D388">
        <f t="shared" ref="D388:D451" si="12">SUM(B388:C388)</f>
        <v>0</v>
      </c>
      <c r="H388">
        <v>386</v>
      </c>
      <c r="I388" s="1">
        <v>45345</v>
      </c>
      <c r="J388">
        <f t="array" ref="J388">INDEX($D$3:$D$62,MATCH(1, (YEAR(I388)=YEAR($A$3:$A$62))*(MONTH(I388)=MONTH($A$3:$A$62)),0))</f>
        <v>97633.030632581183</v>
      </c>
      <c r="K388">
        <f t="array" ref="K388">INDEX($G$3:$G$200,MATCH(1, (YEAR(I388)=YEAR($A$3:$A$2000))*(MONTH(I388)=MONTH($A$3:$A$2000)),0))</f>
        <v>153041.08738949426</v>
      </c>
      <c r="L388">
        <f t="shared" ref="L388:L451" si="13">0.000000012*H388^4-0.000070439*H388^3+0.160688168*H388^2-194.849290676*H388+144481.718306784</f>
        <v>89427.064193183993</v>
      </c>
    </row>
    <row r="389" spans="4:12" x14ac:dyDescent="0.25">
      <c r="D389">
        <f t="shared" si="12"/>
        <v>0</v>
      </c>
      <c r="H389">
        <v>387</v>
      </c>
      <c r="I389" s="1">
        <v>45346</v>
      </c>
      <c r="J389">
        <f t="array" ref="J389">INDEX($D$3:$D$62,MATCH(1, (YEAR(I389)=YEAR($A$3:$A$62))*(MONTH(I389)=MONTH($A$3:$A$62)),0))</f>
        <v>97633.030632581183</v>
      </c>
      <c r="K389">
        <f t="array" ref="K389">INDEX($G$3:$G$200,MATCH(1, (YEAR(I389)=YEAR($A$3:$A$2000))*(MONTH(I389)=MONTH($A$3:$A$2000)),0))</f>
        <v>153041.08738949426</v>
      </c>
      <c r="L389">
        <f t="shared" si="13"/>
        <v>89327.631173978996</v>
      </c>
    </row>
    <row r="390" spans="4:12" x14ac:dyDescent="0.25">
      <c r="D390">
        <f t="shared" si="12"/>
        <v>0</v>
      </c>
      <c r="H390">
        <v>388</v>
      </c>
      <c r="I390" s="1">
        <v>45347</v>
      </c>
      <c r="J390">
        <f t="array" ref="J390">INDEX($D$3:$D$62,MATCH(1, (YEAR(I390)=YEAR($A$3:$A$62))*(MONTH(I390)=MONTH($A$3:$A$62)),0))</f>
        <v>97633.030632581183</v>
      </c>
      <c r="K390">
        <f t="array" ref="K390">INDEX($G$3:$G$200,MATCH(1, (YEAR(I390)=YEAR($A$3:$A$2000))*(MONTH(I390)=MONTH($A$3:$A$2000)),0))</f>
        <v>153041.08738949426</v>
      </c>
      <c r="L390">
        <f t="shared" si="13"/>
        <v>89228.377538511995</v>
      </c>
    </row>
    <row r="391" spans="4:12" x14ac:dyDescent="0.25">
      <c r="D391">
        <f t="shared" si="12"/>
        <v>0</v>
      </c>
      <c r="H391">
        <v>389</v>
      </c>
      <c r="I391" s="1">
        <v>45348</v>
      </c>
      <c r="J391">
        <f t="array" ref="J391">INDEX($D$3:$D$62,MATCH(1, (YEAR(I391)=YEAR($A$3:$A$62))*(MONTH(I391)=MONTH($A$3:$A$62)),0))</f>
        <v>97633.030632581183</v>
      </c>
      <c r="K391">
        <f t="array" ref="K391">INDEX($G$3:$G$200,MATCH(1, (YEAR(I391)=YEAR($A$3:$A$2000))*(MONTH(I391)=MONTH($A$3:$A$2000)),0))</f>
        <v>153041.08738949426</v>
      </c>
      <c r="L391">
        <f t="shared" si="13"/>
        <v>89129.302975749</v>
      </c>
    </row>
    <row r="392" spans="4:12" x14ac:dyDescent="0.25">
      <c r="D392">
        <f t="shared" si="12"/>
        <v>0</v>
      </c>
      <c r="H392">
        <v>390</v>
      </c>
      <c r="I392" s="1">
        <v>45349</v>
      </c>
      <c r="J392">
        <f t="array" ref="J392">INDEX($D$3:$D$62,MATCH(1, (YEAR(I392)=YEAR($A$3:$A$62))*(MONTH(I392)=MONTH($A$3:$A$62)),0))</f>
        <v>97633.030632581183</v>
      </c>
      <c r="K392">
        <f t="array" ref="K392">INDEX($G$3:$G$200,MATCH(1, (YEAR(I392)=YEAR($A$3:$A$2000))*(MONTH(I392)=MONTH($A$3:$A$2000)),0))</f>
        <v>153041.08738949426</v>
      </c>
      <c r="L392">
        <f t="shared" si="13"/>
        <v>89030.40717494399</v>
      </c>
    </row>
    <row r="393" spans="4:12" x14ac:dyDescent="0.25">
      <c r="D393">
        <f t="shared" si="12"/>
        <v>0</v>
      </c>
      <c r="H393">
        <v>391</v>
      </c>
      <c r="I393" s="1">
        <v>45350</v>
      </c>
      <c r="J393">
        <f t="array" ref="J393">INDEX($D$3:$D$62,MATCH(1, (YEAR(I393)=YEAR($A$3:$A$62))*(MONTH(I393)=MONTH($A$3:$A$62)),0))</f>
        <v>97633.030632581183</v>
      </c>
      <c r="K393">
        <f t="array" ref="K393">INDEX($G$3:$G$200,MATCH(1, (YEAR(I393)=YEAR($A$3:$A$2000))*(MONTH(I393)=MONTH($A$3:$A$2000)),0))</f>
        <v>153041.08738949426</v>
      </c>
      <c r="L393">
        <f t="shared" si="13"/>
        <v>88931.689825638998</v>
      </c>
    </row>
    <row r="394" spans="4:12" x14ac:dyDescent="0.25">
      <c r="D394">
        <f t="shared" si="12"/>
        <v>0</v>
      </c>
      <c r="H394">
        <v>392</v>
      </c>
      <c r="I394" s="1">
        <v>45351</v>
      </c>
      <c r="J394">
        <f t="array" ref="J394">INDEX($D$3:$D$62,MATCH(1, (YEAR(I394)=YEAR($A$3:$A$62))*(MONTH(I394)=MONTH($A$3:$A$62)),0))</f>
        <v>97633.030632581183</v>
      </c>
      <c r="K394">
        <f t="array" ref="K394">INDEX($G$3:$G$200,MATCH(1, (YEAR(I394)=YEAR($A$3:$A$2000))*(MONTH(I394)=MONTH($A$3:$A$2000)),0))</f>
        <v>153041.08738949426</v>
      </c>
      <c r="L394">
        <f t="shared" si="13"/>
        <v>88833.150617663981</v>
      </c>
    </row>
    <row r="395" spans="4:12" x14ac:dyDescent="0.25">
      <c r="D395">
        <f t="shared" si="12"/>
        <v>0</v>
      </c>
      <c r="H395">
        <v>393</v>
      </c>
      <c r="I395" s="1">
        <v>45352</v>
      </c>
      <c r="J395">
        <f t="array" ref="J395">INDEX($D$3:$D$62,MATCH(1, (YEAR(I395)=YEAR($A$3:$A$62))*(MONTH(I395)=MONTH($A$3:$A$62)),0))</f>
        <v>93925.566569759962</v>
      </c>
      <c r="K395">
        <f t="array" ref="K395">INDEX($G$3:$G$200,MATCH(1, (YEAR(I395)=YEAR($A$3:$A$2000))*(MONTH(I395)=MONTH($A$3:$A$2000)),0))</f>
        <v>147941.29167448342</v>
      </c>
      <c r="L395">
        <f t="shared" si="13"/>
        <v>88734.789241136998</v>
      </c>
    </row>
    <row r="396" spans="4:12" x14ac:dyDescent="0.25">
      <c r="D396">
        <f t="shared" si="12"/>
        <v>0</v>
      </c>
      <c r="H396">
        <v>394</v>
      </c>
      <c r="I396" s="1">
        <v>45353</v>
      </c>
      <c r="J396">
        <f t="array" ref="J396">INDEX($D$3:$D$62,MATCH(1, (YEAR(I396)=YEAR($A$3:$A$62))*(MONTH(I396)=MONTH($A$3:$A$62)),0))</f>
        <v>93925.566569759962</v>
      </c>
      <c r="K396">
        <f t="array" ref="K396">INDEX($G$3:$G$200,MATCH(1, (YEAR(I396)=YEAR($A$3:$A$2000))*(MONTH(I396)=MONTH($A$3:$A$2000)),0))</f>
        <v>147941.29167448342</v>
      </c>
      <c r="L396">
        <f t="shared" si="13"/>
        <v>88636.605386463983</v>
      </c>
    </row>
    <row r="397" spans="4:12" x14ac:dyDescent="0.25">
      <c r="D397">
        <f t="shared" si="12"/>
        <v>0</v>
      </c>
      <c r="H397">
        <v>395</v>
      </c>
      <c r="I397" s="1">
        <v>45354</v>
      </c>
      <c r="J397">
        <f t="array" ref="J397">INDEX($D$3:$D$62,MATCH(1, (YEAR(I397)=YEAR($A$3:$A$62))*(MONTH(I397)=MONTH($A$3:$A$62)),0))</f>
        <v>93925.566569759962</v>
      </c>
      <c r="K397">
        <f t="array" ref="K397">INDEX($G$3:$G$200,MATCH(1, (YEAR(I397)=YEAR($A$3:$A$2000))*(MONTH(I397)=MONTH($A$3:$A$2000)),0))</f>
        <v>147941.29167448342</v>
      </c>
      <c r="L397">
        <f t="shared" si="13"/>
        <v>88538.598744338989</v>
      </c>
    </row>
    <row r="398" spans="4:12" x14ac:dyDescent="0.25">
      <c r="D398">
        <f t="shared" si="12"/>
        <v>0</v>
      </c>
      <c r="H398">
        <v>396</v>
      </c>
      <c r="I398" s="1">
        <v>45355</v>
      </c>
      <c r="J398">
        <f t="array" ref="J398">INDEX($D$3:$D$62,MATCH(1, (YEAR(I398)=YEAR($A$3:$A$62))*(MONTH(I398)=MONTH($A$3:$A$62)),0))</f>
        <v>93925.566569759962</v>
      </c>
      <c r="K398">
        <f t="array" ref="K398">INDEX($G$3:$G$200,MATCH(1, (YEAR(I398)=YEAR($A$3:$A$2000))*(MONTH(I398)=MONTH($A$3:$A$2000)),0))</f>
        <v>147941.29167448342</v>
      </c>
      <c r="L398">
        <f t="shared" si="13"/>
        <v>88440.76900574399</v>
      </c>
    </row>
    <row r="399" spans="4:12" x14ac:dyDescent="0.25">
      <c r="D399">
        <f t="shared" si="12"/>
        <v>0</v>
      </c>
      <c r="H399">
        <v>397</v>
      </c>
      <c r="I399" s="1">
        <v>45356</v>
      </c>
      <c r="J399">
        <f t="array" ref="J399">INDEX($D$3:$D$62,MATCH(1, (YEAR(I399)=YEAR($A$3:$A$62))*(MONTH(I399)=MONTH($A$3:$A$62)),0))</f>
        <v>93925.566569759962</v>
      </c>
      <c r="K399">
        <f t="array" ref="K399">INDEX($G$3:$G$200,MATCH(1, (YEAR(I399)=YEAR($A$3:$A$2000))*(MONTH(I399)=MONTH($A$3:$A$2000)),0))</f>
        <v>147941.29167448342</v>
      </c>
      <c r="L399">
        <f t="shared" si="13"/>
        <v>88343.115861948987</v>
      </c>
    </row>
    <row r="400" spans="4:12" x14ac:dyDescent="0.25">
      <c r="D400">
        <f t="shared" si="12"/>
        <v>0</v>
      </c>
      <c r="H400">
        <v>398</v>
      </c>
      <c r="I400" s="1">
        <v>45357</v>
      </c>
      <c r="J400">
        <f t="array" ref="J400">INDEX($D$3:$D$62,MATCH(1, (YEAR(I400)=YEAR($A$3:$A$62))*(MONTH(I400)=MONTH($A$3:$A$62)),0))</f>
        <v>93925.566569759962</v>
      </c>
      <c r="K400">
        <f t="array" ref="K400">INDEX($G$3:$G$200,MATCH(1, (YEAR(I400)=YEAR($A$3:$A$2000))*(MONTH(I400)=MONTH($A$3:$A$2000)),0))</f>
        <v>147941.29167448342</v>
      </c>
      <c r="L400">
        <f t="shared" si="13"/>
        <v>88245.639004511992</v>
      </c>
    </row>
    <row r="401" spans="4:12" x14ac:dyDescent="0.25">
      <c r="D401">
        <f t="shared" si="12"/>
        <v>0</v>
      </c>
      <c r="H401">
        <v>399</v>
      </c>
      <c r="I401" s="1">
        <v>45358</v>
      </c>
      <c r="J401">
        <f t="array" ref="J401">INDEX($D$3:$D$62,MATCH(1, (YEAR(I401)=YEAR($A$3:$A$62))*(MONTH(I401)=MONTH($A$3:$A$62)),0))</f>
        <v>93925.566569759962</v>
      </c>
      <c r="K401">
        <f t="array" ref="K401">INDEX($G$3:$G$200,MATCH(1, (YEAR(I401)=YEAR($A$3:$A$2000))*(MONTH(I401)=MONTH($A$3:$A$2000)),0))</f>
        <v>147941.29167448342</v>
      </c>
      <c r="L401">
        <f t="shared" si="13"/>
        <v>88148.338125278999</v>
      </c>
    </row>
    <row r="402" spans="4:12" x14ac:dyDescent="0.25">
      <c r="D402">
        <f t="shared" si="12"/>
        <v>0</v>
      </c>
      <c r="H402">
        <v>400</v>
      </c>
      <c r="I402" s="1">
        <v>45359</v>
      </c>
      <c r="J402">
        <f t="array" ref="J402">INDEX($D$3:$D$62,MATCH(1, (YEAR(I402)=YEAR($A$3:$A$62))*(MONTH(I402)=MONTH($A$3:$A$62)),0))</f>
        <v>93925.566569759962</v>
      </c>
      <c r="K402">
        <f t="array" ref="K402">INDEX($G$3:$G$200,MATCH(1, (YEAR(I402)=YEAR($A$3:$A$2000))*(MONTH(I402)=MONTH($A$3:$A$2000)),0))</f>
        <v>147941.29167448342</v>
      </c>
      <c r="L402">
        <f t="shared" si="13"/>
        <v>88051.212916383985</v>
      </c>
    </row>
    <row r="403" spans="4:12" x14ac:dyDescent="0.25">
      <c r="D403">
        <f t="shared" si="12"/>
        <v>0</v>
      </c>
      <c r="H403">
        <v>401</v>
      </c>
      <c r="I403" s="1">
        <v>45360</v>
      </c>
      <c r="J403">
        <f t="array" ref="J403">INDEX($D$3:$D$62,MATCH(1, (YEAR(I403)=YEAR($A$3:$A$62))*(MONTH(I403)=MONTH($A$3:$A$62)),0))</f>
        <v>93925.566569759962</v>
      </c>
      <c r="K403">
        <f t="array" ref="K403">INDEX($G$3:$G$200,MATCH(1, (YEAR(I403)=YEAR($A$3:$A$2000))*(MONTH(I403)=MONTH($A$3:$A$2000)),0))</f>
        <v>147941.29167448342</v>
      </c>
      <c r="L403">
        <f t="shared" si="13"/>
        <v>87954.263070248999</v>
      </c>
    </row>
    <row r="404" spans="4:12" x14ac:dyDescent="0.25">
      <c r="D404">
        <f t="shared" si="12"/>
        <v>0</v>
      </c>
      <c r="H404">
        <v>402</v>
      </c>
      <c r="I404" s="1">
        <v>45361</v>
      </c>
      <c r="J404">
        <f t="array" ref="J404">INDEX($D$3:$D$62,MATCH(1, (YEAR(I404)=YEAR($A$3:$A$62))*(MONTH(I404)=MONTH($A$3:$A$62)),0))</f>
        <v>93925.566569759962</v>
      </c>
      <c r="K404">
        <f t="array" ref="K404">INDEX($G$3:$G$200,MATCH(1, (YEAR(I404)=YEAR($A$3:$A$2000))*(MONTH(I404)=MONTH($A$3:$A$2000)),0))</f>
        <v>147941.29167448342</v>
      </c>
      <c r="L404">
        <f t="shared" si="13"/>
        <v>87857.48827958398</v>
      </c>
    </row>
    <row r="405" spans="4:12" x14ac:dyDescent="0.25">
      <c r="D405">
        <f t="shared" si="12"/>
        <v>0</v>
      </c>
      <c r="H405">
        <v>403</v>
      </c>
      <c r="I405" s="1">
        <v>45362</v>
      </c>
      <c r="J405">
        <f t="array" ref="J405">INDEX($D$3:$D$62,MATCH(1, (YEAR(I405)=YEAR($A$3:$A$62))*(MONTH(I405)=MONTH($A$3:$A$62)),0))</f>
        <v>93925.566569759962</v>
      </c>
      <c r="K405">
        <f t="array" ref="K405">INDEX($G$3:$G$200,MATCH(1, (YEAR(I405)=YEAR($A$3:$A$2000))*(MONTH(I405)=MONTH($A$3:$A$2000)),0))</f>
        <v>147941.29167448342</v>
      </c>
      <c r="L405">
        <f t="shared" si="13"/>
        <v>87760.888237387</v>
      </c>
    </row>
    <row r="406" spans="4:12" x14ac:dyDescent="0.25">
      <c r="D406">
        <f t="shared" si="12"/>
        <v>0</v>
      </c>
      <c r="H406">
        <v>404</v>
      </c>
      <c r="I406" s="1">
        <v>45363</v>
      </c>
      <c r="J406">
        <f t="array" ref="J406">INDEX($D$3:$D$62,MATCH(1, (YEAR(I406)=YEAR($A$3:$A$62))*(MONTH(I406)=MONTH($A$3:$A$62)),0))</f>
        <v>93925.566569759962</v>
      </c>
      <c r="K406">
        <f t="array" ref="K406">INDEX($G$3:$G$200,MATCH(1, (YEAR(I406)=YEAR($A$3:$A$2000))*(MONTH(I406)=MONTH($A$3:$A$2000)),0))</f>
        <v>147941.29167448342</v>
      </c>
      <c r="L406">
        <f t="shared" si="13"/>
        <v>87664.462636943994</v>
      </c>
    </row>
    <row r="407" spans="4:12" x14ac:dyDescent="0.25">
      <c r="D407">
        <f t="shared" si="12"/>
        <v>0</v>
      </c>
      <c r="H407">
        <v>405</v>
      </c>
      <c r="I407" s="1">
        <v>45364</v>
      </c>
      <c r="J407">
        <f t="array" ref="J407">INDEX($D$3:$D$62,MATCH(1, (YEAR(I407)=YEAR($A$3:$A$62))*(MONTH(I407)=MONTH($A$3:$A$62)),0))</f>
        <v>93925.566569759962</v>
      </c>
      <c r="K407">
        <f t="array" ref="K407">INDEX($G$3:$G$200,MATCH(1, (YEAR(I407)=YEAR($A$3:$A$2000))*(MONTH(I407)=MONTH($A$3:$A$2000)),0))</f>
        <v>147941.29167448342</v>
      </c>
      <c r="L407">
        <f t="shared" si="13"/>
        <v>87568.211171828996</v>
      </c>
    </row>
    <row r="408" spans="4:12" x14ac:dyDescent="0.25">
      <c r="D408">
        <f t="shared" si="12"/>
        <v>0</v>
      </c>
      <c r="H408">
        <v>406</v>
      </c>
      <c r="I408" s="1">
        <v>45365</v>
      </c>
      <c r="J408">
        <f t="array" ref="J408">INDEX($D$3:$D$62,MATCH(1, (YEAR(I408)=YEAR($A$3:$A$62))*(MONTH(I408)=MONTH($A$3:$A$62)),0))</f>
        <v>93925.566569759962</v>
      </c>
      <c r="K408">
        <f t="array" ref="K408">INDEX($G$3:$G$200,MATCH(1, (YEAR(I408)=YEAR($A$3:$A$2000))*(MONTH(I408)=MONTH($A$3:$A$2000)),0))</f>
        <v>147941.29167448342</v>
      </c>
      <c r="L408">
        <f t="shared" si="13"/>
        <v>87472.13353590398</v>
      </c>
    </row>
    <row r="409" spans="4:12" x14ac:dyDescent="0.25">
      <c r="D409">
        <f t="shared" si="12"/>
        <v>0</v>
      </c>
      <c r="H409">
        <v>407</v>
      </c>
      <c r="I409" s="1">
        <v>45366</v>
      </c>
      <c r="J409">
        <f t="array" ref="J409">INDEX($D$3:$D$62,MATCH(1, (YEAR(I409)=YEAR($A$3:$A$62))*(MONTH(I409)=MONTH($A$3:$A$62)),0))</f>
        <v>93925.566569759962</v>
      </c>
      <c r="K409">
        <f t="array" ref="K409">INDEX($G$3:$G$200,MATCH(1, (YEAR(I409)=YEAR($A$3:$A$2000))*(MONTH(I409)=MONTH($A$3:$A$2000)),0))</f>
        <v>147941.29167448342</v>
      </c>
      <c r="L409">
        <f t="shared" si="13"/>
        <v>87376.22942331899</v>
      </c>
    </row>
    <row r="410" spans="4:12" x14ac:dyDescent="0.25">
      <c r="D410">
        <f t="shared" si="12"/>
        <v>0</v>
      </c>
      <c r="H410">
        <v>408</v>
      </c>
      <c r="I410" s="1">
        <v>45367</v>
      </c>
      <c r="J410">
        <f t="array" ref="J410">INDEX($D$3:$D$62,MATCH(1, (YEAR(I410)=YEAR($A$3:$A$62))*(MONTH(I410)=MONTH($A$3:$A$62)),0))</f>
        <v>93925.566569759962</v>
      </c>
      <c r="K410">
        <f t="array" ref="K410">INDEX($G$3:$G$200,MATCH(1, (YEAR(I410)=YEAR($A$3:$A$2000))*(MONTH(I410)=MONTH($A$3:$A$2000)),0))</f>
        <v>147941.29167448342</v>
      </c>
      <c r="L410">
        <f t="shared" si="13"/>
        <v>87280.498528511991</v>
      </c>
    </row>
    <row r="411" spans="4:12" x14ac:dyDescent="0.25">
      <c r="D411">
        <f t="shared" si="12"/>
        <v>0</v>
      </c>
      <c r="H411">
        <v>409</v>
      </c>
      <c r="I411" s="1">
        <v>45368</v>
      </c>
      <c r="J411">
        <f t="array" ref="J411">INDEX($D$3:$D$62,MATCH(1, (YEAR(I411)=YEAR($A$3:$A$62))*(MONTH(I411)=MONTH($A$3:$A$62)),0))</f>
        <v>93925.566569759962</v>
      </c>
      <c r="K411">
        <f t="array" ref="K411">INDEX($G$3:$G$200,MATCH(1, (YEAR(I411)=YEAR($A$3:$A$2000))*(MONTH(I411)=MONTH($A$3:$A$2000)),0))</f>
        <v>147941.29167448342</v>
      </c>
      <c r="L411">
        <f t="shared" si="13"/>
        <v>87184.940546208993</v>
      </c>
    </row>
    <row r="412" spans="4:12" x14ac:dyDescent="0.25">
      <c r="D412">
        <f t="shared" si="12"/>
        <v>0</v>
      </c>
      <c r="H412">
        <v>410</v>
      </c>
      <c r="I412" s="1">
        <v>45369</v>
      </c>
      <c r="J412">
        <f t="array" ref="J412">INDEX($D$3:$D$62,MATCH(1, (YEAR(I412)=YEAR($A$3:$A$62))*(MONTH(I412)=MONTH($A$3:$A$62)),0))</f>
        <v>93925.566569759962</v>
      </c>
      <c r="K412">
        <f t="array" ref="K412">INDEX($G$3:$G$200,MATCH(1, (YEAR(I412)=YEAR($A$3:$A$2000))*(MONTH(I412)=MONTH($A$3:$A$2000)),0))</f>
        <v>147941.29167448342</v>
      </c>
      <c r="L412">
        <f t="shared" si="13"/>
        <v>87089.555171423985</v>
      </c>
    </row>
    <row r="413" spans="4:12" x14ac:dyDescent="0.25">
      <c r="D413">
        <f t="shared" si="12"/>
        <v>0</v>
      </c>
      <c r="H413">
        <v>411</v>
      </c>
      <c r="I413" s="1">
        <v>45370</v>
      </c>
      <c r="J413">
        <f t="array" ref="J413">INDEX($D$3:$D$62,MATCH(1, (YEAR(I413)=YEAR($A$3:$A$62))*(MONTH(I413)=MONTH($A$3:$A$62)),0))</f>
        <v>93925.566569759962</v>
      </c>
      <c r="K413">
        <f t="array" ref="K413">INDEX($G$3:$G$200,MATCH(1, (YEAR(I413)=YEAR($A$3:$A$2000))*(MONTH(I413)=MONTH($A$3:$A$2000)),0))</f>
        <v>147941.29167448342</v>
      </c>
      <c r="L413">
        <f t="shared" si="13"/>
        <v>86994.342099458998</v>
      </c>
    </row>
    <row r="414" spans="4:12" x14ac:dyDescent="0.25">
      <c r="D414">
        <f t="shared" si="12"/>
        <v>0</v>
      </c>
      <c r="H414">
        <v>412</v>
      </c>
      <c r="I414" s="1">
        <v>45371</v>
      </c>
      <c r="J414">
        <f t="array" ref="J414">INDEX($D$3:$D$62,MATCH(1, (YEAR(I414)=YEAR($A$3:$A$62))*(MONTH(I414)=MONTH($A$3:$A$62)),0))</f>
        <v>93925.566569759962</v>
      </c>
      <c r="K414">
        <f t="array" ref="K414">INDEX($G$3:$G$200,MATCH(1, (YEAR(I414)=YEAR($A$3:$A$2000))*(MONTH(I414)=MONTH($A$3:$A$2000)),0))</f>
        <v>147941.29167448342</v>
      </c>
      <c r="L414">
        <f t="shared" si="13"/>
        <v>86899.301025903987</v>
      </c>
    </row>
    <row r="415" spans="4:12" x14ac:dyDescent="0.25">
      <c r="D415">
        <f t="shared" si="12"/>
        <v>0</v>
      </c>
      <c r="H415">
        <v>413</v>
      </c>
      <c r="I415" s="1">
        <v>45372</v>
      </c>
      <c r="J415">
        <f t="array" ref="J415">INDEX($D$3:$D$62,MATCH(1, (YEAR(I415)=YEAR($A$3:$A$62))*(MONTH(I415)=MONTH($A$3:$A$62)),0))</f>
        <v>93925.566569759962</v>
      </c>
      <c r="K415">
        <f t="array" ref="K415">INDEX($G$3:$G$200,MATCH(1, (YEAR(I415)=YEAR($A$3:$A$2000))*(MONTH(I415)=MONTH($A$3:$A$2000)),0))</f>
        <v>147941.29167448342</v>
      </c>
      <c r="L415">
        <f t="shared" si="13"/>
        <v>86804.431646636993</v>
      </c>
    </row>
    <row r="416" spans="4:12" x14ac:dyDescent="0.25">
      <c r="D416">
        <f t="shared" si="12"/>
        <v>0</v>
      </c>
      <c r="H416">
        <v>414</v>
      </c>
      <c r="I416" s="1">
        <v>45373</v>
      </c>
      <c r="J416">
        <f t="array" ref="J416">INDEX($D$3:$D$62,MATCH(1, (YEAR(I416)=YEAR($A$3:$A$62))*(MONTH(I416)=MONTH($A$3:$A$62)),0))</f>
        <v>93925.566569759962</v>
      </c>
      <c r="K416">
        <f t="array" ref="K416">INDEX($G$3:$G$200,MATCH(1, (YEAR(I416)=YEAR($A$3:$A$2000))*(MONTH(I416)=MONTH($A$3:$A$2000)),0))</f>
        <v>147941.29167448342</v>
      </c>
      <c r="L416">
        <f t="shared" si="13"/>
        <v>86709.733657823977</v>
      </c>
    </row>
    <row r="417" spans="4:12" x14ac:dyDescent="0.25">
      <c r="D417">
        <f t="shared" si="12"/>
        <v>0</v>
      </c>
      <c r="H417">
        <v>415</v>
      </c>
      <c r="I417" s="1">
        <v>45374</v>
      </c>
      <c r="J417">
        <f t="array" ref="J417">INDEX($D$3:$D$62,MATCH(1, (YEAR(I417)=YEAR($A$3:$A$62))*(MONTH(I417)=MONTH($A$3:$A$62)),0))</f>
        <v>93925.566569759962</v>
      </c>
      <c r="K417">
        <f t="array" ref="K417">INDEX($G$3:$G$200,MATCH(1, (YEAR(I417)=YEAR($A$3:$A$2000))*(MONTH(I417)=MONTH($A$3:$A$2000)),0))</f>
        <v>147941.29167448342</v>
      </c>
      <c r="L417">
        <f t="shared" si="13"/>
        <v>86615.206755918989</v>
      </c>
    </row>
    <row r="418" spans="4:12" x14ac:dyDescent="0.25">
      <c r="D418">
        <f t="shared" si="12"/>
        <v>0</v>
      </c>
      <c r="H418">
        <v>416</v>
      </c>
      <c r="I418" s="1">
        <v>45375</v>
      </c>
      <c r="J418">
        <f t="array" ref="J418">INDEX($D$3:$D$62,MATCH(1, (YEAR(I418)=YEAR($A$3:$A$62))*(MONTH(I418)=MONTH($A$3:$A$62)),0))</f>
        <v>93925.566569759962</v>
      </c>
      <c r="K418">
        <f t="array" ref="K418">INDEX($G$3:$G$200,MATCH(1, (YEAR(I418)=YEAR($A$3:$A$2000))*(MONTH(I418)=MONTH($A$3:$A$2000)),0))</f>
        <v>147941.29167448342</v>
      </c>
      <c r="L418">
        <f t="shared" si="13"/>
        <v>86520.850637663985</v>
      </c>
    </row>
    <row r="419" spans="4:12" x14ac:dyDescent="0.25">
      <c r="D419">
        <f t="shared" si="12"/>
        <v>0</v>
      </c>
      <c r="H419">
        <v>417</v>
      </c>
      <c r="I419" s="1">
        <v>45376</v>
      </c>
      <c r="J419">
        <f t="array" ref="J419">INDEX($D$3:$D$62,MATCH(1, (YEAR(I419)=YEAR($A$3:$A$62))*(MONTH(I419)=MONTH($A$3:$A$62)),0))</f>
        <v>93925.566569759962</v>
      </c>
      <c r="K419">
        <f t="array" ref="K419">INDEX($G$3:$G$200,MATCH(1, (YEAR(I419)=YEAR($A$3:$A$2000))*(MONTH(I419)=MONTH($A$3:$A$2000)),0))</f>
        <v>147941.29167448342</v>
      </c>
      <c r="L419">
        <f t="shared" si="13"/>
        <v>86426.665000088979</v>
      </c>
    </row>
    <row r="420" spans="4:12" x14ac:dyDescent="0.25">
      <c r="D420">
        <f t="shared" si="12"/>
        <v>0</v>
      </c>
      <c r="H420">
        <v>418</v>
      </c>
      <c r="I420" s="1">
        <v>45377</v>
      </c>
      <c r="J420">
        <f t="array" ref="J420">INDEX($D$3:$D$62,MATCH(1, (YEAR(I420)=YEAR($A$3:$A$62))*(MONTH(I420)=MONTH($A$3:$A$62)),0))</f>
        <v>93925.566569759962</v>
      </c>
      <c r="K420">
        <f t="array" ref="K420">INDEX($G$3:$G$200,MATCH(1, (YEAR(I420)=YEAR($A$3:$A$2000))*(MONTH(I420)=MONTH($A$3:$A$2000)),0))</f>
        <v>147941.29167448342</v>
      </c>
      <c r="L420">
        <f t="shared" si="13"/>
        <v>86332.649540511993</v>
      </c>
    </row>
    <row r="421" spans="4:12" x14ac:dyDescent="0.25">
      <c r="D421">
        <f t="shared" si="12"/>
        <v>0</v>
      </c>
      <c r="H421">
        <v>419</v>
      </c>
      <c r="I421" s="1">
        <v>45378</v>
      </c>
      <c r="J421">
        <f t="array" ref="J421">INDEX($D$3:$D$62,MATCH(1, (YEAR(I421)=YEAR($A$3:$A$62))*(MONTH(I421)=MONTH($A$3:$A$62)),0))</f>
        <v>93925.566569759962</v>
      </c>
      <c r="K421">
        <f t="array" ref="K421">INDEX($G$3:$G$200,MATCH(1, (YEAR(I421)=YEAR($A$3:$A$2000))*(MONTH(I421)=MONTH($A$3:$A$2000)),0))</f>
        <v>147941.29167448342</v>
      </c>
      <c r="L421">
        <f t="shared" si="13"/>
        <v>86238.803956538992</v>
      </c>
    </row>
    <row r="422" spans="4:12" x14ac:dyDescent="0.25">
      <c r="D422">
        <f t="shared" si="12"/>
        <v>0</v>
      </c>
      <c r="H422">
        <v>420</v>
      </c>
      <c r="I422" s="1">
        <v>45379</v>
      </c>
      <c r="J422">
        <f t="array" ref="J422">INDEX($D$3:$D$62,MATCH(1, (YEAR(I422)=YEAR($A$3:$A$62))*(MONTH(I422)=MONTH($A$3:$A$62)),0))</f>
        <v>93925.566569759962</v>
      </c>
      <c r="K422">
        <f t="array" ref="K422">INDEX($G$3:$G$200,MATCH(1, (YEAR(I422)=YEAR($A$3:$A$2000))*(MONTH(I422)=MONTH($A$3:$A$2000)),0))</f>
        <v>147941.29167448342</v>
      </c>
      <c r="L422">
        <f t="shared" si="13"/>
        <v>86145.127946063993</v>
      </c>
    </row>
    <row r="423" spans="4:12" x14ac:dyDescent="0.25">
      <c r="D423">
        <f t="shared" si="12"/>
        <v>0</v>
      </c>
      <c r="H423">
        <v>421</v>
      </c>
      <c r="I423" s="1">
        <v>45380</v>
      </c>
      <c r="J423">
        <f t="array" ref="J423">INDEX($D$3:$D$62,MATCH(1, (YEAR(I423)=YEAR($A$3:$A$62))*(MONTH(I423)=MONTH($A$3:$A$62)),0))</f>
        <v>93925.566569759962</v>
      </c>
      <c r="K423">
        <f t="array" ref="K423">INDEX($G$3:$G$200,MATCH(1, (YEAR(I423)=YEAR($A$3:$A$2000))*(MONTH(I423)=MONTH($A$3:$A$2000)),0))</f>
        <v>147941.29167448342</v>
      </c>
      <c r="L423">
        <f t="shared" si="13"/>
        <v>86051.621207268996</v>
      </c>
    </row>
    <row r="424" spans="4:12" x14ac:dyDescent="0.25">
      <c r="D424">
        <f t="shared" si="12"/>
        <v>0</v>
      </c>
      <c r="H424">
        <v>422</v>
      </c>
      <c r="I424" s="1">
        <v>45381</v>
      </c>
      <c r="J424">
        <f t="array" ref="J424">INDEX($D$3:$D$62,MATCH(1, (YEAR(I424)=YEAR($A$3:$A$62))*(MONTH(I424)=MONTH($A$3:$A$62)),0))</f>
        <v>93925.566569759962</v>
      </c>
      <c r="K424">
        <f t="array" ref="K424">INDEX($G$3:$G$200,MATCH(1, (YEAR(I424)=YEAR($A$3:$A$2000))*(MONTH(I424)=MONTH($A$3:$A$2000)),0))</f>
        <v>147941.29167448342</v>
      </c>
      <c r="L424">
        <f t="shared" si="13"/>
        <v>85958.283438623999</v>
      </c>
    </row>
    <row r="425" spans="4:12" x14ac:dyDescent="0.25">
      <c r="D425">
        <f t="shared" si="12"/>
        <v>0</v>
      </c>
      <c r="H425">
        <v>423</v>
      </c>
      <c r="I425" s="1">
        <v>45382</v>
      </c>
      <c r="J425">
        <f t="array" ref="J425">INDEX($D$3:$D$62,MATCH(1, (YEAR(I425)=YEAR($A$3:$A$62))*(MONTH(I425)=MONTH($A$3:$A$62)),0))</f>
        <v>93925.566569759962</v>
      </c>
      <c r="K425">
        <f t="array" ref="K425">INDEX($G$3:$G$200,MATCH(1, (YEAR(I425)=YEAR($A$3:$A$2000))*(MONTH(I425)=MONTH($A$3:$A$2000)),0))</f>
        <v>147941.29167448342</v>
      </c>
      <c r="L425">
        <f t="shared" si="13"/>
        <v>85865.114338886982</v>
      </c>
    </row>
    <row r="426" spans="4:12" x14ac:dyDescent="0.25">
      <c r="D426">
        <f t="shared" si="12"/>
        <v>0</v>
      </c>
      <c r="H426">
        <v>424</v>
      </c>
      <c r="I426" s="1">
        <v>45383</v>
      </c>
      <c r="J426">
        <f t="array" ref="J426">INDEX($D$3:$D$62,MATCH(1, (YEAR(I426)=YEAR($A$3:$A$62))*(MONTH(I426)=MONTH($A$3:$A$62)),0))</f>
        <v>90861.002671733673</v>
      </c>
      <c r="K426">
        <f t="array" ref="K426">INDEX($G$3:$G$200,MATCH(1, (YEAR(I426)=YEAR($A$3:$A$2000))*(MONTH(I426)=MONTH($A$3:$A$2000)),0))</f>
        <v>143535.37627820467</v>
      </c>
      <c r="L426">
        <f t="shared" si="13"/>
        <v>85772.113607103995</v>
      </c>
    </row>
    <row r="427" spans="4:12" x14ac:dyDescent="0.25">
      <c r="D427">
        <f t="shared" si="12"/>
        <v>0</v>
      </c>
      <c r="H427">
        <v>425</v>
      </c>
      <c r="I427" s="1">
        <v>45384</v>
      </c>
      <c r="J427">
        <f t="array" ref="J427">INDEX($D$3:$D$62,MATCH(1, (YEAR(I427)=YEAR($A$3:$A$62))*(MONTH(I427)=MONTH($A$3:$A$62)),0))</f>
        <v>90861.002671733673</v>
      </c>
      <c r="K427">
        <f t="array" ref="K427">INDEX($G$3:$G$200,MATCH(1, (YEAR(I427)=YEAR($A$3:$A$2000))*(MONTH(I427)=MONTH($A$3:$A$2000)),0))</f>
        <v>143535.37627820467</v>
      </c>
      <c r="L427">
        <f t="shared" si="13"/>
        <v>85679.280942608981</v>
      </c>
    </row>
    <row r="428" spans="4:12" x14ac:dyDescent="0.25">
      <c r="D428">
        <f t="shared" si="12"/>
        <v>0</v>
      </c>
      <c r="H428">
        <v>426</v>
      </c>
      <c r="I428" s="1">
        <v>45385</v>
      </c>
      <c r="J428">
        <f t="array" ref="J428">INDEX($D$3:$D$62,MATCH(1, (YEAR(I428)=YEAR($A$3:$A$62))*(MONTH(I428)=MONTH($A$3:$A$62)),0))</f>
        <v>90861.002671733673</v>
      </c>
      <c r="K428">
        <f t="array" ref="K428">INDEX($G$3:$G$200,MATCH(1, (YEAR(I428)=YEAR($A$3:$A$2000))*(MONTH(I428)=MONTH($A$3:$A$2000)),0))</f>
        <v>143535.37627820467</v>
      </c>
      <c r="L428">
        <f t="shared" si="13"/>
        <v>85586.616045023984</v>
      </c>
    </row>
    <row r="429" spans="4:12" x14ac:dyDescent="0.25">
      <c r="D429">
        <f t="shared" si="12"/>
        <v>0</v>
      </c>
      <c r="H429">
        <v>427</v>
      </c>
      <c r="I429" s="1">
        <v>45386</v>
      </c>
      <c r="J429">
        <f t="array" ref="J429">INDEX($D$3:$D$62,MATCH(1, (YEAR(I429)=YEAR($A$3:$A$62))*(MONTH(I429)=MONTH($A$3:$A$62)),0))</f>
        <v>90861.002671733673</v>
      </c>
      <c r="K429">
        <f t="array" ref="K429">INDEX($G$3:$G$200,MATCH(1, (YEAR(I429)=YEAR($A$3:$A$2000))*(MONTH(I429)=MONTH($A$3:$A$2000)),0))</f>
        <v>143535.37627820467</v>
      </c>
      <c r="L429">
        <f t="shared" si="13"/>
        <v>85494.118614258987</v>
      </c>
    </row>
    <row r="430" spans="4:12" x14ac:dyDescent="0.25">
      <c r="D430">
        <f t="shared" si="12"/>
        <v>0</v>
      </c>
      <c r="H430">
        <v>428</v>
      </c>
      <c r="I430" s="1">
        <v>45387</v>
      </c>
      <c r="J430">
        <f t="array" ref="J430">INDEX($D$3:$D$62,MATCH(1, (YEAR(I430)=YEAR($A$3:$A$62))*(MONTH(I430)=MONTH($A$3:$A$62)),0))</f>
        <v>90861.002671733673</v>
      </c>
      <c r="K430">
        <f t="array" ref="K430">INDEX($G$3:$G$200,MATCH(1, (YEAR(I430)=YEAR($A$3:$A$2000))*(MONTH(I430)=MONTH($A$3:$A$2000)),0))</f>
        <v>143535.37627820467</v>
      </c>
      <c r="L430">
        <f t="shared" si="13"/>
        <v>85401.788350511997</v>
      </c>
    </row>
    <row r="431" spans="4:12" x14ac:dyDescent="0.25">
      <c r="D431">
        <f t="shared" si="12"/>
        <v>0</v>
      </c>
      <c r="H431">
        <v>429</v>
      </c>
      <c r="I431" s="1">
        <v>45388</v>
      </c>
      <c r="J431">
        <f t="array" ref="J431">INDEX($D$3:$D$62,MATCH(1, (YEAR(I431)=YEAR($A$3:$A$62))*(MONTH(I431)=MONTH($A$3:$A$62)),0))</f>
        <v>90861.002671733673</v>
      </c>
      <c r="K431">
        <f t="array" ref="K431">INDEX($G$3:$G$200,MATCH(1, (YEAR(I431)=YEAR($A$3:$A$2000))*(MONTH(I431)=MONTH($A$3:$A$2000)),0))</f>
        <v>143535.37627820467</v>
      </c>
      <c r="L431">
        <f t="shared" si="13"/>
        <v>85309.624954268991</v>
      </c>
    </row>
    <row r="432" spans="4:12" x14ac:dyDescent="0.25">
      <c r="D432">
        <f t="shared" si="12"/>
        <v>0</v>
      </c>
      <c r="H432">
        <v>430</v>
      </c>
      <c r="I432" s="1">
        <v>45389</v>
      </c>
      <c r="J432">
        <f t="array" ref="J432">INDEX($D$3:$D$62,MATCH(1, (YEAR(I432)=YEAR($A$3:$A$62))*(MONTH(I432)=MONTH($A$3:$A$62)),0))</f>
        <v>90861.002671733673</v>
      </c>
      <c r="K432">
        <f t="array" ref="K432">INDEX($G$3:$G$200,MATCH(1, (YEAR(I432)=YEAR($A$3:$A$2000))*(MONTH(I432)=MONTH($A$3:$A$2000)),0))</f>
        <v>143535.37627820467</v>
      </c>
      <c r="L432">
        <f t="shared" si="13"/>
        <v>85217.628126303985</v>
      </c>
    </row>
    <row r="433" spans="4:12" x14ac:dyDescent="0.25">
      <c r="D433">
        <f t="shared" si="12"/>
        <v>0</v>
      </c>
      <c r="H433">
        <v>431</v>
      </c>
      <c r="I433" s="1">
        <v>45390</v>
      </c>
      <c r="J433">
        <f t="array" ref="J433">INDEX($D$3:$D$62,MATCH(1, (YEAR(I433)=YEAR($A$3:$A$62))*(MONTH(I433)=MONTH($A$3:$A$62)),0))</f>
        <v>90861.002671733673</v>
      </c>
      <c r="K433">
        <f t="array" ref="K433">INDEX($G$3:$G$200,MATCH(1, (YEAR(I433)=YEAR($A$3:$A$2000))*(MONTH(I433)=MONTH($A$3:$A$2000)),0))</f>
        <v>143535.37627820467</v>
      </c>
      <c r="L433">
        <f t="shared" si="13"/>
        <v>85125.797567678994</v>
      </c>
    </row>
    <row r="434" spans="4:12" x14ac:dyDescent="0.25">
      <c r="D434">
        <f t="shared" si="12"/>
        <v>0</v>
      </c>
      <c r="H434">
        <v>432</v>
      </c>
      <c r="I434" s="1">
        <v>45391</v>
      </c>
      <c r="J434">
        <f t="array" ref="J434">INDEX($D$3:$D$62,MATCH(1, (YEAR(I434)=YEAR($A$3:$A$62))*(MONTH(I434)=MONTH($A$3:$A$62)),0))</f>
        <v>90861.002671733673</v>
      </c>
      <c r="K434">
        <f t="array" ref="K434">INDEX($G$3:$G$200,MATCH(1, (YEAR(I434)=YEAR($A$3:$A$2000))*(MONTH(I434)=MONTH($A$3:$A$2000)),0))</f>
        <v>143535.37627820467</v>
      </c>
      <c r="L434">
        <f t="shared" si="13"/>
        <v>85034.132979743998</v>
      </c>
    </row>
    <row r="435" spans="4:12" x14ac:dyDescent="0.25">
      <c r="D435">
        <f t="shared" si="12"/>
        <v>0</v>
      </c>
      <c r="H435">
        <v>433</v>
      </c>
      <c r="I435" s="1">
        <v>45392</v>
      </c>
      <c r="J435">
        <f t="array" ref="J435">INDEX($D$3:$D$62,MATCH(1, (YEAR(I435)=YEAR($A$3:$A$62))*(MONTH(I435)=MONTH($A$3:$A$62)),0))</f>
        <v>90861.002671733673</v>
      </c>
      <c r="K435">
        <f t="array" ref="K435">INDEX($G$3:$G$200,MATCH(1, (YEAR(I435)=YEAR($A$3:$A$2000))*(MONTH(I435)=MONTH($A$3:$A$2000)),0))</f>
        <v>143535.37627820467</v>
      </c>
      <c r="L435">
        <f t="shared" si="13"/>
        <v>84942.63406413699</v>
      </c>
    </row>
    <row r="436" spans="4:12" x14ac:dyDescent="0.25">
      <c r="D436">
        <f t="shared" si="12"/>
        <v>0</v>
      </c>
      <c r="H436">
        <v>434</v>
      </c>
      <c r="I436" s="1">
        <v>45393</v>
      </c>
      <c r="J436">
        <f t="array" ref="J436">INDEX($D$3:$D$62,MATCH(1, (YEAR(I436)=YEAR($A$3:$A$62))*(MONTH(I436)=MONTH($A$3:$A$62)),0))</f>
        <v>90861.002671733673</v>
      </c>
      <c r="K436">
        <f t="array" ref="K436">INDEX($G$3:$G$200,MATCH(1, (YEAR(I436)=YEAR($A$3:$A$2000))*(MONTH(I436)=MONTH($A$3:$A$2000)),0))</f>
        <v>143535.37627820467</v>
      </c>
      <c r="L436">
        <f t="shared" si="13"/>
        <v>84851.300522783989</v>
      </c>
    </row>
    <row r="437" spans="4:12" x14ac:dyDescent="0.25">
      <c r="D437">
        <f t="shared" si="12"/>
        <v>0</v>
      </c>
      <c r="H437">
        <v>435</v>
      </c>
      <c r="I437" s="1">
        <v>45394</v>
      </c>
      <c r="J437">
        <f t="array" ref="J437">INDEX($D$3:$D$62,MATCH(1, (YEAR(I437)=YEAR($A$3:$A$62))*(MONTH(I437)=MONTH($A$3:$A$62)),0))</f>
        <v>90861.002671733673</v>
      </c>
      <c r="K437">
        <f t="array" ref="K437">INDEX($G$3:$G$200,MATCH(1, (YEAR(I437)=YEAR($A$3:$A$2000))*(MONTH(I437)=MONTH($A$3:$A$2000)),0))</f>
        <v>143535.37627820467</v>
      </c>
      <c r="L437">
        <f t="shared" si="13"/>
        <v>84760.132057898983</v>
      </c>
    </row>
    <row r="438" spans="4:12" x14ac:dyDescent="0.25">
      <c r="D438">
        <f t="shared" si="12"/>
        <v>0</v>
      </c>
      <c r="H438">
        <v>436</v>
      </c>
      <c r="I438" s="1">
        <v>45395</v>
      </c>
      <c r="J438">
        <f t="array" ref="J438">INDEX($D$3:$D$62,MATCH(1, (YEAR(I438)=YEAR($A$3:$A$62))*(MONTH(I438)=MONTH($A$3:$A$62)),0))</f>
        <v>90861.002671733673</v>
      </c>
      <c r="K438">
        <f t="array" ref="K438">INDEX($G$3:$G$200,MATCH(1, (YEAR(I438)=YEAR($A$3:$A$2000))*(MONTH(I438)=MONTH($A$3:$A$2000)),0))</f>
        <v>143535.37627820467</v>
      </c>
      <c r="L438">
        <f t="shared" si="13"/>
        <v>84669.128371983985</v>
      </c>
    </row>
    <row r="439" spans="4:12" x14ac:dyDescent="0.25">
      <c r="D439">
        <f t="shared" si="12"/>
        <v>0</v>
      </c>
      <c r="H439">
        <v>437</v>
      </c>
      <c r="I439" s="1">
        <v>45396</v>
      </c>
      <c r="J439">
        <f t="array" ref="J439">INDEX($D$3:$D$62,MATCH(1, (YEAR(I439)=YEAR($A$3:$A$62))*(MONTH(I439)=MONTH($A$3:$A$62)),0))</f>
        <v>90861.002671733673</v>
      </c>
      <c r="K439">
        <f t="array" ref="K439">INDEX($G$3:$G$200,MATCH(1, (YEAR(I439)=YEAR($A$3:$A$2000))*(MONTH(I439)=MONTH($A$3:$A$2000)),0))</f>
        <v>143535.37627820467</v>
      </c>
      <c r="L439">
        <f t="shared" si="13"/>
        <v>84578.289167828989</v>
      </c>
    </row>
    <row r="440" spans="4:12" x14ac:dyDescent="0.25">
      <c r="D440">
        <f t="shared" si="12"/>
        <v>0</v>
      </c>
      <c r="H440">
        <v>438</v>
      </c>
      <c r="I440" s="1">
        <v>45397</v>
      </c>
      <c r="J440">
        <f t="array" ref="J440">INDEX($D$3:$D$62,MATCH(1, (YEAR(I440)=YEAR($A$3:$A$62))*(MONTH(I440)=MONTH($A$3:$A$62)),0))</f>
        <v>90861.002671733673</v>
      </c>
      <c r="K440">
        <f t="array" ref="K440">INDEX($G$3:$G$200,MATCH(1, (YEAR(I440)=YEAR($A$3:$A$2000))*(MONTH(I440)=MONTH($A$3:$A$2000)),0))</f>
        <v>143535.37627820467</v>
      </c>
      <c r="L440">
        <f t="shared" si="13"/>
        <v>84487.614148511988</v>
      </c>
    </row>
    <row r="441" spans="4:12" x14ac:dyDescent="0.25">
      <c r="D441">
        <f t="shared" si="12"/>
        <v>0</v>
      </c>
      <c r="H441">
        <v>439</v>
      </c>
      <c r="I441" s="1">
        <v>45398</v>
      </c>
      <c r="J441">
        <f t="array" ref="J441">INDEX($D$3:$D$62,MATCH(1, (YEAR(I441)=YEAR($A$3:$A$62))*(MONTH(I441)=MONTH($A$3:$A$62)),0))</f>
        <v>90861.002671733673</v>
      </c>
      <c r="K441">
        <f t="array" ref="K441">INDEX($G$3:$G$200,MATCH(1, (YEAR(I441)=YEAR($A$3:$A$2000))*(MONTH(I441)=MONTH($A$3:$A$2000)),0))</f>
        <v>143535.37627820467</v>
      </c>
      <c r="L441">
        <f t="shared" si="13"/>
        <v>84397.103017398986</v>
      </c>
    </row>
    <row r="442" spans="4:12" x14ac:dyDescent="0.25">
      <c r="D442">
        <f t="shared" si="12"/>
        <v>0</v>
      </c>
      <c r="H442">
        <v>440</v>
      </c>
      <c r="I442" s="1">
        <v>45399</v>
      </c>
      <c r="J442">
        <f t="array" ref="J442">INDEX($D$3:$D$62,MATCH(1, (YEAR(I442)=YEAR($A$3:$A$62))*(MONTH(I442)=MONTH($A$3:$A$62)),0))</f>
        <v>90861.002671733673</v>
      </c>
      <c r="K442">
        <f t="array" ref="K442">INDEX($G$3:$G$200,MATCH(1, (YEAR(I442)=YEAR($A$3:$A$2000))*(MONTH(I442)=MONTH($A$3:$A$2000)),0))</f>
        <v>143535.37627820467</v>
      </c>
      <c r="L442">
        <f t="shared" si="13"/>
        <v>84306.755478143983</v>
      </c>
    </row>
    <row r="443" spans="4:12" x14ac:dyDescent="0.25">
      <c r="D443">
        <f t="shared" si="12"/>
        <v>0</v>
      </c>
      <c r="H443">
        <v>441</v>
      </c>
      <c r="I443" s="1">
        <v>45400</v>
      </c>
      <c r="J443">
        <f t="array" ref="J443">INDEX($D$3:$D$62,MATCH(1, (YEAR(I443)=YEAR($A$3:$A$62))*(MONTH(I443)=MONTH($A$3:$A$62)),0))</f>
        <v>90861.002671733673</v>
      </c>
      <c r="K443">
        <f t="array" ref="K443">INDEX($G$3:$G$200,MATCH(1, (YEAR(I443)=YEAR($A$3:$A$2000))*(MONTH(I443)=MONTH($A$3:$A$2000)),0))</f>
        <v>143535.37627820467</v>
      </c>
      <c r="L443">
        <f t="shared" si="13"/>
        <v>84216.571234688978</v>
      </c>
    </row>
    <row r="444" spans="4:12" x14ac:dyDescent="0.25">
      <c r="D444">
        <f t="shared" si="12"/>
        <v>0</v>
      </c>
      <c r="H444">
        <v>442</v>
      </c>
      <c r="I444" s="1">
        <v>45401</v>
      </c>
      <c r="J444">
        <f t="array" ref="J444">INDEX($D$3:$D$62,MATCH(1, (YEAR(I444)=YEAR($A$3:$A$62))*(MONTH(I444)=MONTH($A$3:$A$62)),0))</f>
        <v>90861.002671733673</v>
      </c>
      <c r="K444">
        <f t="array" ref="K444">INDEX($G$3:$G$200,MATCH(1, (YEAR(I444)=YEAR($A$3:$A$2000))*(MONTH(I444)=MONTH($A$3:$A$2000)),0))</f>
        <v>143535.37627820467</v>
      </c>
      <c r="L444">
        <f t="shared" si="13"/>
        <v>84126.549991263993</v>
      </c>
    </row>
    <row r="445" spans="4:12" x14ac:dyDescent="0.25">
      <c r="D445">
        <f t="shared" si="12"/>
        <v>0</v>
      </c>
      <c r="H445">
        <v>443</v>
      </c>
      <c r="I445" s="1">
        <v>45402</v>
      </c>
      <c r="J445">
        <f t="array" ref="J445">INDEX($D$3:$D$62,MATCH(1, (YEAR(I445)=YEAR($A$3:$A$62))*(MONTH(I445)=MONTH($A$3:$A$62)),0))</f>
        <v>90861.002671733673</v>
      </c>
      <c r="K445">
        <f t="array" ref="K445">INDEX($G$3:$G$200,MATCH(1, (YEAR(I445)=YEAR($A$3:$A$2000))*(MONTH(I445)=MONTH($A$3:$A$2000)),0))</f>
        <v>143535.37627820467</v>
      </c>
      <c r="L445">
        <f t="shared" si="13"/>
        <v>84036.691452386993</v>
      </c>
    </row>
    <row r="446" spans="4:12" x14ac:dyDescent="0.25">
      <c r="D446">
        <f t="shared" si="12"/>
        <v>0</v>
      </c>
      <c r="H446">
        <v>444</v>
      </c>
      <c r="I446" s="1">
        <v>45403</v>
      </c>
      <c r="J446">
        <f t="array" ref="J446">INDEX($D$3:$D$62,MATCH(1, (YEAR(I446)=YEAR($A$3:$A$62))*(MONTH(I446)=MONTH($A$3:$A$62)),0))</f>
        <v>90861.002671733673</v>
      </c>
      <c r="K446">
        <f t="array" ref="K446">INDEX($G$3:$G$200,MATCH(1, (YEAR(I446)=YEAR($A$3:$A$2000))*(MONTH(I446)=MONTH($A$3:$A$2000)),0))</f>
        <v>143535.37627820467</v>
      </c>
      <c r="L446">
        <f t="shared" si="13"/>
        <v>83946.995322863993</v>
      </c>
    </row>
    <row r="447" spans="4:12" x14ac:dyDescent="0.25">
      <c r="D447">
        <f t="shared" si="12"/>
        <v>0</v>
      </c>
      <c r="H447">
        <v>445</v>
      </c>
      <c r="I447" s="1">
        <v>45404</v>
      </c>
      <c r="J447">
        <f t="array" ref="J447">INDEX($D$3:$D$62,MATCH(1, (YEAR(I447)=YEAR($A$3:$A$62))*(MONTH(I447)=MONTH($A$3:$A$62)),0))</f>
        <v>90861.002671733673</v>
      </c>
      <c r="K447">
        <f t="array" ref="K447">INDEX($G$3:$G$200,MATCH(1, (YEAR(I447)=YEAR($A$3:$A$2000))*(MONTH(I447)=MONTH($A$3:$A$2000)),0))</f>
        <v>143535.37627820467</v>
      </c>
      <c r="L447">
        <f t="shared" si="13"/>
        <v>83857.461307788981</v>
      </c>
    </row>
    <row r="448" spans="4:12" x14ac:dyDescent="0.25">
      <c r="D448">
        <f t="shared" si="12"/>
        <v>0</v>
      </c>
      <c r="H448">
        <v>446</v>
      </c>
      <c r="I448" s="1">
        <v>45405</v>
      </c>
      <c r="J448">
        <f t="array" ref="J448">INDEX($D$3:$D$62,MATCH(1, (YEAR(I448)=YEAR($A$3:$A$62))*(MONTH(I448)=MONTH($A$3:$A$62)),0))</f>
        <v>90861.002671733673</v>
      </c>
      <c r="K448">
        <f t="array" ref="K448">INDEX($G$3:$G$200,MATCH(1, (YEAR(I448)=YEAR($A$3:$A$2000))*(MONTH(I448)=MONTH($A$3:$A$2000)),0))</f>
        <v>143535.37627820467</v>
      </c>
      <c r="L448">
        <f t="shared" si="13"/>
        <v>83768.089112543996</v>
      </c>
    </row>
    <row r="449" spans="4:12" x14ac:dyDescent="0.25">
      <c r="D449">
        <f t="shared" si="12"/>
        <v>0</v>
      </c>
      <c r="H449">
        <v>447</v>
      </c>
      <c r="I449" s="1">
        <v>45406</v>
      </c>
      <c r="J449">
        <f t="array" ref="J449">INDEX($D$3:$D$62,MATCH(1, (YEAR(I449)=YEAR($A$3:$A$62))*(MONTH(I449)=MONTH($A$3:$A$62)),0))</f>
        <v>90861.002671733673</v>
      </c>
      <c r="K449">
        <f t="array" ref="K449">INDEX($G$3:$G$200,MATCH(1, (YEAR(I449)=YEAR($A$3:$A$2000))*(MONTH(I449)=MONTH($A$3:$A$2000)),0))</f>
        <v>143535.37627820467</v>
      </c>
      <c r="L449">
        <f t="shared" si="13"/>
        <v>83678.878442798974</v>
      </c>
    </row>
    <row r="450" spans="4:12" x14ac:dyDescent="0.25">
      <c r="D450">
        <f t="shared" si="12"/>
        <v>0</v>
      </c>
      <c r="H450">
        <v>448</v>
      </c>
      <c r="I450" s="1">
        <v>45407</v>
      </c>
      <c r="J450">
        <f t="array" ref="J450">INDEX($D$3:$D$62,MATCH(1, (YEAR(I450)=YEAR($A$3:$A$62))*(MONTH(I450)=MONTH($A$3:$A$62)),0))</f>
        <v>90861.002671733673</v>
      </c>
      <c r="K450">
        <f t="array" ref="K450">INDEX($G$3:$G$200,MATCH(1, (YEAR(I450)=YEAR($A$3:$A$2000))*(MONTH(I450)=MONTH($A$3:$A$2000)),0))</f>
        <v>143535.37627820467</v>
      </c>
      <c r="L450">
        <f t="shared" si="13"/>
        <v>83589.829004511994</v>
      </c>
    </row>
    <row r="451" spans="4:12" x14ac:dyDescent="0.25">
      <c r="D451">
        <f t="shared" si="12"/>
        <v>0</v>
      </c>
      <c r="H451">
        <v>449</v>
      </c>
      <c r="I451" s="1">
        <v>45408</v>
      </c>
      <c r="J451">
        <f t="array" ref="J451">INDEX($D$3:$D$62,MATCH(1, (YEAR(I451)=YEAR($A$3:$A$62))*(MONTH(I451)=MONTH($A$3:$A$62)),0))</f>
        <v>90861.002671733673</v>
      </c>
      <c r="K451">
        <f t="array" ref="K451">INDEX($G$3:$G$200,MATCH(1, (YEAR(I451)=YEAR($A$3:$A$2000))*(MONTH(I451)=MONTH($A$3:$A$2000)),0))</f>
        <v>143535.37627820467</v>
      </c>
      <c r="L451">
        <f t="shared" si="13"/>
        <v>83500.940503929</v>
      </c>
    </row>
    <row r="452" spans="4:12" x14ac:dyDescent="0.25">
      <c r="D452">
        <f t="shared" ref="D452:D515" si="14">SUM(B452:C452)</f>
        <v>0</v>
      </c>
      <c r="H452">
        <v>450</v>
      </c>
      <c r="I452" s="1">
        <v>45409</v>
      </c>
      <c r="J452">
        <f t="array" ref="J452">INDEX($D$3:$D$62,MATCH(1, (YEAR(I452)=YEAR($A$3:$A$62))*(MONTH(I452)=MONTH($A$3:$A$62)),0))</f>
        <v>90861.002671733673</v>
      </c>
      <c r="K452">
        <f t="array" ref="K452">INDEX($G$3:$G$200,MATCH(1, (YEAR(I452)=YEAR($A$3:$A$2000))*(MONTH(I452)=MONTH($A$3:$A$2000)),0))</f>
        <v>143535.37627820467</v>
      </c>
      <c r="L452">
        <f t="shared" ref="L452:L515" si="15">0.000000012*H452^4-0.000070439*H452^3+0.160688168*H452^2-194.849290676*H452+144481.718306784</f>
        <v>83412.21264758399</v>
      </c>
    </row>
    <row r="453" spans="4:12" x14ac:dyDescent="0.25">
      <c r="D453">
        <f t="shared" si="14"/>
        <v>0</v>
      </c>
      <c r="H453">
        <v>451</v>
      </c>
      <c r="I453" s="1">
        <v>45410</v>
      </c>
      <c r="J453">
        <f t="array" ref="J453">INDEX($D$3:$D$62,MATCH(1, (YEAR(I453)=YEAR($A$3:$A$62))*(MONTH(I453)=MONTH($A$3:$A$62)),0))</f>
        <v>90861.002671733673</v>
      </c>
      <c r="K453">
        <f t="array" ref="K453">INDEX($G$3:$G$200,MATCH(1, (YEAR(I453)=YEAR($A$3:$A$2000))*(MONTH(I453)=MONTH($A$3:$A$2000)),0))</f>
        <v>143535.37627820467</v>
      </c>
      <c r="L453">
        <f t="shared" si="15"/>
        <v>83323.645142298992</v>
      </c>
    </row>
    <row r="454" spans="4:12" x14ac:dyDescent="0.25">
      <c r="D454">
        <f t="shared" si="14"/>
        <v>0</v>
      </c>
      <c r="H454">
        <v>452</v>
      </c>
      <c r="I454" s="1">
        <v>45411</v>
      </c>
      <c r="J454">
        <f t="array" ref="J454">INDEX($D$3:$D$62,MATCH(1, (YEAR(I454)=YEAR($A$3:$A$62))*(MONTH(I454)=MONTH($A$3:$A$62)),0))</f>
        <v>90861.002671733673</v>
      </c>
      <c r="K454">
        <f t="array" ref="K454">INDEX($G$3:$G$200,MATCH(1, (YEAR(I454)=YEAR($A$3:$A$2000))*(MONTH(I454)=MONTH($A$3:$A$2000)),0))</f>
        <v>143535.37627820467</v>
      </c>
      <c r="L454">
        <f t="shared" si="15"/>
        <v>83235.237695183983</v>
      </c>
    </row>
    <row r="455" spans="4:12" x14ac:dyDescent="0.25">
      <c r="D455">
        <f t="shared" si="14"/>
        <v>0</v>
      </c>
      <c r="H455">
        <v>453</v>
      </c>
      <c r="I455" s="1">
        <v>45412</v>
      </c>
      <c r="J455">
        <f t="array" ref="J455">INDEX($D$3:$D$62,MATCH(1, (YEAR(I455)=YEAR($A$3:$A$62))*(MONTH(I455)=MONTH($A$3:$A$62)),0))</f>
        <v>90861.002671733673</v>
      </c>
      <c r="K455">
        <f t="array" ref="K455">INDEX($G$3:$G$200,MATCH(1, (YEAR(I455)=YEAR($A$3:$A$2000))*(MONTH(I455)=MONTH($A$3:$A$2000)),0))</f>
        <v>143535.37627820467</v>
      </c>
      <c r="L455">
        <f t="shared" si="15"/>
        <v>83146.990013636998</v>
      </c>
    </row>
    <row r="456" spans="4:12" x14ac:dyDescent="0.25">
      <c r="D456">
        <f t="shared" si="14"/>
        <v>0</v>
      </c>
      <c r="H456">
        <v>454</v>
      </c>
      <c r="I456" s="1">
        <v>45413</v>
      </c>
      <c r="J456">
        <f t="array" ref="J456">INDEX($D$3:$D$62,MATCH(1, (YEAR(I456)=YEAR($A$3:$A$62))*(MONTH(I456)=MONTH($A$3:$A$62)),0))</f>
        <v>87689.285097945321</v>
      </c>
      <c r="K456">
        <f t="array" ref="K456">INDEX($G$3:$G$200,MATCH(1, (YEAR(I456)=YEAR($A$3:$A$2000))*(MONTH(I456)=MONTH($A$3:$A$2000)),0))</f>
        <v>139070.58852555123</v>
      </c>
      <c r="L456">
        <f t="shared" si="15"/>
        <v>83058.90180534398</v>
      </c>
    </row>
    <row r="457" spans="4:12" x14ac:dyDescent="0.25">
      <c r="D457">
        <f t="shared" si="14"/>
        <v>0</v>
      </c>
      <c r="H457">
        <v>455</v>
      </c>
      <c r="I457" s="1">
        <v>45414</v>
      </c>
      <c r="J457">
        <f t="array" ref="J457">INDEX($D$3:$D$62,MATCH(1, (YEAR(I457)=YEAR($A$3:$A$62))*(MONTH(I457)=MONTH($A$3:$A$62)),0))</f>
        <v>87689.285097945321</v>
      </c>
      <c r="K457">
        <f t="array" ref="K457">INDEX($G$3:$G$200,MATCH(1, (YEAR(I457)=YEAR($A$3:$A$2000))*(MONTH(I457)=MONTH($A$3:$A$2000)),0))</f>
        <v>139070.58852555123</v>
      </c>
      <c r="L457">
        <f t="shared" si="15"/>
        <v>82970.972778278985</v>
      </c>
    </row>
    <row r="458" spans="4:12" x14ac:dyDescent="0.25">
      <c r="D458">
        <f t="shared" si="14"/>
        <v>0</v>
      </c>
      <c r="H458">
        <v>456</v>
      </c>
      <c r="I458" s="1">
        <v>45415</v>
      </c>
      <c r="J458">
        <f t="array" ref="J458">INDEX($D$3:$D$62,MATCH(1, (YEAR(I458)=YEAR($A$3:$A$62))*(MONTH(I458)=MONTH($A$3:$A$62)),0))</f>
        <v>87689.285097945321</v>
      </c>
      <c r="K458">
        <f t="array" ref="K458">INDEX($G$3:$G$200,MATCH(1, (YEAR(I458)=YEAR($A$3:$A$2000))*(MONTH(I458)=MONTH($A$3:$A$2000)),0))</f>
        <v>139070.58852555123</v>
      </c>
      <c r="L458">
        <f t="shared" si="15"/>
        <v>82883.202640703996</v>
      </c>
    </row>
    <row r="459" spans="4:12" x14ac:dyDescent="0.25">
      <c r="D459">
        <f t="shared" si="14"/>
        <v>0</v>
      </c>
      <c r="H459">
        <v>457</v>
      </c>
      <c r="I459" s="1">
        <v>45416</v>
      </c>
      <c r="J459">
        <f t="array" ref="J459">INDEX($D$3:$D$62,MATCH(1, (YEAR(I459)=YEAR($A$3:$A$62))*(MONTH(I459)=MONTH($A$3:$A$62)),0))</f>
        <v>87689.285097945321</v>
      </c>
      <c r="K459">
        <f t="array" ref="K459">INDEX($G$3:$G$200,MATCH(1, (YEAR(I459)=YEAR($A$3:$A$2000))*(MONTH(I459)=MONTH($A$3:$A$2000)),0))</f>
        <v>139070.58852555123</v>
      </c>
      <c r="L459">
        <f t="shared" si="15"/>
        <v>82795.591101169004</v>
      </c>
    </row>
    <row r="460" spans="4:12" x14ac:dyDescent="0.25">
      <c r="D460">
        <f t="shared" si="14"/>
        <v>0</v>
      </c>
      <c r="H460">
        <v>458</v>
      </c>
      <c r="I460" s="1">
        <v>45417</v>
      </c>
      <c r="J460">
        <f t="array" ref="J460">INDEX($D$3:$D$62,MATCH(1, (YEAR(I460)=YEAR($A$3:$A$62))*(MONTH(I460)=MONTH($A$3:$A$62)),0))</f>
        <v>87689.285097945321</v>
      </c>
      <c r="K460">
        <f t="array" ref="K460">INDEX($G$3:$G$200,MATCH(1, (YEAR(I460)=YEAR($A$3:$A$2000))*(MONTH(I460)=MONTH($A$3:$A$2000)),0))</f>
        <v>139070.58852555123</v>
      </c>
      <c r="L460">
        <f t="shared" si="15"/>
        <v>82708.137868511985</v>
      </c>
    </row>
    <row r="461" spans="4:12" x14ac:dyDescent="0.25">
      <c r="D461">
        <f t="shared" si="14"/>
        <v>0</v>
      </c>
      <c r="H461">
        <v>459</v>
      </c>
      <c r="I461" s="1">
        <v>45418</v>
      </c>
      <c r="J461">
        <f t="array" ref="J461">INDEX($D$3:$D$62,MATCH(1, (YEAR(I461)=YEAR($A$3:$A$62))*(MONTH(I461)=MONTH($A$3:$A$62)),0))</f>
        <v>87689.285097945321</v>
      </c>
      <c r="K461">
        <f t="array" ref="K461">INDEX($G$3:$G$200,MATCH(1, (YEAR(I461)=YEAR($A$3:$A$2000))*(MONTH(I461)=MONTH($A$3:$A$2000)),0))</f>
        <v>139070.58852555123</v>
      </c>
      <c r="L461">
        <f t="shared" si="15"/>
        <v>82620.842651858984</v>
      </c>
    </row>
    <row r="462" spans="4:12" x14ac:dyDescent="0.25">
      <c r="D462">
        <f t="shared" si="14"/>
        <v>0</v>
      </c>
      <c r="H462">
        <v>460</v>
      </c>
      <c r="I462" s="1">
        <v>45419</v>
      </c>
      <c r="J462">
        <f t="array" ref="J462">INDEX($D$3:$D$62,MATCH(1, (YEAR(I462)=YEAR($A$3:$A$62))*(MONTH(I462)=MONTH($A$3:$A$62)),0))</f>
        <v>87689.285097945321</v>
      </c>
      <c r="K462">
        <f t="array" ref="K462">INDEX($G$3:$G$200,MATCH(1, (YEAR(I462)=YEAR($A$3:$A$2000))*(MONTH(I462)=MONTH($A$3:$A$2000)),0))</f>
        <v>139070.58852555123</v>
      </c>
      <c r="L462">
        <f t="shared" si="15"/>
        <v>82533.705160623998</v>
      </c>
    </row>
    <row r="463" spans="4:12" x14ac:dyDescent="0.25">
      <c r="D463">
        <f t="shared" si="14"/>
        <v>0</v>
      </c>
      <c r="H463">
        <v>461</v>
      </c>
      <c r="I463" s="1">
        <v>45420</v>
      </c>
      <c r="J463">
        <f t="array" ref="J463">INDEX($D$3:$D$62,MATCH(1, (YEAR(I463)=YEAR($A$3:$A$62))*(MONTH(I463)=MONTH($A$3:$A$62)),0))</f>
        <v>87689.285097945321</v>
      </c>
      <c r="K463">
        <f t="array" ref="K463">INDEX($G$3:$G$200,MATCH(1, (YEAR(I463)=YEAR($A$3:$A$2000))*(MONTH(I463)=MONTH($A$3:$A$2000)),0))</f>
        <v>139070.58852555123</v>
      </c>
      <c r="L463">
        <f t="shared" si="15"/>
        <v>82446.725104508994</v>
      </c>
    </row>
    <row r="464" spans="4:12" x14ac:dyDescent="0.25">
      <c r="D464">
        <f t="shared" si="14"/>
        <v>0</v>
      </c>
      <c r="H464">
        <v>462</v>
      </c>
      <c r="I464" s="1">
        <v>45421</v>
      </c>
      <c r="J464">
        <f t="array" ref="J464">INDEX($D$3:$D$62,MATCH(1, (YEAR(I464)=YEAR($A$3:$A$62))*(MONTH(I464)=MONTH($A$3:$A$62)),0))</f>
        <v>87689.285097945321</v>
      </c>
      <c r="K464">
        <f t="array" ref="K464">INDEX($G$3:$G$200,MATCH(1, (YEAR(I464)=YEAR($A$3:$A$2000))*(MONTH(I464)=MONTH($A$3:$A$2000)),0))</f>
        <v>139070.58852555123</v>
      </c>
      <c r="L464">
        <f t="shared" si="15"/>
        <v>82359.902193503978</v>
      </c>
    </row>
    <row r="465" spans="4:12" x14ac:dyDescent="0.25">
      <c r="D465">
        <f t="shared" si="14"/>
        <v>0</v>
      </c>
      <c r="H465">
        <v>463</v>
      </c>
      <c r="I465" s="1">
        <v>45422</v>
      </c>
      <c r="J465">
        <f t="array" ref="J465">INDEX($D$3:$D$62,MATCH(1, (YEAR(I465)=YEAR($A$3:$A$62))*(MONTH(I465)=MONTH($A$3:$A$62)),0))</f>
        <v>87689.285097945321</v>
      </c>
      <c r="K465">
        <f t="array" ref="K465">INDEX($G$3:$G$200,MATCH(1, (YEAR(I465)=YEAR($A$3:$A$2000))*(MONTH(I465)=MONTH($A$3:$A$2000)),0))</f>
        <v>139070.58852555123</v>
      </c>
      <c r="L465">
        <f t="shared" si="15"/>
        <v>82273.236137886997</v>
      </c>
    </row>
    <row r="466" spans="4:12" x14ac:dyDescent="0.25">
      <c r="D466">
        <f t="shared" si="14"/>
        <v>0</v>
      </c>
      <c r="H466">
        <v>464</v>
      </c>
      <c r="I466" s="1">
        <v>45423</v>
      </c>
      <c r="J466">
        <f t="array" ref="J466">INDEX($D$3:$D$62,MATCH(1, (YEAR(I466)=YEAR($A$3:$A$62))*(MONTH(I466)=MONTH($A$3:$A$62)),0))</f>
        <v>87689.285097945321</v>
      </c>
      <c r="K466">
        <f t="array" ref="K466">INDEX($G$3:$G$200,MATCH(1, (YEAR(I466)=YEAR($A$3:$A$2000))*(MONTH(I466)=MONTH($A$3:$A$2000)),0))</f>
        <v>139070.58852555123</v>
      </c>
      <c r="L466">
        <f t="shared" si="15"/>
        <v>82186.726648223979</v>
      </c>
    </row>
    <row r="467" spans="4:12" x14ac:dyDescent="0.25">
      <c r="D467">
        <f t="shared" si="14"/>
        <v>0</v>
      </c>
      <c r="H467">
        <v>465</v>
      </c>
      <c r="I467" s="1">
        <v>45424</v>
      </c>
      <c r="J467">
        <f t="array" ref="J467">INDEX($D$3:$D$62,MATCH(1, (YEAR(I467)=YEAR($A$3:$A$62))*(MONTH(I467)=MONTH($A$3:$A$62)),0))</f>
        <v>87689.285097945321</v>
      </c>
      <c r="K467">
        <f t="array" ref="K467">INDEX($G$3:$G$200,MATCH(1, (YEAR(I467)=YEAR($A$3:$A$2000))*(MONTH(I467)=MONTH($A$3:$A$2000)),0))</f>
        <v>139070.58852555123</v>
      </c>
      <c r="L467">
        <f t="shared" si="15"/>
        <v>82100.373435368994</v>
      </c>
    </row>
    <row r="468" spans="4:12" x14ac:dyDescent="0.25">
      <c r="D468">
        <f t="shared" si="14"/>
        <v>0</v>
      </c>
      <c r="H468">
        <v>466</v>
      </c>
      <c r="I468" s="1">
        <v>45425</v>
      </c>
      <c r="J468">
        <f t="array" ref="J468">INDEX($D$3:$D$62,MATCH(1, (YEAR(I468)=YEAR($A$3:$A$62))*(MONTH(I468)=MONTH($A$3:$A$62)),0))</f>
        <v>87689.285097945321</v>
      </c>
      <c r="K468">
        <f t="array" ref="K468">INDEX($G$3:$G$200,MATCH(1, (YEAR(I468)=YEAR($A$3:$A$2000))*(MONTH(I468)=MONTH($A$3:$A$2000)),0))</f>
        <v>139070.58852555123</v>
      </c>
      <c r="L468">
        <f t="shared" si="15"/>
        <v>82014.176210463978</v>
      </c>
    </row>
    <row r="469" spans="4:12" x14ac:dyDescent="0.25">
      <c r="D469">
        <f t="shared" si="14"/>
        <v>0</v>
      </c>
      <c r="H469">
        <v>467</v>
      </c>
      <c r="I469" s="1">
        <v>45426</v>
      </c>
      <c r="J469">
        <f t="array" ref="J469">INDEX($D$3:$D$62,MATCH(1, (YEAR(I469)=YEAR($A$3:$A$62))*(MONTH(I469)=MONTH($A$3:$A$62)),0))</f>
        <v>87689.285097945321</v>
      </c>
      <c r="K469">
        <f t="array" ref="K469">INDEX($G$3:$G$200,MATCH(1, (YEAR(I469)=YEAR($A$3:$A$2000))*(MONTH(I469)=MONTH($A$3:$A$2000)),0))</f>
        <v>139070.58852555123</v>
      </c>
      <c r="L469">
        <f t="shared" si="15"/>
        <v>81928.134684938996</v>
      </c>
    </row>
    <row r="470" spans="4:12" x14ac:dyDescent="0.25">
      <c r="D470">
        <f t="shared" si="14"/>
        <v>0</v>
      </c>
      <c r="H470">
        <v>468</v>
      </c>
      <c r="I470" s="1">
        <v>45427</v>
      </c>
      <c r="J470">
        <f t="array" ref="J470">INDEX($D$3:$D$62,MATCH(1, (YEAR(I470)=YEAR($A$3:$A$62))*(MONTH(I470)=MONTH($A$3:$A$62)),0))</f>
        <v>87689.285097945321</v>
      </c>
      <c r="K470">
        <f t="array" ref="K470">INDEX($G$3:$G$200,MATCH(1, (YEAR(I470)=YEAR($A$3:$A$2000))*(MONTH(I470)=MONTH($A$3:$A$2000)),0))</f>
        <v>139070.58852555123</v>
      </c>
      <c r="L470">
        <f t="shared" si="15"/>
        <v>81842.248570511991</v>
      </c>
    </row>
    <row r="471" spans="4:12" x14ac:dyDescent="0.25">
      <c r="D471">
        <f t="shared" si="14"/>
        <v>0</v>
      </c>
      <c r="H471">
        <v>469</v>
      </c>
      <c r="I471" s="1">
        <v>45428</v>
      </c>
      <c r="J471">
        <f t="array" ref="J471">INDEX($D$3:$D$62,MATCH(1, (YEAR(I471)=YEAR($A$3:$A$62))*(MONTH(I471)=MONTH($A$3:$A$62)),0))</f>
        <v>87689.285097945321</v>
      </c>
      <c r="K471">
        <f t="array" ref="K471">INDEX($G$3:$G$200,MATCH(1, (YEAR(I471)=YEAR($A$3:$A$2000))*(MONTH(I471)=MONTH($A$3:$A$2000)),0))</f>
        <v>139070.58852555123</v>
      </c>
      <c r="L471">
        <f t="shared" si="15"/>
        <v>81756.517579188992</v>
      </c>
    </row>
    <row r="472" spans="4:12" x14ac:dyDescent="0.25">
      <c r="D472">
        <f t="shared" si="14"/>
        <v>0</v>
      </c>
      <c r="H472">
        <v>470</v>
      </c>
      <c r="I472" s="1">
        <v>45429</v>
      </c>
      <c r="J472">
        <f t="array" ref="J472">INDEX($D$3:$D$62,MATCH(1, (YEAR(I472)=YEAR($A$3:$A$62))*(MONTH(I472)=MONTH($A$3:$A$62)),0))</f>
        <v>87689.285097945321</v>
      </c>
      <c r="K472">
        <f t="array" ref="K472">INDEX($G$3:$G$200,MATCH(1, (YEAR(I472)=YEAR($A$3:$A$2000))*(MONTH(I472)=MONTH($A$3:$A$2000)),0))</f>
        <v>139070.58852555123</v>
      </c>
      <c r="L472">
        <f t="shared" si="15"/>
        <v>81670.941423263983</v>
      </c>
    </row>
    <row r="473" spans="4:12" x14ac:dyDescent="0.25">
      <c r="D473">
        <f t="shared" si="14"/>
        <v>0</v>
      </c>
      <c r="H473">
        <v>471</v>
      </c>
      <c r="I473" s="1">
        <v>45430</v>
      </c>
      <c r="J473">
        <f t="array" ref="J473">INDEX($D$3:$D$62,MATCH(1, (YEAR(I473)=YEAR($A$3:$A$62))*(MONTH(I473)=MONTH($A$3:$A$62)),0))</f>
        <v>87689.285097945321</v>
      </c>
      <c r="K473">
        <f t="array" ref="K473">INDEX($G$3:$G$200,MATCH(1, (YEAR(I473)=YEAR($A$3:$A$2000))*(MONTH(I473)=MONTH($A$3:$A$2000)),0))</f>
        <v>139070.58852555123</v>
      </c>
      <c r="L473">
        <f t="shared" si="15"/>
        <v>81585.519815318985</v>
      </c>
    </row>
    <row r="474" spans="4:12" x14ac:dyDescent="0.25">
      <c r="D474">
        <f t="shared" si="14"/>
        <v>0</v>
      </c>
      <c r="H474">
        <v>472</v>
      </c>
      <c r="I474" s="1">
        <v>45431</v>
      </c>
      <c r="J474">
        <f t="array" ref="J474">INDEX($D$3:$D$62,MATCH(1, (YEAR(I474)=YEAR($A$3:$A$62))*(MONTH(I474)=MONTH($A$3:$A$62)),0))</f>
        <v>87689.285097945321</v>
      </c>
      <c r="K474">
        <f t="array" ref="K474">INDEX($G$3:$G$200,MATCH(1, (YEAR(I474)=YEAR($A$3:$A$2000))*(MONTH(I474)=MONTH($A$3:$A$2000)),0))</f>
        <v>139070.58852555123</v>
      </c>
      <c r="L474">
        <f t="shared" si="15"/>
        <v>81500.252468223975</v>
      </c>
    </row>
    <row r="475" spans="4:12" x14ac:dyDescent="0.25">
      <c r="D475">
        <f t="shared" si="14"/>
        <v>0</v>
      </c>
      <c r="H475">
        <v>473</v>
      </c>
      <c r="I475" s="1">
        <v>45432</v>
      </c>
      <c r="J475">
        <f t="array" ref="J475">INDEX($D$3:$D$62,MATCH(1, (YEAR(I475)=YEAR($A$3:$A$62))*(MONTH(I475)=MONTH($A$3:$A$62)),0))</f>
        <v>87689.285097945321</v>
      </c>
      <c r="K475">
        <f t="array" ref="K475">INDEX($G$3:$G$200,MATCH(1, (YEAR(I475)=YEAR($A$3:$A$2000))*(MONTH(I475)=MONTH($A$3:$A$2000)),0))</f>
        <v>139070.58852555123</v>
      </c>
      <c r="L475">
        <f t="shared" si="15"/>
        <v>81415.139095136983</v>
      </c>
    </row>
    <row r="476" spans="4:12" x14ac:dyDescent="0.25">
      <c r="D476">
        <f t="shared" si="14"/>
        <v>0</v>
      </c>
      <c r="H476">
        <v>474</v>
      </c>
      <c r="I476" s="1">
        <v>45433</v>
      </c>
      <c r="J476">
        <f t="array" ref="J476">INDEX($D$3:$D$62,MATCH(1, (YEAR(I476)=YEAR($A$3:$A$62))*(MONTH(I476)=MONTH($A$3:$A$62)),0))</f>
        <v>87689.285097945321</v>
      </c>
      <c r="K476">
        <f t="array" ref="K476">INDEX($G$3:$G$200,MATCH(1, (YEAR(I476)=YEAR($A$3:$A$2000))*(MONTH(I476)=MONTH($A$3:$A$2000)),0))</f>
        <v>139070.58852555123</v>
      </c>
      <c r="L476">
        <f t="shared" si="15"/>
        <v>81330.17940950398</v>
      </c>
    </row>
    <row r="477" spans="4:12" x14ac:dyDescent="0.25">
      <c r="D477">
        <f t="shared" si="14"/>
        <v>0</v>
      </c>
      <c r="H477">
        <v>475</v>
      </c>
      <c r="I477" s="1">
        <v>45434</v>
      </c>
      <c r="J477">
        <f t="array" ref="J477">INDEX($D$3:$D$62,MATCH(1, (YEAR(I477)=YEAR($A$3:$A$62))*(MONTH(I477)=MONTH($A$3:$A$62)),0))</f>
        <v>87689.285097945321</v>
      </c>
      <c r="K477">
        <f t="array" ref="K477">INDEX($G$3:$G$200,MATCH(1, (YEAR(I477)=YEAR($A$3:$A$2000))*(MONTH(I477)=MONTH($A$3:$A$2000)),0))</f>
        <v>139070.58852555123</v>
      </c>
      <c r="L477">
        <f t="shared" si="15"/>
        <v>81245.373125058992</v>
      </c>
    </row>
    <row r="478" spans="4:12" x14ac:dyDescent="0.25">
      <c r="D478">
        <f t="shared" si="14"/>
        <v>0</v>
      </c>
      <c r="H478">
        <v>476</v>
      </c>
      <c r="I478" s="1">
        <v>45435</v>
      </c>
      <c r="J478">
        <f t="array" ref="J478">INDEX($D$3:$D$62,MATCH(1, (YEAR(I478)=YEAR($A$3:$A$62))*(MONTH(I478)=MONTH($A$3:$A$62)),0))</f>
        <v>87689.285097945321</v>
      </c>
      <c r="K478">
        <f t="array" ref="K478">INDEX($G$3:$G$200,MATCH(1, (YEAR(I478)=YEAR($A$3:$A$2000))*(MONTH(I478)=MONTH($A$3:$A$2000)),0))</f>
        <v>139070.58852555123</v>
      </c>
      <c r="L478">
        <f t="shared" si="15"/>
        <v>81160.719955823981</v>
      </c>
    </row>
    <row r="479" spans="4:12" x14ac:dyDescent="0.25">
      <c r="D479">
        <f t="shared" si="14"/>
        <v>0</v>
      </c>
      <c r="H479">
        <v>477</v>
      </c>
      <c r="I479" s="1">
        <v>45436</v>
      </c>
      <c r="J479">
        <f t="array" ref="J479">INDEX($D$3:$D$62,MATCH(1, (YEAR(I479)=YEAR($A$3:$A$62))*(MONTH(I479)=MONTH($A$3:$A$62)),0))</f>
        <v>87689.285097945321</v>
      </c>
      <c r="K479">
        <f t="array" ref="K479">INDEX($G$3:$G$200,MATCH(1, (YEAR(I479)=YEAR($A$3:$A$2000))*(MONTH(I479)=MONTH($A$3:$A$2000)),0))</f>
        <v>139070.58852555123</v>
      </c>
      <c r="L479">
        <f t="shared" si="15"/>
        <v>81076.219616108981</v>
      </c>
    </row>
    <row r="480" spans="4:12" x14ac:dyDescent="0.25">
      <c r="D480">
        <f t="shared" si="14"/>
        <v>0</v>
      </c>
      <c r="H480">
        <v>478</v>
      </c>
      <c r="I480" s="1">
        <v>45437</v>
      </c>
      <c r="J480">
        <f t="array" ref="J480">INDEX($D$3:$D$62,MATCH(1, (YEAR(I480)=YEAR($A$3:$A$62))*(MONTH(I480)=MONTH($A$3:$A$62)),0))</f>
        <v>87689.285097945321</v>
      </c>
      <c r="K480">
        <f t="array" ref="K480">INDEX($G$3:$G$200,MATCH(1, (YEAR(I480)=YEAR($A$3:$A$2000))*(MONTH(I480)=MONTH($A$3:$A$2000)),0))</f>
        <v>139070.58852555123</v>
      </c>
      <c r="L480">
        <f t="shared" si="15"/>
        <v>80991.87182051198</v>
      </c>
    </row>
    <row r="481" spans="4:12" x14ac:dyDescent="0.25">
      <c r="D481">
        <f t="shared" si="14"/>
        <v>0</v>
      </c>
      <c r="H481">
        <v>479</v>
      </c>
      <c r="I481" s="1">
        <v>45438</v>
      </c>
      <c r="J481">
        <f t="array" ref="J481">INDEX($D$3:$D$62,MATCH(1, (YEAR(I481)=YEAR($A$3:$A$62))*(MONTH(I481)=MONTH($A$3:$A$62)),0))</f>
        <v>87689.285097945321</v>
      </c>
      <c r="K481">
        <f t="array" ref="K481">INDEX($G$3:$G$200,MATCH(1, (YEAR(I481)=YEAR($A$3:$A$2000))*(MONTH(I481)=MONTH($A$3:$A$2000)),0))</f>
        <v>139070.58852555123</v>
      </c>
      <c r="L481">
        <f t="shared" si="15"/>
        <v>80907.676283918991</v>
      </c>
    </row>
    <row r="482" spans="4:12" x14ac:dyDescent="0.25">
      <c r="D482">
        <f t="shared" si="14"/>
        <v>0</v>
      </c>
      <c r="H482">
        <v>480</v>
      </c>
      <c r="I482" s="1">
        <v>45439</v>
      </c>
      <c r="J482">
        <f t="array" ref="J482">INDEX($D$3:$D$62,MATCH(1, (YEAR(I482)=YEAR($A$3:$A$62))*(MONTH(I482)=MONTH($A$3:$A$62)),0))</f>
        <v>87689.285097945321</v>
      </c>
      <c r="K482">
        <f t="array" ref="K482">INDEX($G$3:$G$200,MATCH(1, (YEAR(I482)=YEAR($A$3:$A$2000))*(MONTH(I482)=MONTH($A$3:$A$2000)),0))</f>
        <v>139070.58852555123</v>
      </c>
      <c r="L482">
        <f t="shared" si="15"/>
        <v>80823.632721503993</v>
      </c>
    </row>
    <row r="483" spans="4:12" x14ac:dyDescent="0.25">
      <c r="D483">
        <f t="shared" si="14"/>
        <v>0</v>
      </c>
      <c r="H483">
        <v>481</v>
      </c>
      <c r="I483" s="1">
        <v>45440</v>
      </c>
      <c r="J483">
        <f t="array" ref="J483">INDEX($D$3:$D$62,MATCH(1, (YEAR(I483)=YEAR($A$3:$A$62))*(MONTH(I483)=MONTH($A$3:$A$62)),0))</f>
        <v>87689.285097945321</v>
      </c>
      <c r="K483">
        <f t="array" ref="K483">INDEX($G$3:$G$200,MATCH(1, (YEAR(I483)=YEAR($A$3:$A$2000))*(MONTH(I483)=MONTH($A$3:$A$2000)),0))</f>
        <v>139070.58852555123</v>
      </c>
      <c r="L483">
        <f t="shared" si="15"/>
        <v>80739.740848728979</v>
      </c>
    </row>
    <row r="484" spans="4:12" x14ac:dyDescent="0.25">
      <c r="D484">
        <f t="shared" si="14"/>
        <v>0</v>
      </c>
      <c r="H484">
        <v>482</v>
      </c>
      <c r="I484" s="1">
        <v>45441</v>
      </c>
      <c r="J484">
        <f t="array" ref="J484">INDEX($D$3:$D$62,MATCH(1, (YEAR(I484)=YEAR($A$3:$A$62))*(MONTH(I484)=MONTH($A$3:$A$62)),0))</f>
        <v>87689.285097945321</v>
      </c>
      <c r="K484">
        <f t="array" ref="K484">INDEX($G$3:$G$200,MATCH(1, (YEAR(I484)=YEAR($A$3:$A$2000))*(MONTH(I484)=MONTH($A$3:$A$2000)),0))</f>
        <v>139070.58852555123</v>
      </c>
      <c r="L484">
        <f t="shared" si="15"/>
        <v>80656.000381343998</v>
      </c>
    </row>
    <row r="485" spans="4:12" x14ac:dyDescent="0.25">
      <c r="D485">
        <f t="shared" si="14"/>
        <v>0</v>
      </c>
      <c r="H485">
        <v>483</v>
      </c>
      <c r="I485" s="1">
        <v>45442</v>
      </c>
      <c r="J485">
        <f t="array" ref="J485">INDEX($D$3:$D$62,MATCH(1, (YEAR(I485)=YEAR($A$3:$A$62))*(MONTH(I485)=MONTH($A$3:$A$62)),0))</f>
        <v>87689.285097945321</v>
      </c>
      <c r="K485">
        <f t="array" ref="K485">INDEX($G$3:$G$200,MATCH(1, (YEAR(I485)=YEAR($A$3:$A$2000))*(MONTH(I485)=MONTH($A$3:$A$2000)),0))</f>
        <v>139070.58852555123</v>
      </c>
      <c r="L485">
        <f t="shared" si="15"/>
        <v>80572.411035386991</v>
      </c>
    </row>
    <row r="486" spans="4:12" x14ac:dyDescent="0.25">
      <c r="D486">
        <f t="shared" si="14"/>
        <v>0</v>
      </c>
      <c r="H486">
        <v>484</v>
      </c>
      <c r="I486" s="1">
        <v>45443</v>
      </c>
      <c r="J486">
        <f t="array" ref="J486">INDEX($D$3:$D$62,MATCH(1, (YEAR(I486)=YEAR($A$3:$A$62))*(MONTH(I486)=MONTH($A$3:$A$62)),0))</f>
        <v>87689.285097945321</v>
      </c>
      <c r="K486">
        <f t="array" ref="K486">INDEX($G$3:$G$200,MATCH(1, (YEAR(I486)=YEAR($A$3:$A$2000))*(MONTH(I486)=MONTH($A$3:$A$2000)),0))</f>
        <v>139070.58852555123</v>
      </c>
      <c r="L486">
        <f t="shared" si="15"/>
        <v>80488.972527184</v>
      </c>
    </row>
    <row r="487" spans="4:12" x14ac:dyDescent="0.25">
      <c r="D487">
        <f t="shared" si="14"/>
        <v>0</v>
      </c>
      <c r="H487">
        <v>485</v>
      </c>
      <c r="I487" s="1">
        <v>45444</v>
      </c>
      <c r="J487">
        <f t="array" ref="J487">INDEX($D$3:$D$62,MATCH(1, (YEAR(I487)=YEAR($A$3:$A$62))*(MONTH(I487)=MONTH($A$3:$A$62)),0))</f>
        <v>84388.968570428129</v>
      </c>
      <c r="K487">
        <f t="array" ref="K487">INDEX($G$3:$G$200,MATCH(1, (YEAR(I487)=YEAR($A$3:$A$2000))*(MONTH(I487)=MONTH($A$3:$A$2000)),0))</f>
        <v>134522.97315641702</v>
      </c>
      <c r="L487">
        <f t="shared" si="15"/>
        <v>80405.68457334899</v>
      </c>
    </row>
    <row r="488" spans="4:12" x14ac:dyDescent="0.25">
      <c r="D488">
        <f t="shared" si="14"/>
        <v>0</v>
      </c>
      <c r="H488">
        <v>486</v>
      </c>
      <c r="I488" s="1">
        <v>45445</v>
      </c>
      <c r="J488">
        <f t="array" ref="J488">INDEX($D$3:$D$62,MATCH(1, (YEAR(I488)=YEAR($A$3:$A$62))*(MONTH(I488)=MONTH($A$3:$A$62)),0))</f>
        <v>84388.968570428129</v>
      </c>
      <c r="K488">
        <f t="array" ref="K488">INDEX($G$3:$G$200,MATCH(1, (YEAR(I488)=YEAR($A$3:$A$2000))*(MONTH(I488)=MONTH($A$3:$A$2000)),0))</f>
        <v>134522.97315641702</v>
      </c>
      <c r="L488">
        <f t="shared" si="15"/>
        <v>80322.546890783997</v>
      </c>
    </row>
    <row r="489" spans="4:12" x14ac:dyDescent="0.25">
      <c r="D489">
        <f t="shared" si="14"/>
        <v>0</v>
      </c>
      <c r="H489">
        <v>487</v>
      </c>
      <c r="I489" s="1">
        <v>45446</v>
      </c>
      <c r="J489">
        <f t="array" ref="J489">INDEX($D$3:$D$62,MATCH(1, (YEAR(I489)=YEAR($A$3:$A$62))*(MONTH(I489)=MONTH($A$3:$A$62)),0))</f>
        <v>84388.968570428129</v>
      </c>
      <c r="K489">
        <f t="array" ref="K489">INDEX($G$3:$G$200,MATCH(1, (YEAR(I489)=YEAR($A$3:$A$2000))*(MONTH(I489)=MONTH($A$3:$A$2000)),0))</f>
        <v>134522.97315641702</v>
      </c>
      <c r="L489">
        <f t="shared" si="15"/>
        <v>80239.55919667898</v>
      </c>
    </row>
    <row r="490" spans="4:12" x14ac:dyDescent="0.25">
      <c r="D490">
        <f t="shared" si="14"/>
        <v>0</v>
      </c>
      <c r="H490">
        <v>488</v>
      </c>
      <c r="I490" s="1">
        <v>45447</v>
      </c>
      <c r="J490">
        <f t="array" ref="J490">INDEX($D$3:$D$62,MATCH(1, (YEAR(I490)=YEAR($A$3:$A$62))*(MONTH(I490)=MONTH($A$3:$A$62)),0))</f>
        <v>84388.968570428129</v>
      </c>
      <c r="K490">
        <f t="array" ref="K490">INDEX($G$3:$G$200,MATCH(1, (YEAR(I490)=YEAR($A$3:$A$2000))*(MONTH(I490)=MONTH($A$3:$A$2000)),0))</f>
        <v>134522.97315641702</v>
      </c>
      <c r="L490">
        <f t="shared" si="15"/>
        <v>80156.721208511997</v>
      </c>
    </row>
    <row r="491" spans="4:12" x14ac:dyDescent="0.25">
      <c r="D491">
        <f t="shared" si="14"/>
        <v>0</v>
      </c>
      <c r="H491">
        <v>489</v>
      </c>
      <c r="I491" s="1">
        <v>45448</v>
      </c>
      <c r="J491">
        <f t="array" ref="J491">INDEX($D$3:$D$62,MATCH(1, (YEAR(I491)=YEAR($A$3:$A$62))*(MONTH(I491)=MONTH($A$3:$A$62)),0))</f>
        <v>84388.968570428129</v>
      </c>
      <c r="K491">
        <f t="array" ref="K491">INDEX($G$3:$G$200,MATCH(1, (YEAR(I491)=YEAR($A$3:$A$2000))*(MONTH(I491)=MONTH($A$3:$A$2000)),0))</f>
        <v>134522.97315641702</v>
      </c>
      <c r="L491">
        <f t="shared" si="15"/>
        <v>80074.032644048988</v>
      </c>
    </row>
    <row r="492" spans="4:12" x14ac:dyDescent="0.25">
      <c r="D492">
        <f t="shared" si="14"/>
        <v>0</v>
      </c>
      <c r="H492">
        <v>490</v>
      </c>
      <c r="I492" s="1">
        <v>45449</v>
      </c>
      <c r="J492">
        <f t="array" ref="J492">INDEX($D$3:$D$62,MATCH(1, (YEAR(I492)=YEAR($A$3:$A$62))*(MONTH(I492)=MONTH($A$3:$A$62)),0))</f>
        <v>84388.968570428129</v>
      </c>
      <c r="K492">
        <f t="array" ref="K492">INDEX($G$3:$G$200,MATCH(1, (YEAR(I492)=YEAR($A$3:$A$2000))*(MONTH(I492)=MONTH($A$3:$A$2000)),0))</f>
        <v>134522.97315641702</v>
      </c>
      <c r="L492">
        <f t="shared" si="15"/>
        <v>79991.49322134399</v>
      </c>
    </row>
    <row r="493" spans="4:12" x14ac:dyDescent="0.25">
      <c r="D493">
        <f t="shared" si="14"/>
        <v>0</v>
      </c>
      <c r="H493">
        <v>491</v>
      </c>
      <c r="I493" s="1">
        <v>45450</v>
      </c>
      <c r="J493">
        <f t="array" ref="J493">INDEX($D$3:$D$62,MATCH(1, (YEAR(I493)=YEAR($A$3:$A$62))*(MONTH(I493)=MONTH($A$3:$A$62)),0))</f>
        <v>84388.968570428129</v>
      </c>
      <c r="K493">
        <f t="array" ref="K493">INDEX($G$3:$G$200,MATCH(1, (YEAR(I493)=YEAR($A$3:$A$2000))*(MONTH(I493)=MONTH($A$3:$A$2000)),0))</f>
        <v>134522.97315641702</v>
      </c>
      <c r="L493">
        <f t="shared" si="15"/>
        <v>79909.102658738993</v>
      </c>
    </row>
    <row r="494" spans="4:12" x14ac:dyDescent="0.25">
      <c r="D494">
        <f t="shared" si="14"/>
        <v>0</v>
      </c>
      <c r="H494">
        <v>492</v>
      </c>
      <c r="I494" s="1">
        <v>45451</v>
      </c>
      <c r="J494">
        <f t="array" ref="J494">INDEX($D$3:$D$62,MATCH(1, (YEAR(I494)=YEAR($A$3:$A$62))*(MONTH(I494)=MONTH($A$3:$A$62)),0))</f>
        <v>84388.968570428129</v>
      </c>
      <c r="K494">
        <f t="array" ref="K494">INDEX($G$3:$G$200,MATCH(1, (YEAR(I494)=YEAR($A$3:$A$2000))*(MONTH(I494)=MONTH($A$3:$A$2000)),0))</f>
        <v>134522.97315641702</v>
      </c>
      <c r="L494">
        <f t="shared" si="15"/>
        <v>79826.860674863987</v>
      </c>
    </row>
    <row r="495" spans="4:12" x14ac:dyDescent="0.25">
      <c r="D495">
        <f t="shared" si="14"/>
        <v>0</v>
      </c>
      <c r="H495">
        <v>493</v>
      </c>
      <c r="I495" s="1">
        <v>45452</v>
      </c>
      <c r="J495">
        <f t="array" ref="J495">INDEX($D$3:$D$62,MATCH(1, (YEAR(I495)=YEAR($A$3:$A$62))*(MONTH(I495)=MONTH($A$3:$A$62)),0))</f>
        <v>84388.968570428129</v>
      </c>
      <c r="K495">
        <f t="array" ref="K495">INDEX($G$3:$G$200,MATCH(1, (YEAR(I495)=YEAR($A$3:$A$2000))*(MONTH(I495)=MONTH($A$3:$A$2000)),0))</f>
        <v>134522.97315641702</v>
      </c>
      <c r="L495">
        <f t="shared" si="15"/>
        <v>79744.766988636984</v>
      </c>
    </row>
    <row r="496" spans="4:12" x14ac:dyDescent="0.25">
      <c r="D496">
        <f t="shared" si="14"/>
        <v>0</v>
      </c>
      <c r="H496">
        <v>494</v>
      </c>
      <c r="I496" s="1">
        <v>45453</v>
      </c>
      <c r="J496">
        <f t="array" ref="J496">INDEX($D$3:$D$62,MATCH(1, (YEAR(I496)=YEAR($A$3:$A$62))*(MONTH(I496)=MONTH($A$3:$A$62)),0))</f>
        <v>84388.968570428129</v>
      </c>
      <c r="K496">
        <f t="array" ref="K496">INDEX($G$3:$G$200,MATCH(1, (YEAR(I496)=YEAR($A$3:$A$2000))*(MONTH(I496)=MONTH($A$3:$A$2000)),0))</f>
        <v>134522.97315641702</v>
      </c>
      <c r="L496">
        <f t="shared" si="15"/>
        <v>79662.821319263996</v>
      </c>
    </row>
    <row r="497" spans="4:12" x14ac:dyDescent="0.25">
      <c r="D497">
        <f t="shared" si="14"/>
        <v>0</v>
      </c>
      <c r="H497">
        <v>495</v>
      </c>
      <c r="I497" s="1">
        <v>45454</v>
      </c>
      <c r="J497">
        <f t="array" ref="J497">INDEX($D$3:$D$62,MATCH(1, (YEAR(I497)=YEAR($A$3:$A$62))*(MONTH(I497)=MONTH($A$3:$A$62)),0))</f>
        <v>84388.968570428129</v>
      </c>
      <c r="K497">
        <f t="array" ref="K497">INDEX($G$3:$G$200,MATCH(1, (YEAR(I497)=YEAR($A$3:$A$2000))*(MONTH(I497)=MONTH($A$3:$A$2000)),0))</f>
        <v>134522.97315641702</v>
      </c>
      <c r="L497">
        <f t="shared" si="15"/>
        <v>79581.023386238987</v>
      </c>
    </row>
    <row r="498" spans="4:12" x14ac:dyDescent="0.25">
      <c r="D498">
        <f t="shared" si="14"/>
        <v>0</v>
      </c>
      <c r="H498">
        <v>496</v>
      </c>
      <c r="I498" s="1">
        <v>45455</v>
      </c>
      <c r="J498">
        <f t="array" ref="J498">INDEX($D$3:$D$62,MATCH(1, (YEAR(I498)=YEAR($A$3:$A$62))*(MONTH(I498)=MONTH($A$3:$A$62)),0))</f>
        <v>84388.968570428129</v>
      </c>
      <c r="K498">
        <f t="array" ref="K498">INDEX($G$3:$G$200,MATCH(1, (YEAR(I498)=YEAR($A$3:$A$2000))*(MONTH(I498)=MONTH($A$3:$A$2000)),0))</f>
        <v>134522.97315641702</v>
      </c>
      <c r="L498">
        <f t="shared" si="15"/>
        <v>79499.372909343991</v>
      </c>
    </row>
    <row r="499" spans="4:12" x14ac:dyDescent="0.25">
      <c r="D499">
        <f t="shared" si="14"/>
        <v>0</v>
      </c>
      <c r="H499">
        <v>497</v>
      </c>
      <c r="I499" s="1">
        <v>45456</v>
      </c>
      <c r="J499">
        <f t="array" ref="J499">INDEX($D$3:$D$62,MATCH(1, (YEAR(I499)=YEAR($A$3:$A$62))*(MONTH(I499)=MONTH($A$3:$A$62)),0))</f>
        <v>84388.968570428129</v>
      </c>
      <c r="K499">
        <f t="array" ref="K499">INDEX($G$3:$G$200,MATCH(1, (YEAR(I499)=YEAR($A$3:$A$2000))*(MONTH(I499)=MONTH($A$3:$A$2000)),0))</f>
        <v>134522.97315641702</v>
      </c>
      <c r="L499">
        <f t="shared" si="15"/>
        <v>79417.86960864898</v>
      </c>
    </row>
    <row r="500" spans="4:12" x14ac:dyDescent="0.25">
      <c r="D500">
        <f t="shared" si="14"/>
        <v>0</v>
      </c>
      <c r="H500">
        <v>498</v>
      </c>
      <c r="I500" s="1">
        <v>45457</v>
      </c>
      <c r="J500">
        <f t="array" ref="J500">INDEX($D$3:$D$62,MATCH(1, (YEAR(I500)=YEAR($A$3:$A$62))*(MONTH(I500)=MONTH($A$3:$A$62)),0))</f>
        <v>84388.968570428129</v>
      </c>
      <c r="K500">
        <f t="array" ref="K500">INDEX($G$3:$G$200,MATCH(1, (YEAR(I500)=YEAR($A$3:$A$2000))*(MONTH(I500)=MONTH($A$3:$A$2000)),0))</f>
        <v>134522.97315641702</v>
      </c>
      <c r="L500">
        <f t="shared" si="15"/>
        <v>79336.513204511997</v>
      </c>
    </row>
    <row r="501" spans="4:12" x14ac:dyDescent="0.25">
      <c r="D501">
        <f t="shared" si="14"/>
        <v>0</v>
      </c>
      <c r="H501">
        <v>499</v>
      </c>
      <c r="I501" s="1">
        <v>45458</v>
      </c>
      <c r="J501">
        <f t="array" ref="J501">INDEX($D$3:$D$62,MATCH(1, (YEAR(I501)=YEAR($A$3:$A$62))*(MONTH(I501)=MONTH($A$3:$A$62)),0))</f>
        <v>84388.968570428129</v>
      </c>
      <c r="K501">
        <f t="array" ref="K501">INDEX($G$3:$G$200,MATCH(1, (YEAR(I501)=YEAR($A$3:$A$2000))*(MONTH(I501)=MONTH($A$3:$A$2000)),0))</f>
        <v>134522.97315641702</v>
      </c>
      <c r="L501">
        <f t="shared" si="15"/>
        <v>79255.30341757898</v>
      </c>
    </row>
    <row r="502" spans="4:12" x14ac:dyDescent="0.25">
      <c r="D502">
        <f t="shared" si="14"/>
        <v>0</v>
      </c>
      <c r="H502">
        <v>500</v>
      </c>
      <c r="I502" s="1">
        <v>45459</v>
      </c>
      <c r="J502">
        <f t="array" ref="J502">INDEX($D$3:$D$62,MATCH(1, (YEAR(I502)=YEAR($A$3:$A$62))*(MONTH(I502)=MONTH($A$3:$A$62)),0))</f>
        <v>84388.968570428129</v>
      </c>
      <c r="K502">
        <f t="array" ref="K502">INDEX($G$3:$G$200,MATCH(1, (YEAR(I502)=YEAR($A$3:$A$2000))*(MONTH(I502)=MONTH($A$3:$A$2000)),0))</f>
        <v>134522.97315641702</v>
      </c>
      <c r="L502">
        <f t="shared" si="15"/>
        <v>79174.239968783993</v>
      </c>
    </row>
    <row r="503" spans="4:12" x14ac:dyDescent="0.25">
      <c r="D503">
        <f t="shared" si="14"/>
        <v>0</v>
      </c>
      <c r="H503">
        <v>501</v>
      </c>
      <c r="I503" s="1">
        <v>45460</v>
      </c>
      <c r="J503">
        <f t="array" ref="J503">INDEX($D$3:$D$62,MATCH(1, (YEAR(I503)=YEAR($A$3:$A$62))*(MONTH(I503)=MONTH($A$3:$A$62)),0))</f>
        <v>84388.968570428129</v>
      </c>
      <c r="K503">
        <f t="array" ref="K503">INDEX($G$3:$G$200,MATCH(1, (YEAR(I503)=YEAR($A$3:$A$2000))*(MONTH(I503)=MONTH($A$3:$A$2000)),0))</f>
        <v>134522.97315641702</v>
      </c>
      <c r="L503">
        <f t="shared" si="15"/>
        <v>79093.322579348984</v>
      </c>
    </row>
    <row r="504" spans="4:12" x14ac:dyDescent="0.25">
      <c r="D504">
        <f t="shared" si="14"/>
        <v>0</v>
      </c>
      <c r="H504">
        <v>502</v>
      </c>
      <c r="I504" s="1">
        <v>45461</v>
      </c>
      <c r="J504">
        <f t="array" ref="J504">INDEX($D$3:$D$62,MATCH(1, (YEAR(I504)=YEAR($A$3:$A$62))*(MONTH(I504)=MONTH($A$3:$A$62)),0))</f>
        <v>84388.968570428129</v>
      </c>
      <c r="K504">
        <f t="array" ref="K504">INDEX($G$3:$G$200,MATCH(1, (YEAR(I504)=YEAR($A$3:$A$2000))*(MONTH(I504)=MONTH($A$3:$A$2000)),0))</f>
        <v>134522.97315641702</v>
      </c>
      <c r="L504">
        <f t="shared" si="15"/>
        <v>79012.550970783981</v>
      </c>
    </row>
    <row r="505" spans="4:12" x14ac:dyDescent="0.25">
      <c r="D505">
        <f t="shared" si="14"/>
        <v>0</v>
      </c>
      <c r="H505">
        <v>503</v>
      </c>
      <c r="I505" s="1">
        <v>45462</v>
      </c>
      <c r="J505">
        <f t="array" ref="J505">INDEX($D$3:$D$62,MATCH(1, (YEAR(I505)=YEAR($A$3:$A$62))*(MONTH(I505)=MONTH($A$3:$A$62)),0))</f>
        <v>84388.968570428129</v>
      </c>
      <c r="K505">
        <f t="array" ref="K505">INDEX($G$3:$G$200,MATCH(1, (YEAR(I505)=YEAR($A$3:$A$2000))*(MONTH(I505)=MONTH($A$3:$A$2000)),0))</f>
        <v>134522.97315641702</v>
      </c>
      <c r="L505">
        <f t="shared" si="15"/>
        <v>78931.924864886983</v>
      </c>
    </row>
    <row r="506" spans="4:12" x14ac:dyDescent="0.25">
      <c r="D506">
        <f t="shared" si="14"/>
        <v>0</v>
      </c>
      <c r="H506">
        <v>504</v>
      </c>
      <c r="I506" s="1">
        <v>45463</v>
      </c>
      <c r="J506">
        <f t="array" ref="J506">INDEX($D$3:$D$62,MATCH(1, (YEAR(I506)=YEAR($A$3:$A$62))*(MONTH(I506)=MONTH($A$3:$A$62)),0))</f>
        <v>84388.968570428129</v>
      </c>
      <c r="K506">
        <f t="array" ref="K506">INDEX($G$3:$G$200,MATCH(1, (YEAR(I506)=YEAR($A$3:$A$2000))*(MONTH(I506)=MONTH($A$3:$A$2000)),0))</f>
        <v>134522.97315641702</v>
      </c>
      <c r="L506">
        <f t="shared" si="15"/>
        <v>78851.443983743986</v>
      </c>
    </row>
    <row r="507" spans="4:12" x14ac:dyDescent="0.25">
      <c r="D507">
        <f t="shared" si="14"/>
        <v>0</v>
      </c>
      <c r="H507">
        <v>505</v>
      </c>
      <c r="I507" s="1">
        <v>45464</v>
      </c>
      <c r="J507">
        <f t="array" ref="J507">INDEX($D$3:$D$62,MATCH(1, (YEAR(I507)=YEAR($A$3:$A$62))*(MONTH(I507)=MONTH($A$3:$A$62)),0))</f>
        <v>84388.968570428129</v>
      </c>
      <c r="K507">
        <f t="array" ref="K507">INDEX($G$3:$G$200,MATCH(1, (YEAR(I507)=YEAR($A$3:$A$2000))*(MONTH(I507)=MONTH($A$3:$A$2000)),0))</f>
        <v>134522.97315641702</v>
      </c>
      <c r="L507">
        <f t="shared" si="15"/>
        <v>78771.10804972898</v>
      </c>
    </row>
    <row r="508" spans="4:12" x14ac:dyDescent="0.25">
      <c r="D508">
        <f t="shared" si="14"/>
        <v>0</v>
      </c>
      <c r="H508">
        <v>506</v>
      </c>
      <c r="I508" s="1">
        <v>45465</v>
      </c>
      <c r="J508">
        <f t="array" ref="J508">INDEX($D$3:$D$62,MATCH(1, (YEAR(I508)=YEAR($A$3:$A$62))*(MONTH(I508)=MONTH($A$3:$A$62)),0))</f>
        <v>84388.968570428129</v>
      </c>
      <c r="K508">
        <f t="array" ref="K508">INDEX($G$3:$G$200,MATCH(1, (YEAR(I508)=YEAR($A$3:$A$2000))*(MONTH(I508)=MONTH($A$3:$A$2000)),0))</f>
        <v>134522.97315641702</v>
      </c>
      <c r="L508">
        <f t="shared" si="15"/>
        <v>78690.916785503985</v>
      </c>
    </row>
    <row r="509" spans="4:12" x14ac:dyDescent="0.25">
      <c r="D509">
        <f t="shared" si="14"/>
        <v>0</v>
      </c>
      <c r="H509">
        <v>507</v>
      </c>
      <c r="I509" s="1">
        <v>45466</v>
      </c>
      <c r="J509">
        <f t="array" ref="J509">INDEX($D$3:$D$62,MATCH(1, (YEAR(I509)=YEAR($A$3:$A$62))*(MONTH(I509)=MONTH($A$3:$A$62)),0))</f>
        <v>84388.968570428129</v>
      </c>
      <c r="K509">
        <f t="array" ref="K509">INDEX($G$3:$G$200,MATCH(1, (YEAR(I509)=YEAR($A$3:$A$2000))*(MONTH(I509)=MONTH($A$3:$A$2000)),0))</f>
        <v>134522.97315641702</v>
      </c>
      <c r="L509">
        <f t="shared" si="15"/>
        <v>78610.869914018986</v>
      </c>
    </row>
    <row r="510" spans="4:12" x14ac:dyDescent="0.25">
      <c r="D510">
        <f t="shared" si="14"/>
        <v>0</v>
      </c>
      <c r="H510">
        <v>508</v>
      </c>
      <c r="I510" s="1">
        <v>45467</v>
      </c>
      <c r="J510">
        <f t="array" ref="J510">INDEX($D$3:$D$62,MATCH(1, (YEAR(I510)=YEAR($A$3:$A$62))*(MONTH(I510)=MONTH($A$3:$A$62)),0))</f>
        <v>84388.968570428129</v>
      </c>
      <c r="K510">
        <f t="array" ref="K510">INDEX($G$3:$G$200,MATCH(1, (YEAR(I510)=YEAR($A$3:$A$2000))*(MONTH(I510)=MONTH($A$3:$A$2000)),0))</f>
        <v>134522.97315641702</v>
      </c>
      <c r="L510">
        <f t="shared" si="15"/>
        <v>78530.96715851198</v>
      </c>
    </row>
    <row r="511" spans="4:12" x14ac:dyDescent="0.25">
      <c r="D511">
        <f t="shared" si="14"/>
        <v>0</v>
      </c>
      <c r="H511">
        <v>509</v>
      </c>
      <c r="I511" s="1">
        <v>45468</v>
      </c>
      <c r="J511">
        <f t="array" ref="J511">INDEX($D$3:$D$62,MATCH(1, (YEAR(I511)=YEAR($A$3:$A$62))*(MONTH(I511)=MONTH($A$3:$A$62)),0))</f>
        <v>84388.968570428129</v>
      </c>
      <c r="K511">
        <f t="array" ref="K511">INDEX($G$3:$G$200,MATCH(1, (YEAR(I511)=YEAR($A$3:$A$2000))*(MONTH(I511)=MONTH($A$3:$A$2000)),0))</f>
        <v>134522.97315641702</v>
      </c>
      <c r="L511">
        <f t="shared" si="15"/>
        <v>78451.208242508976</v>
      </c>
    </row>
    <row r="512" spans="4:12" x14ac:dyDescent="0.25">
      <c r="D512">
        <f t="shared" si="14"/>
        <v>0</v>
      </c>
      <c r="H512">
        <v>510</v>
      </c>
      <c r="I512" s="1">
        <v>45469</v>
      </c>
      <c r="J512">
        <f t="array" ref="J512">INDEX($D$3:$D$62,MATCH(1, (YEAR(I512)=YEAR($A$3:$A$62))*(MONTH(I512)=MONTH($A$3:$A$62)),0))</f>
        <v>84388.968570428129</v>
      </c>
      <c r="K512">
        <f t="array" ref="K512">INDEX($G$3:$G$200,MATCH(1, (YEAR(I512)=YEAR($A$3:$A$2000))*(MONTH(I512)=MONTH($A$3:$A$2000)),0))</f>
        <v>134522.97315641702</v>
      </c>
      <c r="L512">
        <f t="shared" si="15"/>
        <v>78371.59288982398</v>
      </c>
    </row>
    <row r="513" spans="4:12" x14ac:dyDescent="0.25">
      <c r="D513">
        <f t="shared" si="14"/>
        <v>0</v>
      </c>
      <c r="H513">
        <v>511</v>
      </c>
      <c r="I513" s="1">
        <v>45470</v>
      </c>
      <c r="J513">
        <f t="array" ref="J513">INDEX($D$3:$D$62,MATCH(1, (YEAR(I513)=YEAR($A$3:$A$62))*(MONTH(I513)=MONTH($A$3:$A$62)),0))</f>
        <v>84388.968570428129</v>
      </c>
      <c r="K513">
        <f t="array" ref="K513">INDEX($G$3:$G$200,MATCH(1, (YEAR(I513)=YEAR($A$3:$A$2000))*(MONTH(I513)=MONTH($A$3:$A$2000)),0))</f>
        <v>134522.97315641702</v>
      </c>
      <c r="L513">
        <f t="shared" si="15"/>
        <v>78292.120824558981</v>
      </c>
    </row>
    <row r="514" spans="4:12" x14ac:dyDescent="0.25">
      <c r="D514">
        <f t="shared" si="14"/>
        <v>0</v>
      </c>
      <c r="H514">
        <v>512</v>
      </c>
      <c r="I514" s="1">
        <v>45471</v>
      </c>
      <c r="J514">
        <f t="array" ref="J514">INDEX($D$3:$D$62,MATCH(1, (YEAR(I514)=YEAR($A$3:$A$62))*(MONTH(I514)=MONTH($A$3:$A$62)),0))</f>
        <v>84388.968570428129</v>
      </c>
      <c r="K514">
        <f t="array" ref="K514">INDEX($G$3:$G$200,MATCH(1, (YEAR(I514)=YEAR($A$3:$A$2000))*(MONTH(I514)=MONTH($A$3:$A$2000)),0))</f>
        <v>134522.97315641702</v>
      </c>
      <c r="L514">
        <f t="shared" si="15"/>
        <v>78212.791771103992</v>
      </c>
    </row>
    <row r="515" spans="4:12" x14ac:dyDescent="0.25">
      <c r="D515">
        <f t="shared" si="14"/>
        <v>0</v>
      </c>
      <c r="H515">
        <v>513</v>
      </c>
      <c r="I515" s="1">
        <v>45472</v>
      </c>
      <c r="J515">
        <f t="array" ref="J515">INDEX($D$3:$D$62,MATCH(1, (YEAR(I515)=YEAR($A$3:$A$62))*(MONTH(I515)=MONTH($A$3:$A$62)),0))</f>
        <v>84388.968570428129</v>
      </c>
      <c r="K515">
        <f t="array" ref="K515">INDEX($G$3:$G$200,MATCH(1, (YEAR(I515)=YEAR($A$3:$A$2000))*(MONTH(I515)=MONTH($A$3:$A$2000)),0))</f>
        <v>134522.97315641702</v>
      </c>
      <c r="L515">
        <f t="shared" si="15"/>
        <v>78133.605454136996</v>
      </c>
    </row>
    <row r="516" spans="4:12" x14ac:dyDescent="0.25">
      <c r="D516">
        <f t="shared" ref="D516:D579" si="16">SUM(B516:C516)</f>
        <v>0</v>
      </c>
      <c r="H516">
        <v>514</v>
      </c>
      <c r="I516" s="1">
        <v>45473</v>
      </c>
      <c r="J516">
        <f t="array" ref="J516">INDEX($D$3:$D$62,MATCH(1, (YEAR(I516)=YEAR($A$3:$A$62))*(MONTH(I516)=MONTH($A$3:$A$62)),0))</f>
        <v>84388.968570428129</v>
      </c>
      <c r="K516">
        <f t="array" ref="K516">INDEX($G$3:$G$200,MATCH(1, (YEAR(I516)=YEAR($A$3:$A$2000))*(MONTH(I516)=MONTH($A$3:$A$2000)),0))</f>
        <v>134522.97315641702</v>
      </c>
      <c r="L516">
        <f t="shared" ref="L516:L579" si="17">0.000000012*H516^4-0.000070439*H516^3+0.160688168*H516^2-194.849290676*H516+144481.718306784</f>
        <v>78054.561598623986</v>
      </c>
    </row>
    <row r="517" spans="4:12" x14ac:dyDescent="0.25">
      <c r="D517">
        <f t="shared" si="16"/>
        <v>0</v>
      </c>
      <c r="H517">
        <v>515</v>
      </c>
      <c r="I517" s="1">
        <v>45474</v>
      </c>
      <c r="J517">
        <f t="array" ref="J517">INDEX($D$3:$D$62,MATCH(1, (YEAR(I517)=YEAR($A$3:$A$62))*(MONTH(I517)=MONTH($A$3:$A$62)),0))</f>
        <v>80814.498106946499</v>
      </c>
      <c r="K517">
        <f t="array" ref="K517">INDEX($G$3:$G$200,MATCH(1, (YEAR(I517)=YEAR($A$3:$A$2000))*(MONTH(I517)=MONTH($A$3:$A$2000)),0))</f>
        <v>129744.64130441773</v>
      </c>
      <c r="L517">
        <f t="shared" si="17"/>
        <v>77975.659929818998</v>
      </c>
    </row>
    <row r="518" spans="4:12" x14ac:dyDescent="0.25">
      <c r="D518">
        <f t="shared" si="16"/>
        <v>0</v>
      </c>
      <c r="H518">
        <v>516</v>
      </c>
      <c r="I518" s="1">
        <v>45475</v>
      </c>
      <c r="J518">
        <f t="array" ref="J518">INDEX($D$3:$D$62,MATCH(1, (YEAR(I518)=YEAR($A$3:$A$62))*(MONTH(I518)=MONTH($A$3:$A$62)),0))</f>
        <v>80814.498106946499</v>
      </c>
      <c r="K518">
        <f t="array" ref="K518">INDEX($G$3:$G$200,MATCH(1, (YEAR(I518)=YEAR($A$3:$A$2000))*(MONTH(I518)=MONTH($A$3:$A$2000)),0))</f>
        <v>129744.64130441773</v>
      </c>
      <c r="L518">
        <f t="shared" si="17"/>
        <v>77896.900173263988</v>
      </c>
    </row>
    <row r="519" spans="4:12" x14ac:dyDescent="0.25">
      <c r="D519">
        <f t="shared" si="16"/>
        <v>0</v>
      </c>
      <c r="H519">
        <v>517</v>
      </c>
      <c r="I519" s="1">
        <v>45476</v>
      </c>
      <c r="J519">
        <f t="array" ref="J519">INDEX($D$3:$D$62,MATCH(1, (YEAR(I519)=YEAR($A$3:$A$62))*(MONTH(I519)=MONTH($A$3:$A$62)),0))</f>
        <v>80814.498106946499</v>
      </c>
      <c r="K519">
        <f t="array" ref="K519">INDEX($G$3:$G$200,MATCH(1, (YEAR(I519)=YEAR($A$3:$A$2000))*(MONTH(I519)=MONTH($A$3:$A$2000)),0))</f>
        <v>129744.64130441773</v>
      </c>
      <c r="L519">
        <f t="shared" si="17"/>
        <v>77818.282054788986</v>
      </c>
    </row>
    <row r="520" spans="4:12" x14ac:dyDescent="0.25">
      <c r="D520">
        <f t="shared" si="16"/>
        <v>0</v>
      </c>
      <c r="H520">
        <v>518</v>
      </c>
      <c r="I520" s="1">
        <v>45477</v>
      </c>
      <c r="J520">
        <f t="array" ref="J520">INDEX($D$3:$D$62,MATCH(1, (YEAR(I520)=YEAR($A$3:$A$62))*(MONTH(I520)=MONTH($A$3:$A$62)),0))</f>
        <v>80814.498106946499</v>
      </c>
      <c r="K520">
        <f t="array" ref="K520">INDEX($G$3:$G$200,MATCH(1, (YEAR(I520)=YEAR($A$3:$A$2000))*(MONTH(I520)=MONTH($A$3:$A$2000)),0))</f>
        <v>129744.64130441773</v>
      </c>
      <c r="L520">
        <f t="shared" si="17"/>
        <v>77739.805300511987</v>
      </c>
    </row>
    <row r="521" spans="4:12" x14ac:dyDescent="0.25">
      <c r="D521">
        <f t="shared" si="16"/>
        <v>0</v>
      </c>
      <c r="H521">
        <v>519</v>
      </c>
      <c r="I521" s="1">
        <v>45478</v>
      </c>
      <c r="J521">
        <f t="array" ref="J521">INDEX($D$3:$D$62,MATCH(1, (YEAR(I521)=YEAR($A$3:$A$62))*(MONTH(I521)=MONTH($A$3:$A$62)),0))</f>
        <v>80814.498106946499</v>
      </c>
      <c r="K521">
        <f t="array" ref="K521">INDEX($G$3:$G$200,MATCH(1, (YEAR(I521)=YEAR($A$3:$A$2000))*(MONTH(I521)=MONTH($A$3:$A$2000)),0))</f>
        <v>129744.64130441773</v>
      </c>
      <c r="L521">
        <f t="shared" si="17"/>
        <v>77661.469636839</v>
      </c>
    </row>
    <row r="522" spans="4:12" x14ac:dyDescent="0.25">
      <c r="D522">
        <f t="shared" si="16"/>
        <v>0</v>
      </c>
      <c r="H522">
        <v>520</v>
      </c>
      <c r="I522" s="1">
        <v>45479</v>
      </c>
      <c r="J522">
        <f t="array" ref="J522">INDEX($D$3:$D$62,MATCH(1, (YEAR(I522)=YEAR($A$3:$A$62))*(MONTH(I522)=MONTH($A$3:$A$62)),0))</f>
        <v>80814.498106946499</v>
      </c>
      <c r="K522">
        <f t="array" ref="K522">INDEX($G$3:$G$200,MATCH(1, (YEAR(I522)=YEAR($A$3:$A$2000))*(MONTH(I522)=MONTH($A$3:$A$2000)),0))</f>
        <v>129744.64130441773</v>
      </c>
      <c r="L522">
        <f t="shared" si="17"/>
        <v>77583.274790463984</v>
      </c>
    </row>
    <row r="523" spans="4:12" x14ac:dyDescent="0.25">
      <c r="D523">
        <f t="shared" si="16"/>
        <v>0</v>
      </c>
      <c r="H523">
        <v>521</v>
      </c>
      <c r="I523" s="1">
        <v>45480</v>
      </c>
      <c r="J523">
        <f t="array" ref="J523">INDEX($D$3:$D$62,MATCH(1, (YEAR(I523)=YEAR($A$3:$A$62))*(MONTH(I523)=MONTH($A$3:$A$62)),0))</f>
        <v>80814.498106946499</v>
      </c>
      <c r="K523">
        <f t="array" ref="K523">INDEX($G$3:$G$200,MATCH(1, (YEAR(I523)=YEAR($A$3:$A$2000))*(MONTH(I523)=MONTH($A$3:$A$2000)),0))</f>
        <v>129744.64130441773</v>
      </c>
      <c r="L523">
        <f t="shared" si="17"/>
        <v>77505.220488368999</v>
      </c>
    </row>
    <row r="524" spans="4:12" x14ac:dyDescent="0.25">
      <c r="D524">
        <f t="shared" si="16"/>
        <v>0</v>
      </c>
      <c r="H524">
        <v>522</v>
      </c>
      <c r="I524" s="1">
        <v>45481</v>
      </c>
      <c r="J524">
        <f t="array" ref="J524">INDEX($D$3:$D$62,MATCH(1, (YEAR(I524)=YEAR($A$3:$A$62))*(MONTH(I524)=MONTH($A$3:$A$62)),0))</f>
        <v>80814.498106946499</v>
      </c>
      <c r="K524">
        <f t="array" ref="K524">INDEX($G$3:$G$200,MATCH(1, (YEAR(I524)=YEAR($A$3:$A$2000))*(MONTH(I524)=MONTH($A$3:$A$2000)),0))</f>
        <v>129744.64130441773</v>
      </c>
      <c r="L524">
        <f t="shared" si="17"/>
        <v>77427.306457823986</v>
      </c>
    </row>
    <row r="525" spans="4:12" x14ac:dyDescent="0.25">
      <c r="D525">
        <f t="shared" si="16"/>
        <v>0</v>
      </c>
      <c r="H525">
        <v>523</v>
      </c>
      <c r="I525" s="1">
        <v>45482</v>
      </c>
      <c r="J525">
        <f t="array" ref="J525">INDEX($D$3:$D$62,MATCH(1, (YEAR(I525)=YEAR($A$3:$A$62))*(MONTH(I525)=MONTH($A$3:$A$62)),0))</f>
        <v>80814.498106946499</v>
      </c>
      <c r="K525">
        <f t="array" ref="K525">INDEX($G$3:$G$200,MATCH(1, (YEAR(I525)=YEAR($A$3:$A$2000))*(MONTH(I525)=MONTH($A$3:$A$2000)),0))</f>
        <v>129744.64130441773</v>
      </c>
      <c r="L525">
        <f t="shared" si="17"/>
        <v>77349.532426386984</v>
      </c>
    </row>
    <row r="526" spans="4:12" x14ac:dyDescent="0.25">
      <c r="D526">
        <f t="shared" si="16"/>
        <v>0</v>
      </c>
      <c r="H526">
        <v>524</v>
      </c>
      <c r="I526" s="1">
        <v>45483</v>
      </c>
      <c r="J526">
        <f t="array" ref="J526">INDEX($D$3:$D$62,MATCH(1, (YEAR(I526)=YEAR($A$3:$A$62))*(MONTH(I526)=MONTH($A$3:$A$62)),0))</f>
        <v>80814.498106946499</v>
      </c>
      <c r="K526">
        <f t="array" ref="K526">INDEX($G$3:$G$200,MATCH(1, (YEAR(I526)=YEAR($A$3:$A$2000))*(MONTH(I526)=MONTH($A$3:$A$2000)),0))</f>
        <v>129744.64130441773</v>
      </c>
      <c r="L526">
        <f t="shared" si="17"/>
        <v>77271.898121903985</v>
      </c>
    </row>
    <row r="527" spans="4:12" x14ac:dyDescent="0.25">
      <c r="D527">
        <f t="shared" si="16"/>
        <v>0</v>
      </c>
      <c r="H527">
        <v>525</v>
      </c>
      <c r="I527" s="1">
        <v>45484</v>
      </c>
      <c r="J527">
        <f t="array" ref="J527">INDEX($D$3:$D$62,MATCH(1, (YEAR(I527)=YEAR($A$3:$A$62))*(MONTH(I527)=MONTH($A$3:$A$62)),0))</f>
        <v>80814.498106946499</v>
      </c>
      <c r="K527">
        <f t="array" ref="K527">INDEX($G$3:$G$200,MATCH(1, (YEAR(I527)=YEAR($A$3:$A$2000))*(MONTH(I527)=MONTH($A$3:$A$2000)),0))</f>
        <v>129744.64130441773</v>
      </c>
      <c r="L527">
        <f t="shared" si="17"/>
        <v>77194.403272508993</v>
      </c>
    </row>
    <row r="528" spans="4:12" x14ac:dyDescent="0.25">
      <c r="D528">
        <f t="shared" si="16"/>
        <v>0</v>
      </c>
      <c r="H528">
        <v>526</v>
      </c>
      <c r="I528" s="1">
        <v>45485</v>
      </c>
      <c r="J528">
        <f t="array" ref="J528">INDEX($D$3:$D$62,MATCH(1, (YEAR(I528)=YEAR($A$3:$A$62))*(MONTH(I528)=MONTH($A$3:$A$62)),0))</f>
        <v>80814.498106946499</v>
      </c>
      <c r="K528">
        <f t="array" ref="K528">INDEX($G$3:$G$200,MATCH(1, (YEAR(I528)=YEAR($A$3:$A$2000))*(MONTH(I528)=MONTH($A$3:$A$2000)),0))</f>
        <v>129744.64130441773</v>
      </c>
      <c r="L528">
        <f t="shared" si="17"/>
        <v>77117.047606623979</v>
      </c>
    </row>
    <row r="529" spans="4:12" x14ac:dyDescent="0.25">
      <c r="D529">
        <f t="shared" si="16"/>
        <v>0</v>
      </c>
      <c r="H529">
        <v>527</v>
      </c>
      <c r="I529" s="1">
        <v>45486</v>
      </c>
      <c r="J529">
        <f t="array" ref="J529">INDEX($D$3:$D$62,MATCH(1, (YEAR(I529)=YEAR($A$3:$A$62))*(MONTH(I529)=MONTH($A$3:$A$62)),0))</f>
        <v>80814.498106946499</v>
      </c>
      <c r="K529">
        <f t="array" ref="K529">INDEX($G$3:$G$200,MATCH(1, (YEAR(I529)=YEAR($A$3:$A$2000))*(MONTH(I529)=MONTH($A$3:$A$2000)),0))</f>
        <v>129744.64130441773</v>
      </c>
      <c r="L529">
        <f t="shared" si="17"/>
        <v>77039.830852958985</v>
      </c>
    </row>
    <row r="530" spans="4:12" x14ac:dyDescent="0.25">
      <c r="D530">
        <f t="shared" si="16"/>
        <v>0</v>
      </c>
      <c r="H530">
        <v>528</v>
      </c>
      <c r="I530" s="1">
        <v>45487</v>
      </c>
      <c r="J530">
        <f t="array" ref="J530">INDEX($D$3:$D$62,MATCH(1, (YEAR(I530)=YEAR($A$3:$A$62))*(MONTH(I530)=MONTH($A$3:$A$62)),0))</f>
        <v>80814.498106946499</v>
      </c>
      <c r="K530">
        <f t="array" ref="K530">INDEX($G$3:$G$200,MATCH(1, (YEAR(I530)=YEAR($A$3:$A$2000))*(MONTH(I530)=MONTH($A$3:$A$2000)),0))</f>
        <v>129744.64130441773</v>
      </c>
      <c r="L530">
        <f t="shared" si="17"/>
        <v>76962.752740511991</v>
      </c>
    </row>
    <row r="531" spans="4:12" x14ac:dyDescent="0.25">
      <c r="D531">
        <f t="shared" si="16"/>
        <v>0</v>
      </c>
      <c r="H531">
        <v>529</v>
      </c>
      <c r="I531" s="1">
        <v>45488</v>
      </c>
      <c r="J531">
        <f t="array" ref="J531">INDEX($D$3:$D$62,MATCH(1, (YEAR(I531)=YEAR($A$3:$A$62))*(MONTH(I531)=MONTH($A$3:$A$62)),0))</f>
        <v>80814.498106946499</v>
      </c>
      <c r="K531">
        <f t="array" ref="K531">INDEX($G$3:$G$200,MATCH(1, (YEAR(I531)=YEAR($A$3:$A$2000))*(MONTH(I531)=MONTH($A$3:$A$2000)),0))</f>
        <v>129744.64130441773</v>
      </c>
      <c r="L531">
        <f t="shared" si="17"/>
        <v>76885.812998568988</v>
      </c>
    </row>
    <row r="532" spans="4:12" x14ac:dyDescent="0.25">
      <c r="D532">
        <f t="shared" si="16"/>
        <v>0</v>
      </c>
      <c r="H532">
        <v>530</v>
      </c>
      <c r="I532" s="1">
        <v>45489</v>
      </c>
      <c r="J532">
        <f t="array" ref="J532">INDEX($D$3:$D$62,MATCH(1, (YEAR(I532)=YEAR($A$3:$A$62))*(MONTH(I532)=MONTH($A$3:$A$62)),0))</f>
        <v>80814.498106946499</v>
      </c>
      <c r="K532">
        <f t="array" ref="K532">INDEX($G$3:$G$200,MATCH(1, (YEAR(I532)=YEAR($A$3:$A$2000))*(MONTH(I532)=MONTH($A$3:$A$2000)),0))</f>
        <v>129744.64130441773</v>
      </c>
      <c r="L532">
        <f t="shared" si="17"/>
        <v>76809.011356703995</v>
      </c>
    </row>
    <row r="533" spans="4:12" x14ac:dyDescent="0.25">
      <c r="D533">
        <f t="shared" si="16"/>
        <v>0</v>
      </c>
      <c r="H533">
        <v>531</v>
      </c>
      <c r="I533" s="1">
        <v>45490</v>
      </c>
      <c r="J533">
        <f t="array" ref="J533">INDEX($D$3:$D$62,MATCH(1, (YEAR(I533)=YEAR($A$3:$A$62))*(MONTH(I533)=MONTH($A$3:$A$62)),0))</f>
        <v>80814.498106946499</v>
      </c>
      <c r="K533">
        <f t="array" ref="K533">INDEX($G$3:$G$200,MATCH(1, (YEAR(I533)=YEAR($A$3:$A$2000))*(MONTH(I533)=MONTH($A$3:$A$2000)),0))</f>
        <v>129744.64130441773</v>
      </c>
      <c r="L533">
        <f t="shared" si="17"/>
        <v>76732.347544778982</v>
      </c>
    </row>
    <row r="534" spans="4:12" x14ac:dyDescent="0.25">
      <c r="D534">
        <f t="shared" si="16"/>
        <v>0</v>
      </c>
      <c r="H534">
        <v>532</v>
      </c>
      <c r="I534" s="1">
        <v>45491</v>
      </c>
      <c r="J534">
        <f t="array" ref="J534">INDEX($D$3:$D$62,MATCH(1, (YEAR(I534)=YEAR($A$3:$A$62))*(MONTH(I534)=MONTH($A$3:$A$62)),0))</f>
        <v>80814.498106946499</v>
      </c>
      <c r="K534">
        <f t="array" ref="K534">INDEX($G$3:$G$200,MATCH(1, (YEAR(I534)=YEAR($A$3:$A$2000))*(MONTH(I534)=MONTH($A$3:$A$2000)),0))</f>
        <v>129744.64130441773</v>
      </c>
      <c r="L534">
        <f t="shared" si="17"/>
        <v>76655.821292943991</v>
      </c>
    </row>
    <row r="535" spans="4:12" x14ac:dyDescent="0.25">
      <c r="D535">
        <f t="shared" si="16"/>
        <v>0</v>
      </c>
      <c r="H535">
        <v>533</v>
      </c>
      <c r="I535" s="1">
        <v>45492</v>
      </c>
      <c r="J535">
        <f t="array" ref="J535">INDEX($D$3:$D$62,MATCH(1, (YEAR(I535)=YEAR($A$3:$A$62))*(MONTH(I535)=MONTH($A$3:$A$62)),0))</f>
        <v>80814.498106946499</v>
      </c>
      <c r="K535">
        <f t="array" ref="K535">INDEX($G$3:$G$200,MATCH(1, (YEAR(I535)=YEAR($A$3:$A$2000))*(MONTH(I535)=MONTH($A$3:$A$2000)),0))</f>
        <v>129744.64130441773</v>
      </c>
      <c r="L535">
        <f t="shared" si="17"/>
        <v>76579.432331636985</v>
      </c>
    </row>
    <row r="536" spans="4:12" x14ac:dyDescent="0.25">
      <c r="D536">
        <f t="shared" si="16"/>
        <v>0</v>
      </c>
      <c r="H536">
        <v>534</v>
      </c>
      <c r="I536" s="1">
        <v>45493</v>
      </c>
      <c r="J536">
        <f t="array" ref="J536">INDEX($D$3:$D$62,MATCH(1, (YEAR(I536)=YEAR($A$3:$A$62))*(MONTH(I536)=MONTH($A$3:$A$62)),0))</f>
        <v>80814.498106946499</v>
      </c>
      <c r="K536">
        <f t="array" ref="K536">INDEX($G$3:$G$200,MATCH(1, (YEAR(I536)=YEAR($A$3:$A$2000))*(MONTH(I536)=MONTH($A$3:$A$2000)),0))</f>
        <v>129744.64130441773</v>
      </c>
      <c r="L536">
        <f t="shared" si="17"/>
        <v>76503.180391583985</v>
      </c>
    </row>
    <row r="537" spans="4:12" x14ac:dyDescent="0.25">
      <c r="D537">
        <f t="shared" si="16"/>
        <v>0</v>
      </c>
      <c r="H537">
        <v>535</v>
      </c>
      <c r="I537" s="1">
        <v>45494</v>
      </c>
      <c r="J537">
        <f t="array" ref="J537">INDEX($D$3:$D$62,MATCH(1, (YEAR(I537)=YEAR($A$3:$A$62))*(MONTH(I537)=MONTH($A$3:$A$62)),0))</f>
        <v>80814.498106946499</v>
      </c>
      <c r="K537">
        <f t="array" ref="K537">INDEX($G$3:$G$200,MATCH(1, (YEAR(I537)=YEAR($A$3:$A$2000))*(MONTH(I537)=MONTH($A$3:$A$2000)),0))</f>
        <v>129744.64130441773</v>
      </c>
      <c r="L537">
        <f t="shared" si="17"/>
        <v>76427.065203798993</v>
      </c>
    </row>
    <row r="538" spans="4:12" x14ac:dyDescent="0.25">
      <c r="D538">
        <f t="shared" si="16"/>
        <v>0</v>
      </c>
      <c r="H538">
        <v>536</v>
      </c>
      <c r="I538" s="1">
        <v>45495</v>
      </c>
      <c r="J538">
        <f t="array" ref="J538">INDEX($D$3:$D$62,MATCH(1, (YEAR(I538)=YEAR($A$3:$A$62))*(MONTH(I538)=MONTH($A$3:$A$62)),0))</f>
        <v>80814.498106946499</v>
      </c>
      <c r="K538">
        <f t="array" ref="K538">INDEX($G$3:$G$200,MATCH(1, (YEAR(I538)=YEAR($A$3:$A$2000))*(MONTH(I538)=MONTH($A$3:$A$2000)),0))</f>
        <v>129744.64130441773</v>
      </c>
      <c r="L538">
        <f t="shared" si="17"/>
        <v>76351.08649958398</v>
      </c>
    </row>
    <row r="539" spans="4:12" x14ac:dyDescent="0.25">
      <c r="D539">
        <f t="shared" si="16"/>
        <v>0</v>
      </c>
      <c r="H539">
        <v>537</v>
      </c>
      <c r="I539" s="1">
        <v>45496</v>
      </c>
      <c r="J539">
        <f t="array" ref="J539">INDEX($D$3:$D$62,MATCH(1, (YEAR(I539)=YEAR($A$3:$A$62))*(MONTH(I539)=MONTH($A$3:$A$62)),0))</f>
        <v>80814.498106946499</v>
      </c>
      <c r="K539">
        <f t="array" ref="K539">INDEX($G$3:$G$200,MATCH(1, (YEAR(I539)=YEAR($A$3:$A$2000))*(MONTH(I539)=MONTH($A$3:$A$2000)),0))</f>
        <v>129744.64130441773</v>
      </c>
      <c r="L539">
        <f t="shared" si="17"/>
        <v>76275.244010528986</v>
      </c>
    </row>
    <row r="540" spans="4:12" x14ac:dyDescent="0.25">
      <c r="D540">
        <f t="shared" si="16"/>
        <v>0</v>
      </c>
      <c r="H540">
        <v>538</v>
      </c>
      <c r="I540" s="1">
        <v>45497</v>
      </c>
      <c r="J540">
        <f t="array" ref="J540">INDEX($D$3:$D$62,MATCH(1, (YEAR(I540)=YEAR($A$3:$A$62))*(MONTH(I540)=MONTH($A$3:$A$62)),0))</f>
        <v>80814.498106946499</v>
      </c>
      <c r="K540">
        <f t="array" ref="K540">INDEX($G$3:$G$200,MATCH(1, (YEAR(I540)=YEAR($A$3:$A$2000))*(MONTH(I540)=MONTH($A$3:$A$2000)),0))</f>
        <v>129744.64130441773</v>
      </c>
      <c r="L540">
        <f t="shared" si="17"/>
        <v>76199.53746851199</v>
      </c>
    </row>
    <row r="541" spans="4:12" x14ac:dyDescent="0.25">
      <c r="D541">
        <f t="shared" si="16"/>
        <v>0</v>
      </c>
      <c r="H541">
        <v>539</v>
      </c>
      <c r="I541" s="1">
        <v>45498</v>
      </c>
      <c r="J541">
        <f t="array" ref="J541">INDEX($D$3:$D$62,MATCH(1, (YEAR(I541)=YEAR($A$3:$A$62))*(MONTH(I541)=MONTH($A$3:$A$62)),0))</f>
        <v>80814.498106946499</v>
      </c>
      <c r="K541">
        <f t="array" ref="K541">INDEX($G$3:$G$200,MATCH(1, (YEAR(I541)=YEAR($A$3:$A$2000))*(MONTH(I541)=MONTH($A$3:$A$2000)),0))</f>
        <v>129744.64130441773</v>
      </c>
      <c r="L541">
        <f t="shared" si="17"/>
        <v>76123.966605698981</v>
      </c>
    </row>
    <row r="542" spans="4:12" x14ac:dyDescent="0.25">
      <c r="D542">
        <f t="shared" si="16"/>
        <v>0</v>
      </c>
      <c r="H542">
        <v>540</v>
      </c>
      <c r="I542" s="1">
        <v>45499</v>
      </c>
      <c r="J542">
        <f t="array" ref="J542">INDEX($D$3:$D$62,MATCH(1, (YEAR(I542)=YEAR($A$3:$A$62))*(MONTH(I542)=MONTH($A$3:$A$62)),0))</f>
        <v>80814.498106946499</v>
      </c>
      <c r="K542">
        <f t="array" ref="K542">INDEX($G$3:$G$200,MATCH(1, (YEAR(I542)=YEAR($A$3:$A$2000))*(MONTH(I542)=MONTH($A$3:$A$2000)),0))</f>
        <v>129744.64130441773</v>
      </c>
      <c r="L542">
        <f t="shared" si="17"/>
        <v>76048.531154543976</v>
      </c>
    </row>
    <row r="543" spans="4:12" x14ac:dyDescent="0.25">
      <c r="D543">
        <f t="shared" si="16"/>
        <v>0</v>
      </c>
      <c r="H543">
        <v>541</v>
      </c>
      <c r="I543" s="1">
        <v>45500</v>
      </c>
      <c r="J543">
        <f t="array" ref="J543">INDEX($D$3:$D$62,MATCH(1, (YEAR(I543)=YEAR($A$3:$A$62))*(MONTH(I543)=MONTH($A$3:$A$62)),0))</f>
        <v>80814.498106946499</v>
      </c>
      <c r="K543">
        <f t="array" ref="K543">INDEX($G$3:$G$200,MATCH(1, (YEAR(I543)=YEAR($A$3:$A$2000))*(MONTH(I543)=MONTH($A$3:$A$2000)),0))</f>
        <v>129744.64130441773</v>
      </c>
      <c r="L543">
        <f t="shared" si="17"/>
        <v>75973.230847788989</v>
      </c>
    </row>
    <row r="544" spans="4:12" x14ac:dyDescent="0.25">
      <c r="D544">
        <f t="shared" si="16"/>
        <v>0</v>
      </c>
      <c r="H544">
        <v>542</v>
      </c>
      <c r="I544" s="1">
        <v>45501</v>
      </c>
      <c r="J544">
        <f t="array" ref="J544">INDEX($D$3:$D$62,MATCH(1, (YEAR(I544)=YEAR($A$3:$A$62))*(MONTH(I544)=MONTH($A$3:$A$62)),0))</f>
        <v>80814.498106946499</v>
      </c>
      <c r="K544">
        <f t="array" ref="K544">INDEX($G$3:$G$200,MATCH(1, (YEAR(I544)=YEAR($A$3:$A$2000))*(MONTH(I544)=MONTH($A$3:$A$2000)),0))</f>
        <v>129744.64130441773</v>
      </c>
      <c r="L544">
        <f t="shared" si="17"/>
        <v>75898.065418463986</v>
      </c>
    </row>
    <row r="545" spans="4:12" x14ac:dyDescent="0.25">
      <c r="D545">
        <f t="shared" si="16"/>
        <v>0</v>
      </c>
      <c r="H545">
        <v>543</v>
      </c>
      <c r="I545" s="1">
        <v>45502</v>
      </c>
      <c r="J545">
        <f t="array" ref="J545">INDEX($D$3:$D$62,MATCH(1, (YEAR(I545)=YEAR($A$3:$A$62))*(MONTH(I545)=MONTH($A$3:$A$62)),0))</f>
        <v>80814.498106946499</v>
      </c>
      <c r="K545">
        <f t="array" ref="K545">INDEX($G$3:$G$200,MATCH(1, (YEAR(I545)=YEAR($A$3:$A$2000))*(MONTH(I545)=MONTH($A$3:$A$2000)),0))</f>
        <v>129744.64130441773</v>
      </c>
      <c r="L545">
        <f t="shared" si="17"/>
        <v>75823.034599886989</v>
      </c>
    </row>
    <row r="546" spans="4:12" x14ac:dyDescent="0.25">
      <c r="D546">
        <f t="shared" si="16"/>
        <v>0</v>
      </c>
      <c r="H546">
        <v>544</v>
      </c>
      <c r="I546" s="1">
        <v>45503</v>
      </c>
      <c r="J546">
        <f t="array" ref="J546">INDEX($D$3:$D$62,MATCH(1, (YEAR(I546)=YEAR($A$3:$A$62))*(MONTH(I546)=MONTH($A$3:$A$62)),0))</f>
        <v>80814.498106946499</v>
      </c>
      <c r="K546">
        <f t="array" ref="K546">INDEX($G$3:$G$200,MATCH(1, (YEAR(I546)=YEAR($A$3:$A$2000))*(MONTH(I546)=MONTH($A$3:$A$2000)),0))</f>
        <v>129744.64130441773</v>
      </c>
      <c r="L546">
        <f t="shared" si="17"/>
        <v>75748.138125663987</v>
      </c>
    </row>
    <row r="547" spans="4:12" x14ac:dyDescent="0.25">
      <c r="D547">
        <f t="shared" si="16"/>
        <v>0</v>
      </c>
      <c r="H547">
        <v>545</v>
      </c>
      <c r="I547" s="1">
        <v>45504</v>
      </c>
      <c r="J547">
        <f t="array" ref="J547">INDEX($D$3:$D$62,MATCH(1, (YEAR(I547)=YEAR($A$3:$A$62))*(MONTH(I547)=MONTH($A$3:$A$62)),0))</f>
        <v>80814.498106946499</v>
      </c>
      <c r="K547">
        <f t="array" ref="K547">INDEX($G$3:$G$200,MATCH(1, (YEAR(I547)=YEAR($A$3:$A$2000))*(MONTH(I547)=MONTH($A$3:$A$2000)),0))</f>
        <v>129744.64130441773</v>
      </c>
      <c r="L547">
        <f t="shared" si="17"/>
        <v>75673.375729688982</v>
      </c>
    </row>
    <row r="548" spans="4:12" x14ac:dyDescent="0.25">
      <c r="D548">
        <f t="shared" si="16"/>
        <v>0</v>
      </c>
      <c r="H548">
        <v>546</v>
      </c>
      <c r="I548" s="1">
        <v>45505</v>
      </c>
      <c r="J548">
        <f t="array" ref="J548">INDEX($D$3:$D$62,MATCH(1, (YEAR(I548)=YEAR($A$3:$A$62))*(MONTH(I548)=MONTH($A$3:$A$62)),0))</f>
        <v>78377.487005133371</v>
      </c>
      <c r="K548">
        <f t="array" ref="K548">INDEX($G$3:$G$200,MATCH(1, (YEAR(I548)=YEAR($A$3:$A$2000))*(MONTH(I548)=MONTH($A$3:$A$2000)),0))</f>
        <v>126145.03183127953</v>
      </c>
      <c r="L548">
        <f t="shared" si="17"/>
        <v>75598.747146143985</v>
      </c>
    </row>
    <row r="549" spans="4:12" x14ac:dyDescent="0.25">
      <c r="D549">
        <f t="shared" si="16"/>
        <v>0</v>
      </c>
      <c r="H549">
        <v>547</v>
      </c>
      <c r="I549" s="1">
        <v>45506</v>
      </c>
      <c r="J549">
        <f t="array" ref="J549">INDEX($D$3:$D$62,MATCH(1, (YEAR(I549)=YEAR($A$3:$A$62))*(MONTH(I549)=MONTH($A$3:$A$62)),0))</f>
        <v>78377.487005133371</v>
      </c>
      <c r="K549">
        <f t="array" ref="K549">INDEX($G$3:$G$200,MATCH(1, (YEAR(I549)=YEAR($A$3:$A$2000))*(MONTH(I549)=MONTH($A$3:$A$2000)),0))</f>
        <v>126145.03183127953</v>
      </c>
      <c r="L549">
        <f t="shared" si="17"/>
        <v>75524.252109498979</v>
      </c>
    </row>
    <row r="550" spans="4:12" x14ac:dyDescent="0.25">
      <c r="D550">
        <f t="shared" si="16"/>
        <v>0</v>
      </c>
      <c r="H550">
        <v>548</v>
      </c>
      <c r="I550" s="1">
        <v>45507</v>
      </c>
      <c r="J550">
        <f t="array" ref="J550">INDEX($D$3:$D$62,MATCH(1, (YEAR(I550)=YEAR($A$3:$A$62))*(MONTH(I550)=MONTH($A$3:$A$62)),0))</f>
        <v>78377.487005133371</v>
      </c>
      <c r="K550">
        <f t="array" ref="K550">INDEX($G$3:$G$200,MATCH(1, (YEAR(I550)=YEAR($A$3:$A$2000))*(MONTH(I550)=MONTH($A$3:$A$2000)),0))</f>
        <v>126145.03183127953</v>
      </c>
      <c r="L550">
        <f t="shared" si="17"/>
        <v>75449.890354511997</v>
      </c>
    </row>
    <row r="551" spans="4:12" x14ac:dyDescent="0.25">
      <c r="D551">
        <f t="shared" si="16"/>
        <v>0</v>
      </c>
      <c r="H551">
        <v>549</v>
      </c>
      <c r="I551" s="1">
        <v>45508</v>
      </c>
      <c r="J551">
        <f t="array" ref="J551">INDEX($D$3:$D$62,MATCH(1, (YEAR(I551)=YEAR($A$3:$A$62))*(MONTH(I551)=MONTH($A$3:$A$62)),0))</f>
        <v>78377.487005133371</v>
      </c>
      <c r="K551">
        <f t="array" ref="K551">INDEX($G$3:$G$200,MATCH(1, (YEAR(I551)=YEAR($A$3:$A$2000))*(MONTH(I551)=MONTH($A$3:$A$2000)),0))</f>
        <v>126145.03183127953</v>
      </c>
      <c r="L551">
        <f t="shared" si="17"/>
        <v>75375.661616228987</v>
      </c>
    </row>
    <row r="552" spans="4:12" x14ac:dyDescent="0.25">
      <c r="D552">
        <f t="shared" si="16"/>
        <v>0</v>
      </c>
      <c r="H552">
        <v>550</v>
      </c>
      <c r="I552" s="1">
        <v>45509</v>
      </c>
      <c r="J552">
        <f t="array" ref="J552">INDEX($D$3:$D$62,MATCH(1, (YEAR(I552)=YEAR($A$3:$A$62))*(MONTH(I552)=MONTH($A$3:$A$62)),0))</f>
        <v>78377.487005133371</v>
      </c>
      <c r="K552">
        <f t="array" ref="K552">INDEX($G$3:$G$200,MATCH(1, (YEAR(I552)=YEAR($A$3:$A$2000))*(MONTH(I552)=MONTH($A$3:$A$2000)),0))</f>
        <v>126145.03183127953</v>
      </c>
      <c r="L552">
        <f t="shared" si="17"/>
        <v>75301.56562998399</v>
      </c>
    </row>
    <row r="553" spans="4:12" x14ac:dyDescent="0.25">
      <c r="D553">
        <f t="shared" si="16"/>
        <v>0</v>
      </c>
      <c r="H553">
        <v>551</v>
      </c>
      <c r="I553" s="1">
        <v>45510</v>
      </c>
      <c r="J553">
        <f t="array" ref="J553">INDEX($D$3:$D$62,MATCH(1, (YEAR(I553)=YEAR($A$3:$A$62))*(MONTH(I553)=MONTH($A$3:$A$62)),0))</f>
        <v>78377.487005133371</v>
      </c>
      <c r="K553">
        <f t="array" ref="K553">INDEX($G$3:$G$200,MATCH(1, (YEAR(I553)=YEAR($A$3:$A$2000))*(MONTH(I553)=MONTH($A$3:$A$2000)),0))</f>
        <v>126145.03183127953</v>
      </c>
      <c r="L553">
        <f t="shared" si="17"/>
        <v>75227.602131398977</v>
      </c>
    </row>
    <row r="554" spans="4:12" x14ac:dyDescent="0.25">
      <c r="D554">
        <f t="shared" si="16"/>
        <v>0</v>
      </c>
      <c r="H554">
        <v>552</v>
      </c>
      <c r="I554" s="1">
        <v>45511</v>
      </c>
      <c r="J554">
        <f t="array" ref="J554">INDEX($D$3:$D$62,MATCH(1, (YEAR(I554)=YEAR($A$3:$A$62))*(MONTH(I554)=MONTH($A$3:$A$62)),0))</f>
        <v>78377.487005133371</v>
      </c>
      <c r="K554">
        <f t="array" ref="K554">INDEX($G$3:$G$200,MATCH(1, (YEAR(I554)=YEAR($A$3:$A$2000))*(MONTH(I554)=MONTH($A$3:$A$2000)),0))</f>
        <v>126145.03183127953</v>
      </c>
      <c r="L554">
        <f t="shared" si="17"/>
        <v>75153.770856383984</v>
      </c>
    </row>
    <row r="555" spans="4:12" x14ac:dyDescent="0.25">
      <c r="D555">
        <f t="shared" si="16"/>
        <v>0</v>
      </c>
      <c r="H555">
        <v>553</v>
      </c>
      <c r="I555" s="1">
        <v>45512</v>
      </c>
      <c r="J555">
        <f t="array" ref="J555">INDEX($D$3:$D$62,MATCH(1, (YEAR(I555)=YEAR($A$3:$A$62))*(MONTH(I555)=MONTH($A$3:$A$62)),0))</f>
        <v>78377.487005133371</v>
      </c>
      <c r="K555">
        <f t="array" ref="K555">INDEX($G$3:$G$200,MATCH(1, (YEAR(I555)=YEAR($A$3:$A$2000))*(MONTH(I555)=MONTH($A$3:$A$2000)),0))</f>
        <v>126145.03183127953</v>
      </c>
      <c r="L555">
        <f t="shared" si="17"/>
        <v>75080.071541136989</v>
      </c>
    </row>
    <row r="556" spans="4:12" x14ac:dyDescent="0.25">
      <c r="D556">
        <f t="shared" si="16"/>
        <v>0</v>
      </c>
      <c r="H556">
        <v>554</v>
      </c>
      <c r="I556" s="1">
        <v>45513</v>
      </c>
      <c r="J556">
        <f t="array" ref="J556">INDEX($D$3:$D$62,MATCH(1, (YEAR(I556)=YEAR($A$3:$A$62))*(MONTH(I556)=MONTH($A$3:$A$62)),0))</f>
        <v>78377.487005133371</v>
      </c>
      <c r="K556">
        <f t="array" ref="K556">INDEX($G$3:$G$200,MATCH(1, (YEAR(I556)=YEAR($A$3:$A$2000))*(MONTH(I556)=MONTH($A$3:$A$2000)),0))</f>
        <v>126145.03183127953</v>
      </c>
      <c r="L556">
        <f t="shared" si="17"/>
        <v>75006.503922143995</v>
      </c>
    </row>
    <row r="557" spans="4:12" x14ac:dyDescent="0.25">
      <c r="D557">
        <f t="shared" si="16"/>
        <v>0</v>
      </c>
      <c r="H557">
        <v>555</v>
      </c>
      <c r="I557" s="1">
        <v>45514</v>
      </c>
      <c r="J557">
        <f t="array" ref="J557">INDEX($D$3:$D$62,MATCH(1, (YEAR(I557)=YEAR($A$3:$A$62))*(MONTH(I557)=MONTH($A$3:$A$62)),0))</f>
        <v>78377.487005133371</v>
      </c>
      <c r="K557">
        <f t="array" ref="K557">INDEX($G$3:$G$200,MATCH(1, (YEAR(I557)=YEAR($A$3:$A$2000))*(MONTH(I557)=MONTH($A$3:$A$2000)),0))</f>
        <v>126145.03183127953</v>
      </c>
      <c r="L557">
        <f t="shared" si="17"/>
        <v>74933.067736178986</v>
      </c>
    </row>
    <row r="558" spans="4:12" x14ac:dyDescent="0.25">
      <c r="D558">
        <f t="shared" si="16"/>
        <v>0</v>
      </c>
      <c r="H558">
        <v>556</v>
      </c>
      <c r="I558" s="1">
        <v>45515</v>
      </c>
      <c r="J558">
        <f t="array" ref="J558">INDEX($D$3:$D$62,MATCH(1, (YEAR(I558)=YEAR($A$3:$A$62))*(MONTH(I558)=MONTH($A$3:$A$62)),0))</f>
        <v>78377.487005133371</v>
      </c>
      <c r="K558">
        <f t="array" ref="K558">INDEX($G$3:$G$200,MATCH(1, (YEAR(I558)=YEAR($A$3:$A$2000))*(MONTH(I558)=MONTH($A$3:$A$2000)),0))</f>
        <v>126145.03183127953</v>
      </c>
      <c r="L558">
        <f t="shared" si="17"/>
        <v>74859.762720303988</v>
      </c>
    </row>
    <row r="559" spans="4:12" x14ac:dyDescent="0.25">
      <c r="D559">
        <f t="shared" si="16"/>
        <v>0</v>
      </c>
      <c r="H559">
        <v>557</v>
      </c>
      <c r="I559" s="1">
        <v>45516</v>
      </c>
      <c r="J559">
        <f t="array" ref="J559">INDEX($D$3:$D$62,MATCH(1, (YEAR(I559)=YEAR($A$3:$A$62))*(MONTH(I559)=MONTH($A$3:$A$62)),0))</f>
        <v>78377.487005133371</v>
      </c>
      <c r="K559">
        <f t="array" ref="K559">INDEX($G$3:$G$200,MATCH(1, (YEAR(I559)=YEAR($A$3:$A$2000))*(MONTH(I559)=MONTH($A$3:$A$2000)),0))</f>
        <v>126145.03183127953</v>
      </c>
      <c r="L559">
        <f t="shared" si="17"/>
        <v>74786.588611868996</v>
      </c>
    </row>
    <row r="560" spans="4:12" x14ac:dyDescent="0.25">
      <c r="D560">
        <f t="shared" si="16"/>
        <v>0</v>
      </c>
      <c r="H560">
        <v>558</v>
      </c>
      <c r="I560" s="1">
        <v>45517</v>
      </c>
      <c r="J560">
        <f t="array" ref="J560">INDEX($D$3:$D$62,MATCH(1, (YEAR(I560)=YEAR($A$3:$A$62))*(MONTH(I560)=MONTH($A$3:$A$62)),0))</f>
        <v>78377.487005133371</v>
      </c>
      <c r="K560">
        <f t="array" ref="K560">INDEX($G$3:$G$200,MATCH(1, (YEAR(I560)=YEAR($A$3:$A$2000))*(MONTH(I560)=MONTH($A$3:$A$2000)),0))</f>
        <v>126145.03183127953</v>
      </c>
      <c r="L560">
        <f t="shared" si="17"/>
        <v>74713.545148511999</v>
      </c>
    </row>
    <row r="561" spans="4:12" x14ac:dyDescent="0.25">
      <c r="D561">
        <f t="shared" si="16"/>
        <v>0</v>
      </c>
      <c r="H561">
        <v>559</v>
      </c>
      <c r="I561" s="1">
        <v>45518</v>
      </c>
      <c r="J561">
        <f t="array" ref="J561">INDEX($D$3:$D$62,MATCH(1, (YEAR(I561)=YEAR($A$3:$A$62))*(MONTH(I561)=MONTH($A$3:$A$62)),0))</f>
        <v>78377.487005133371</v>
      </c>
      <c r="K561">
        <f t="array" ref="K561">INDEX($G$3:$G$200,MATCH(1, (YEAR(I561)=YEAR($A$3:$A$2000))*(MONTH(I561)=MONTH($A$3:$A$2000)),0))</f>
        <v>126145.03183127953</v>
      </c>
      <c r="L561">
        <f t="shared" si="17"/>
        <v>74640.632068158986</v>
      </c>
    </row>
    <row r="562" spans="4:12" x14ac:dyDescent="0.25">
      <c r="D562">
        <f t="shared" si="16"/>
        <v>0</v>
      </c>
      <c r="H562">
        <v>560</v>
      </c>
      <c r="I562" s="1">
        <v>45519</v>
      </c>
      <c r="J562">
        <f t="array" ref="J562">INDEX($D$3:$D$62,MATCH(1, (YEAR(I562)=YEAR($A$3:$A$62))*(MONTH(I562)=MONTH($A$3:$A$62)),0))</f>
        <v>78377.487005133371</v>
      </c>
      <c r="K562">
        <f t="array" ref="K562">INDEX($G$3:$G$200,MATCH(1, (YEAR(I562)=YEAR($A$3:$A$2000))*(MONTH(I562)=MONTH($A$3:$A$2000)),0))</f>
        <v>126145.03183127953</v>
      </c>
      <c r="L562">
        <f t="shared" si="17"/>
        <v>74567.849109023984</v>
      </c>
    </row>
    <row r="563" spans="4:12" x14ac:dyDescent="0.25">
      <c r="D563">
        <f t="shared" si="16"/>
        <v>0</v>
      </c>
      <c r="H563">
        <v>561</v>
      </c>
      <c r="I563" s="1">
        <v>45520</v>
      </c>
      <c r="J563">
        <f t="array" ref="J563">INDEX($D$3:$D$62,MATCH(1, (YEAR(I563)=YEAR($A$3:$A$62))*(MONTH(I563)=MONTH($A$3:$A$62)),0))</f>
        <v>78377.487005133371</v>
      </c>
      <c r="K563">
        <f t="array" ref="K563">INDEX($G$3:$G$200,MATCH(1, (YEAR(I563)=YEAR($A$3:$A$2000))*(MONTH(I563)=MONTH($A$3:$A$2000)),0))</f>
        <v>126145.03183127953</v>
      </c>
      <c r="L563">
        <f t="shared" si="17"/>
        <v>74495.19600960899</v>
      </c>
    </row>
    <row r="564" spans="4:12" x14ac:dyDescent="0.25">
      <c r="D564">
        <f t="shared" si="16"/>
        <v>0</v>
      </c>
      <c r="H564">
        <v>562</v>
      </c>
      <c r="I564" s="1">
        <v>45521</v>
      </c>
      <c r="J564">
        <f t="array" ref="J564">INDEX($D$3:$D$62,MATCH(1, (YEAR(I564)=YEAR($A$3:$A$62))*(MONTH(I564)=MONTH($A$3:$A$62)),0))</f>
        <v>78377.487005133371</v>
      </c>
      <c r="K564">
        <f t="array" ref="K564">INDEX($G$3:$G$200,MATCH(1, (YEAR(I564)=YEAR($A$3:$A$2000))*(MONTH(I564)=MONTH($A$3:$A$2000)),0))</f>
        <v>126145.03183127953</v>
      </c>
      <c r="L564">
        <f t="shared" si="17"/>
        <v>74422.672508703996</v>
      </c>
    </row>
    <row r="565" spans="4:12" x14ac:dyDescent="0.25">
      <c r="D565">
        <f t="shared" si="16"/>
        <v>0</v>
      </c>
      <c r="H565">
        <v>563</v>
      </c>
      <c r="I565" s="1">
        <v>45522</v>
      </c>
      <c r="J565">
        <f t="array" ref="J565">INDEX($D$3:$D$62,MATCH(1, (YEAR(I565)=YEAR($A$3:$A$62))*(MONTH(I565)=MONTH($A$3:$A$62)),0))</f>
        <v>78377.487005133371</v>
      </c>
      <c r="K565">
        <f t="array" ref="K565">INDEX($G$3:$G$200,MATCH(1, (YEAR(I565)=YEAR($A$3:$A$2000))*(MONTH(I565)=MONTH($A$3:$A$2000)),0))</f>
        <v>126145.03183127953</v>
      </c>
      <c r="L565">
        <f t="shared" si="17"/>
        <v>74350.278345386978</v>
      </c>
    </row>
    <row r="566" spans="4:12" x14ac:dyDescent="0.25">
      <c r="D566">
        <f t="shared" si="16"/>
        <v>0</v>
      </c>
      <c r="H566">
        <v>564</v>
      </c>
      <c r="I566" s="1">
        <v>45523</v>
      </c>
      <c r="J566">
        <f t="array" ref="J566">INDEX($D$3:$D$62,MATCH(1, (YEAR(I566)=YEAR($A$3:$A$62))*(MONTH(I566)=MONTH($A$3:$A$62)),0))</f>
        <v>78377.487005133371</v>
      </c>
      <c r="K566">
        <f t="array" ref="K566">INDEX($G$3:$G$200,MATCH(1, (YEAR(I566)=YEAR($A$3:$A$2000))*(MONTH(I566)=MONTH($A$3:$A$2000)),0))</f>
        <v>126145.03183127953</v>
      </c>
      <c r="L566">
        <f t="shared" si="17"/>
        <v>74278.013259023981</v>
      </c>
    </row>
    <row r="567" spans="4:12" x14ac:dyDescent="0.25">
      <c r="D567">
        <f t="shared" si="16"/>
        <v>0</v>
      </c>
      <c r="H567">
        <v>565</v>
      </c>
      <c r="I567" s="1">
        <v>45524</v>
      </c>
      <c r="J567">
        <f t="array" ref="J567">INDEX($D$3:$D$62,MATCH(1, (YEAR(I567)=YEAR($A$3:$A$62))*(MONTH(I567)=MONTH($A$3:$A$62)),0))</f>
        <v>78377.487005133371</v>
      </c>
      <c r="K567">
        <f t="array" ref="K567">INDEX($G$3:$G$200,MATCH(1, (YEAR(I567)=YEAR($A$3:$A$2000))*(MONTH(I567)=MONTH($A$3:$A$2000)),0))</f>
        <v>126145.03183127953</v>
      </c>
      <c r="L567">
        <f t="shared" si="17"/>
        <v>74205.876989268989</v>
      </c>
    </row>
    <row r="568" spans="4:12" x14ac:dyDescent="0.25">
      <c r="D568">
        <f t="shared" si="16"/>
        <v>0</v>
      </c>
      <c r="H568">
        <v>566</v>
      </c>
      <c r="I568" s="1">
        <v>45525</v>
      </c>
      <c r="J568">
        <f t="array" ref="J568">INDEX($D$3:$D$62,MATCH(1, (YEAR(I568)=YEAR($A$3:$A$62))*(MONTH(I568)=MONTH($A$3:$A$62)),0))</f>
        <v>78377.487005133371</v>
      </c>
      <c r="K568">
        <f t="array" ref="K568">INDEX($G$3:$G$200,MATCH(1, (YEAR(I568)=YEAR($A$3:$A$2000))*(MONTH(I568)=MONTH($A$3:$A$2000)),0))</f>
        <v>126145.03183127953</v>
      </c>
      <c r="L568">
        <f t="shared" si="17"/>
        <v>74133.869276063982</v>
      </c>
    </row>
    <row r="569" spans="4:12" x14ac:dyDescent="0.25">
      <c r="D569">
        <f t="shared" si="16"/>
        <v>0</v>
      </c>
      <c r="H569">
        <v>567</v>
      </c>
      <c r="I569" s="1">
        <v>45526</v>
      </c>
      <c r="J569">
        <f t="array" ref="J569">INDEX($D$3:$D$62,MATCH(1, (YEAR(I569)=YEAR($A$3:$A$62))*(MONTH(I569)=MONTH($A$3:$A$62)),0))</f>
        <v>78377.487005133371</v>
      </c>
      <c r="K569">
        <f t="array" ref="K569">INDEX($G$3:$G$200,MATCH(1, (YEAR(I569)=YEAR($A$3:$A$2000))*(MONTH(I569)=MONTH($A$3:$A$2000)),0))</f>
        <v>126145.03183127953</v>
      </c>
      <c r="L569">
        <f t="shared" si="17"/>
        <v>74061.989859638983</v>
      </c>
    </row>
    <row r="570" spans="4:12" x14ac:dyDescent="0.25">
      <c r="D570">
        <f t="shared" si="16"/>
        <v>0</v>
      </c>
      <c r="H570">
        <v>568</v>
      </c>
      <c r="I570" s="1">
        <v>45527</v>
      </c>
      <c r="J570">
        <f t="array" ref="J570">INDEX($D$3:$D$62,MATCH(1, (YEAR(I570)=YEAR($A$3:$A$62))*(MONTH(I570)=MONTH($A$3:$A$62)),0))</f>
        <v>78377.487005133371</v>
      </c>
      <c r="K570">
        <f t="array" ref="K570">INDEX($G$3:$G$200,MATCH(1, (YEAR(I570)=YEAR($A$3:$A$2000))*(MONTH(I570)=MONTH($A$3:$A$2000)),0))</f>
        <v>126145.03183127953</v>
      </c>
      <c r="L570">
        <f t="shared" si="17"/>
        <v>73990.238480511995</v>
      </c>
    </row>
    <row r="571" spans="4:12" x14ac:dyDescent="0.25">
      <c r="D571">
        <f t="shared" si="16"/>
        <v>0</v>
      </c>
      <c r="H571">
        <v>569</v>
      </c>
      <c r="I571" s="1">
        <v>45528</v>
      </c>
      <c r="J571">
        <f t="array" ref="J571">INDEX($D$3:$D$62,MATCH(1, (YEAR(I571)=YEAR($A$3:$A$62))*(MONTH(I571)=MONTH($A$3:$A$62)),0))</f>
        <v>78377.487005133371</v>
      </c>
      <c r="K571">
        <f t="array" ref="K571">INDEX($G$3:$G$200,MATCH(1, (YEAR(I571)=YEAR($A$3:$A$2000))*(MONTH(I571)=MONTH($A$3:$A$2000)),0))</f>
        <v>126145.03183127953</v>
      </c>
      <c r="L571">
        <f t="shared" si="17"/>
        <v>73918.614879488974</v>
      </c>
    </row>
    <row r="572" spans="4:12" x14ac:dyDescent="0.25">
      <c r="D572">
        <f t="shared" si="16"/>
        <v>0</v>
      </c>
      <c r="H572">
        <v>570</v>
      </c>
      <c r="I572" s="1">
        <v>45529</v>
      </c>
      <c r="J572">
        <f t="array" ref="J572">INDEX($D$3:$D$62,MATCH(1, (YEAR(I572)=YEAR($A$3:$A$62))*(MONTH(I572)=MONTH($A$3:$A$62)),0))</f>
        <v>78377.487005133371</v>
      </c>
      <c r="K572">
        <f t="array" ref="K572">INDEX($G$3:$G$200,MATCH(1, (YEAR(I572)=YEAR($A$3:$A$2000))*(MONTH(I572)=MONTH($A$3:$A$2000)),0))</f>
        <v>126145.03183127953</v>
      </c>
      <c r="L572">
        <f t="shared" si="17"/>
        <v>73847.118797663978</v>
      </c>
    </row>
    <row r="573" spans="4:12" x14ac:dyDescent="0.25">
      <c r="D573">
        <f t="shared" si="16"/>
        <v>0</v>
      </c>
      <c r="H573">
        <v>571</v>
      </c>
      <c r="I573" s="1">
        <v>45530</v>
      </c>
      <c r="J573">
        <f t="array" ref="J573">INDEX($D$3:$D$62,MATCH(1, (YEAR(I573)=YEAR($A$3:$A$62))*(MONTH(I573)=MONTH($A$3:$A$62)),0))</f>
        <v>78377.487005133371</v>
      </c>
      <c r="K573">
        <f t="array" ref="K573">INDEX($G$3:$G$200,MATCH(1, (YEAR(I573)=YEAR($A$3:$A$2000))*(MONTH(I573)=MONTH($A$3:$A$2000)),0))</f>
        <v>126145.03183127953</v>
      </c>
      <c r="L573">
        <f t="shared" si="17"/>
        <v>73775.749976418985</v>
      </c>
    </row>
    <row r="574" spans="4:12" x14ac:dyDescent="0.25">
      <c r="D574">
        <f t="shared" si="16"/>
        <v>0</v>
      </c>
      <c r="H574">
        <v>572</v>
      </c>
      <c r="I574" s="1">
        <v>45531</v>
      </c>
      <c r="J574">
        <f t="array" ref="J574">INDEX($D$3:$D$62,MATCH(1, (YEAR(I574)=YEAR($A$3:$A$62))*(MONTH(I574)=MONTH($A$3:$A$62)),0))</f>
        <v>78377.487005133371</v>
      </c>
      <c r="K574">
        <f t="array" ref="K574">INDEX($G$3:$G$200,MATCH(1, (YEAR(I574)=YEAR($A$3:$A$2000))*(MONTH(I574)=MONTH($A$3:$A$2000)),0))</f>
        <v>126145.03183127953</v>
      </c>
      <c r="L574">
        <f t="shared" si="17"/>
        <v>73704.508157423988</v>
      </c>
    </row>
    <row r="575" spans="4:12" x14ac:dyDescent="0.25">
      <c r="D575">
        <f t="shared" si="16"/>
        <v>0</v>
      </c>
      <c r="H575">
        <v>573</v>
      </c>
      <c r="I575" s="1">
        <v>45532</v>
      </c>
      <c r="J575">
        <f t="array" ref="J575">INDEX($D$3:$D$62,MATCH(1, (YEAR(I575)=YEAR($A$3:$A$62))*(MONTH(I575)=MONTH($A$3:$A$62)),0))</f>
        <v>78377.487005133371</v>
      </c>
      <c r="K575">
        <f t="array" ref="K575">INDEX($G$3:$G$200,MATCH(1, (YEAR(I575)=YEAR($A$3:$A$2000))*(MONTH(I575)=MONTH($A$3:$A$2000)),0))</f>
        <v>126145.03183127953</v>
      </c>
      <c r="L575">
        <f t="shared" si="17"/>
        <v>73633.393082636976</v>
      </c>
    </row>
    <row r="576" spans="4:12" x14ac:dyDescent="0.25">
      <c r="D576">
        <f t="shared" si="16"/>
        <v>0</v>
      </c>
      <c r="H576">
        <v>574</v>
      </c>
      <c r="I576" s="1">
        <v>45533</v>
      </c>
      <c r="J576">
        <f t="array" ref="J576">INDEX($D$3:$D$62,MATCH(1, (YEAR(I576)=YEAR($A$3:$A$62))*(MONTH(I576)=MONTH($A$3:$A$62)),0))</f>
        <v>78377.487005133371</v>
      </c>
      <c r="K576">
        <f t="array" ref="K576">INDEX($G$3:$G$200,MATCH(1, (YEAR(I576)=YEAR($A$3:$A$2000))*(MONTH(I576)=MONTH($A$3:$A$2000)),0))</f>
        <v>126145.03183127953</v>
      </c>
      <c r="L576">
        <f t="shared" si="17"/>
        <v>73562.404494303977</v>
      </c>
    </row>
    <row r="577" spans="4:12" x14ac:dyDescent="0.25">
      <c r="D577">
        <f t="shared" si="16"/>
        <v>0</v>
      </c>
      <c r="H577">
        <v>575</v>
      </c>
      <c r="I577" s="1">
        <v>45534</v>
      </c>
      <c r="J577">
        <f t="array" ref="J577">INDEX($D$3:$D$62,MATCH(1, (YEAR(I577)=YEAR($A$3:$A$62))*(MONTH(I577)=MONTH($A$3:$A$62)),0))</f>
        <v>78377.487005133371</v>
      </c>
      <c r="K577">
        <f t="array" ref="K577">INDEX($G$3:$G$200,MATCH(1, (YEAR(I577)=YEAR($A$3:$A$2000))*(MONTH(I577)=MONTH($A$3:$A$2000)),0))</f>
        <v>126145.03183127953</v>
      </c>
      <c r="L577">
        <f t="shared" si="17"/>
        <v>73491.542134958989</v>
      </c>
    </row>
    <row r="578" spans="4:12" x14ac:dyDescent="0.25">
      <c r="D578">
        <f t="shared" si="16"/>
        <v>0</v>
      </c>
      <c r="H578">
        <v>576</v>
      </c>
      <c r="I578" s="1">
        <v>45535</v>
      </c>
      <c r="J578">
        <f t="array" ref="J578">INDEX($D$3:$D$62,MATCH(1, (YEAR(I578)=YEAR($A$3:$A$62))*(MONTH(I578)=MONTH($A$3:$A$62)),0))</f>
        <v>78377.487005133371</v>
      </c>
      <c r="K578">
        <f t="array" ref="K578">INDEX($G$3:$G$200,MATCH(1, (YEAR(I578)=YEAR($A$3:$A$2000))*(MONTH(I578)=MONTH($A$3:$A$2000)),0))</f>
        <v>126145.03183127953</v>
      </c>
      <c r="L578">
        <f t="shared" si="17"/>
        <v>73420.80574742399</v>
      </c>
    </row>
    <row r="579" spans="4:12" x14ac:dyDescent="0.25">
      <c r="D579">
        <f t="shared" si="16"/>
        <v>0</v>
      </c>
      <c r="H579">
        <v>577</v>
      </c>
      <c r="I579" s="1">
        <v>45536</v>
      </c>
      <c r="J579">
        <f t="array" ref="J579">INDEX($D$3:$D$62,MATCH(1, (YEAR(I579)=YEAR($A$3:$A$62))*(MONTH(I579)=MONTH($A$3:$A$62)),0))</f>
        <v>76355.551918431331</v>
      </c>
      <c r="K579">
        <f t="array" ref="K579">INDEX($G$3:$G$200,MATCH(1, (YEAR(I579)=YEAR($A$3:$A$2000))*(MONTH(I579)=MONTH($A$3:$A$2000)),0))</f>
        <v>110359.80916105576</v>
      </c>
      <c r="L579">
        <f t="shared" si="17"/>
        <v>73350.195074808988</v>
      </c>
    </row>
    <row r="580" spans="4:12" x14ac:dyDescent="0.25">
      <c r="D580">
        <f t="shared" ref="D580:D643" si="18">SUM(B580:C580)</f>
        <v>0</v>
      </c>
      <c r="H580">
        <v>578</v>
      </c>
      <c r="I580" s="1">
        <v>45537</v>
      </c>
      <c r="J580">
        <f t="array" ref="J580">INDEX($D$3:$D$62,MATCH(1, (YEAR(I580)=YEAR($A$3:$A$62))*(MONTH(I580)=MONTH($A$3:$A$62)),0))</f>
        <v>76355.551918431331</v>
      </c>
      <c r="K580">
        <f t="array" ref="K580">INDEX($G$3:$G$200,MATCH(1, (YEAR(I580)=YEAR($A$3:$A$2000))*(MONTH(I580)=MONTH($A$3:$A$2000)),0))</f>
        <v>110359.80916105576</v>
      </c>
      <c r="L580">
        <f t="shared" ref="L580:L643" si="19">0.000000012*H580^4-0.000070439*H580^3+0.160688168*H580^2-194.849290676*H580+144481.718306784</f>
        <v>73279.709860511997</v>
      </c>
    </row>
    <row r="581" spans="4:12" x14ac:dyDescent="0.25">
      <c r="D581">
        <f t="shared" si="18"/>
        <v>0</v>
      </c>
      <c r="H581">
        <v>579</v>
      </c>
      <c r="I581" s="1">
        <v>45538</v>
      </c>
      <c r="J581">
        <f t="array" ref="J581">INDEX($D$3:$D$62,MATCH(1, (YEAR(I581)=YEAR($A$3:$A$62))*(MONTH(I581)=MONTH($A$3:$A$62)),0))</f>
        <v>76355.551918431331</v>
      </c>
      <c r="K581">
        <f t="array" ref="K581">INDEX($G$3:$G$200,MATCH(1, (YEAR(I581)=YEAR($A$3:$A$2000))*(MONTH(I581)=MONTH($A$3:$A$2000)),0))</f>
        <v>110359.80916105576</v>
      </c>
      <c r="L581">
        <f t="shared" si="19"/>
        <v>73209.34984821899</v>
      </c>
    </row>
    <row r="582" spans="4:12" x14ac:dyDescent="0.25">
      <c r="D582">
        <f t="shared" si="18"/>
        <v>0</v>
      </c>
      <c r="H582">
        <v>580</v>
      </c>
      <c r="I582" s="1">
        <v>45539</v>
      </c>
      <c r="J582">
        <f t="array" ref="J582">INDEX($D$3:$D$62,MATCH(1, (YEAR(I582)=YEAR($A$3:$A$62))*(MONTH(I582)=MONTH($A$3:$A$62)),0))</f>
        <v>76355.551918431331</v>
      </c>
      <c r="K582">
        <f t="array" ref="K582">INDEX($G$3:$G$200,MATCH(1, (YEAR(I582)=YEAR($A$3:$A$2000))*(MONTH(I582)=MONTH($A$3:$A$2000)),0))</f>
        <v>110359.80916105576</v>
      </c>
      <c r="L582">
        <f t="shared" si="19"/>
        <v>73139.114781903991</v>
      </c>
    </row>
    <row r="583" spans="4:12" x14ac:dyDescent="0.25">
      <c r="D583">
        <f t="shared" si="18"/>
        <v>0</v>
      </c>
      <c r="H583">
        <v>581</v>
      </c>
      <c r="I583" s="1">
        <v>45540</v>
      </c>
      <c r="J583">
        <f t="array" ref="J583">INDEX($D$3:$D$62,MATCH(1, (YEAR(I583)=YEAR($A$3:$A$62))*(MONTH(I583)=MONTH($A$3:$A$62)),0))</f>
        <v>76355.551918431331</v>
      </c>
      <c r="K583">
        <f t="array" ref="K583">INDEX($G$3:$G$200,MATCH(1, (YEAR(I583)=YEAR($A$3:$A$2000))*(MONTH(I583)=MONTH($A$3:$A$2000)),0))</f>
        <v>110359.80916105576</v>
      </c>
      <c r="L583">
        <f t="shared" si="19"/>
        <v>73069.004405828993</v>
      </c>
    </row>
    <row r="584" spans="4:12" x14ac:dyDescent="0.25">
      <c r="D584">
        <f t="shared" si="18"/>
        <v>0</v>
      </c>
      <c r="H584">
        <v>582</v>
      </c>
      <c r="I584" s="1">
        <v>45541</v>
      </c>
      <c r="J584">
        <f t="array" ref="J584">INDEX($D$3:$D$62,MATCH(1, (YEAR(I584)=YEAR($A$3:$A$62))*(MONTH(I584)=MONTH($A$3:$A$62)),0))</f>
        <v>76355.551918431331</v>
      </c>
      <c r="K584">
        <f t="array" ref="K584">INDEX($G$3:$G$200,MATCH(1, (YEAR(I584)=YEAR($A$3:$A$2000))*(MONTH(I584)=MONTH($A$3:$A$2000)),0))</f>
        <v>110359.80916105576</v>
      </c>
      <c r="L584">
        <f t="shared" si="19"/>
        <v>72999.018464543973</v>
      </c>
    </row>
    <row r="585" spans="4:12" x14ac:dyDescent="0.25">
      <c r="D585">
        <f t="shared" si="18"/>
        <v>0</v>
      </c>
      <c r="H585">
        <v>583</v>
      </c>
      <c r="I585" s="1">
        <v>45542</v>
      </c>
      <c r="J585">
        <f t="array" ref="J585">INDEX($D$3:$D$62,MATCH(1, (YEAR(I585)=YEAR($A$3:$A$62))*(MONTH(I585)=MONTH($A$3:$A$62)),0))</f>
        <v>76355.551918431331</v>
      </c>
      <c r="K585">
        <f t="array" ref="K585">INDEX($G$3:$G$200,MATCH(1, (YEAR(I585)=YEAR($A$3:$A$2000))*(MONTH(I585)=MONTH($A$3:$A$2000)),0))</f>
        <v>110359.80916105576</v>
      </c>
      <c r="L585">
        <f t="shared" si="19"/>
        <v>72929.15670288699</v>
      </c>
    </row>
    <row r="586" spans="4:12" x14ac:dyDescent="0.25">
      <c r="D586">
        <f t="shared" si="18"/>
        <v>0</v>
      </c>
      <c r="H586">
        <v>584</v>
      </c>
      <c r="I586" s="1">
        <v>45543</v>
      </c>
      <c r="J586">
        <f t="array" ref="J586">INDEX($D$3:$D$62,MATCH(1, (YEAR(I586)=YEAR($A$3:$A$62))*(MONTH(I586)=MONTH($A$3:$A$62)),0))</f>
        <v>76355.551918431331</v>
      </c>
      <c r="K586">
        <f t="array" ref="K586">INDEX($G$3:$G$200,MATCH(1, (YEAR(I586)=YEAR($A$3:$A$2000))*(MONTH(I586)=MONTH($A$3:$A$2000)),0))</f>
        <v>110359.80916105576</v>
      </c>
      <c r="L586">
        <f t="shared" si="19"/>
        <v>72859.418865983986</v>
      </c>
    </row>
    <row r="587" spans="4:12" x14ac:dyDescent="0.25">
      <c r="D587">
        <f t="shared" si="18"/>
        <v>0</v>
      </c>
      <c r="H587">
        <v>585</v>
      </c>
      <c r="I587" s="1">
        <v>45544</v>
      </c>
      <c r="J587">
        <f t="array" ref="J587">INDEX($D$3:$D$62,MATCH(1, (YEAR(I587)=YEAR($A$3:$A$62))*(MONTH(I587)=MONTH($A$3:$A$62)),0))</f>
        <v>76355.551918431331</v>
      </c>
      <c r="K587">
        <f t="array" ref="K587">INDEX($G$3:$G$200,MATCH(1, (YEAR(I587)=YEAR($A$3:$A$2000))*(MONTH(I587)=MONTH($A$3:$A$2000)),0))</f>
        <v>110359.80916105576</v>
      </c>
      <c r="L587">
        <f t="shared" si="19"/>
        <v>72789.804699248984</v>
      </c>
    </row>
    <row r="588" spans="4:12" x14ac:dyDescent="0.25">
      <c r="D588">
        <f t="shared" si="18"/>
        <v>0</v>
      </c>
      <c r="H588">
        <v>586</v>
      </c>
      <c r="I588" s="1">
        <v>45545</v>
      </c>
      <c r="J588">
        <f t="array" ref="J588">INDEX($D$3:$D$62,MATCH(1, (YEAR(I588)=YEAR($A$3:$A$62))*(MONTH(I588)=MONTH($A$3:$A$62)),0))</f>
        <v>76355.551918431331</v>
      </c>
      <c r="K588">
        <f t="array" ref="K588">INDEX($G$3:$G$200,MATCH(1, (YEAR(I588)=YEAR($A$3:$A$2000))*(MONTH(I588)=MONTH($A$3:$A$2000)),0))</f>
        <v>110359.80916105576</v>
      </c>
      <c r="L588">
        <f t="shared" si="19"/>
        <v>72720.313948383991</v>
      </c>
    </row>
    <row r="589" spans="4:12" x14ac:dyDescent="0.25">
      <c r="D589">
        <f t="shared" si="18"/>
        <v>0</v>
      </c>
      <c r="H589">
        <v>587</v>
      </c>
      <c r="I589" s="1">
        <v>45546</v>
      </c>
      <c r="J589">
        <f t="array" ref="J589">INDEX($D$3:$D$62,MATCH(1, (YEAR(I589)=YEAR($A$3:$A$62))*(MONTH(I589)=MONTH($A$3:$A$62)),0))</f>
        <v>76355.551918431331</v>
      </c>
      <c r="K589">
        <f t="array" ref="K589">INDEX($G$3:$G$200,MATCH(1, (YEAR(I589)=YEAR($A$3:$A$2000))*(MONTH(I589)=MONTH($A$3:$A$2000)),0))</f>
        <v>110359.80916105576</v>
      </c>
      <c r="L589">
        <f t="shared" si="19"/>
        <v>72650.946359378999</v>
      </c>
    </row>
    <row r="590" spans="4:12" x14ac:dyDescent="0.25">
      <c r="D590">
        <f t="shared" si="18"/>
        <v>0</v>
      </c>
      <c r="H590">
        <v>588</v>
      </c>
      <c r="I590" s="1">
        <v>45547</v>
      </c>
      <c r="J590">
        <f t="array" ref="J590">INDEX($D$3:$D$62,MATCH(1, (YEAR(I590)=YEAR($A$3:$A$62))*(MONTH(I590)=MONTH($A$3:$A$62)),0))</f>
        <v>76355.551918431331</v>
      </c>
      <c r="K590">
        <f t="array" ref="K590">INDEX($G$3:$G$200,MATCH(1, (YEAR(I590)=YEAR($A$3:$A$2000))*(MONTH(I590)=MONTH($A$3:$A$2000)),0))</f>
        <v>110359.80916105576</v>
      </c>
      <c r="L590">
        <f t="shared" si="19"/>
        <v>72581.701678511978</v>
      </c>
    </row>
    <row r="591" spans="4:12" x14ac:dyDescent="0.25">
      <c r="D591">
        <f t="shared" si="18"/>
        <v>0</v>
      </c>
      <c r="H591">
        <v>589</v>
      </c>
      <c r="I591" s="1">
        <v>45548</v>
      </c>
      <c r="J591">
        <f t="array" ref="J591">INDEX($D$3:$D$62,MATCH(1, (YEAR(I591)=YEAR($A$3:$A$62))*(MONTH(I591)=MONTH($A$3:$A$62)),0))</f>
        <v>76355.551918431331</v>
      </c>
      <c r="K591">
        <f t="array" ref="K591">INDEX($G$3:$G$200,MATCH(1, (YEAR(I591)=YEAR($A$3:$A$2000))*(MONTH(I591)=MONTH($A$3:$A$2000)),0))</f>
        <v>110359.80916105576</v>
      </c>
      <c r="L591">
        <f t="shared" si="19"/>
        <v>72512.579652348999</v>
      </c>
    </row>
    <row r="592" spans="4:12" x14ac:dyDescent="0.25">
      <c r="D592">
        <f t="shared" si="18"/>
        <v>0</v>
      </c>
      <c r="H592">
        <v>590</v>
      </c>
      <c r="I592" s="1">
        <v>45549</v>
      </c>
      <c r="J592">
        <f t="array" ref="J592">INDEX($D$3:$D$62,MATCH(1, (YEAR(I592)=YEAR($A$3:$A$62))*(MONTH(I592)=MONTH($A$3:$A$62)),0))</f>
        <v>76355.551918431331</v>
      </c>
      <c r="K592">
        <f t="array" ref="K592">INDEX($G$3:$G$200,MATCH(1, (YEAR(I592)=YEAR($A$3:$A$2000))*(MONTH(I592)=MONTH($A$3:$A$2000)),0))</f>
        <v>110359.80916105576</v>
      </c>
      <c r="L592">
        <f t="shared" si="19"/>
        <v>72443.580027743985</v>
      </c>
    </row>
    <row r="593" spans="4:12" x14ac:dyDescent="0.25">
      <c r="D593">
        <f t="shared" si="18"/>
        <v>0</v>
      </c>
      <c r="H593">
        <v>591</v>
      </c>
      <c r="I593" s="1">
        <v>45550</v>
      </c>
      <c r="J593">
        <f t="array" ref="J593">INDEX($D$3:$D$62,MATCH(1, (YEAR(I593)=YEAR($A$3:$A$62))*(MONTH(I593)=MONTH($A$3:$A$62)),0))</f>
        <v>76355.551918431331</v>
      </c>
      <c r="K593">
        <f t="array" ref="K593">INDEX($G$3:$G$200,MATCH(1, (YEAR(I593)=YEAR($A$3:$A$2000))*(MONTH(I593)=MONTH($A$3:$A$2000)),0))</f>
        <v>110359.80916105576</v>
      </c>
      <c r="L593">
        <f t="shared" si="19"/>
        <v>72374.702551839</v>
      </c>
    </row>
    <row r="594" spans="4:12" x14ac:dyDescent="0.25">
      <c r="D594">
        <f t="shared" si="18"/>
        <v>0</v>
      </c>
      <c r="H594">
        <v>592</v>
      </c>
      <c r="I594" s="1">
        <v>45551</v>
      </c>
      <c r="J594">
        <f t="array" ref="J594">INDEX($D$3:$D$62,MATCH(1, (YEAR(I594)=YEAR($A$3:$A$62))*(MONTH(I594)=MONTH($A$3:$A$62)),0))</f>
        <v>76355.551918431331</v>
      </c>
      <c r="K594">
        <f t="array" ref="K594">INDEX($G$3:$G$200,MATCH(1, (YEAR(I594)=YEAR($A$3:$A$2000))*(MONTH(I594)=MONTH($A$3:$A$2000)),0))</f>
        <v>110359.80916105576</v>
      </c>
      <c r="L594">
        <f t="shared" si="19"/>
        <v>72305.946972063975</v>
      </c>
    </row>
    <row r="595" spans="4:12" x14ac:dyDescent="0.25">
      <c r="D595">
        <f t="shared" si="18"/>
        <v>0</v>
      </c>
      <c r="H595">
        <v>593</v>
      </c>
      <c r="I595" s="1">
        <v>45552</v>
      </c>
      <c r="J595">
        <f t="array" ref="J595">INDEX($D$3:$D$62,MATCH(1, (YEAR(I595)=YEAR($A$3:$A$62))*(MONTH(I595)=MONTH($A$3:$A$62)),0))</f>
        <v>76355.551918431331</v>
      </c>
      <c r="K595">
        <f t="array" ref="K595">INDEX($G$3:$G$200,MATCH(1, (YEAR(I595)=YEAR($A$3:$A$2000))*(MONTH(I595)=MONTH($A$3:$A$2000)),0))</f>
        <v>110359.80916105576</v>
      </c>
      <c r="L595">
        <f t="shared" si="19"/>
        <v>72237.313036136984</v>
      </c>
    </row>
    <row r="596" spans="4:12" x14ac:dyDescent="0.25">
      <c r="D596">
        <f t="shared" si="18"/>
        <v>0</v>
      </c>
      <c r="H596">
        <v>594</v>
      </c>
      <c r="I596" s="1">
        <v>45553</v>
      </c>
      <c r="J596">
        <f t="array" ref="J596">INDEX($D$3:$D$62,MATCH(1, (YEAR(I596)=YEAR($A$3:$A$62))*(MONTH(I596)=MONTH($A$3:$A$62)),0))</f>
        <v>76355.551918431331</v>
      </c>
      <c r="K596">
        <f t="array" ref="K596">INDEX($G$3:$G$200,MATCH(1, (YEAR(I596)=YEAR($A$3:$A$2000))*(MONTH(I596)=MONTH($A$3:$A$2000)),0))</f>
        <v>110359.80916105576</v>
      </c>
      <c r="L596">
        <f t="shared" si="19"/>
        <v>72168.80049206398</v>
      </c>
    </row>
    <row r="597" spans="4:12" x14ac:dyDescent="0.25">
      <c r="D597">
        <f t="shared" si="18"/>
        <v>0</v>
      </c>
      <c r="H597">
        <v>595</v>
      </c>
      <c r="I597" s="1">
        <v>45554</v>
      </c>
      <c r="J597">
        <f t="array" ref="J597">INDEX($D$3:$D$62,MATCH(1, (YEAR(I597)=YEAR($A$3:$A$62))*(MONTH(I597)=MONTH($A$3:$A$62)),0))</f>
        <v>76355.551918431331</v>
      </c>
      <c r="K597">
        <f t="array" ref="K597">INDEX($G$3:$G$200,MATCH(1, (YEAR(I597)=YEAR($A$3:$A$2000))*(MONTH(I597)=MONTH($A$3:$A$2000)),0))</f>
        <v>110359.80916105576</v>
      </c>
      <c r="L597">
        <f t="shared" si="19"/>
        <v>72100.409088138986</v>
      </c>
    </row>
    <row r="598" spans="4:12" x14ac:dyDescent="0.25">
      <c r="D598">
        <f t="shared" si="18"/>
        <v>0</v>
      </c>
      <c r="H598">
        <v>596</v>
      </c>
      <c r="I598" s="1">
        <v>45555</v>
      </c>
      <c r="J598">
        <f t="array" ref="J598">INDEX($D$3:$D$62,MATCH(1, (YEAR(I598)=YEAR($A$3:$A$62))*(MONTH(I598)=MONTH($A$3:$A$62)),0))</f>
        <v>76355.551918431331</v>
      </c>
      <c r="K598">
        <f t="array" ref="K598">INDEX($G$3:$G$200,MATCH(1, (YEAR(I598)=YEAR($A$3:$A$2000))*(MONTH(I598)=MONTH($A$3:$A$2000)),0))</f>
        <v>110359.80916105576</v>
      </c>
      <c r="L598">
        <f t="shared" si="19"/>
        <v>72032.138572943979</v>
      </c>
    </row>
    <row r="599" spans="4:12" x14ac:dyDescent="0.25">
      <c r="D599">
        <f t="shared" si="18"/>
        <v>0</v>
      </c>
      <c r="H599">
        <v>597</v>
      </c>
      <c r="I599" s="1">
        <v>45556</v>
      </c>
      <c r="J599">
        <f t="array" ref="J599">INDEX($D$3:$D$62,MATCH(1, (YEAR(I599)=YEAR($A$3:$A$62))*(MONTH(I599)=MONTH($A$3:$A$62)),0))</f>
        <v>76355.551918431331</v>
      </c>
      <c r="K599">
        <f t="array" ref="K599">INDEX($G$3:$G$200,MATCH(1, (YEAR(I599)=YEAR($A$3:$A$2000))*(MONTH(I599)=MONTH($A$3:$A$2000)),0))</f>
        <v>110359.80916105576</v>
      </c>
      <c r="L599">
        <f t="shared" si="19"/>
        <v>71963.988695348991</v>
      </c>
    </row>
    <row r="600" spans="4:12" x14ac:dyDescent="0.25">
      <c r="D600">
        <f t="shared" si="18"/>
        <v>0</v>
      </c>
      <c r="H600">
        <v>598</v>
      </c>
      <c r="I600" s="1">
        <v>45557</v>
      </c>
      <c r="J600">
        <f t="array" ref="J600">INDEX($D$3:$D$62,MATCH(1, (YEAR(I600)=YEAR($A$3:$A$62))*(MONTH(I600)=MONTH($A$3:$A$62)),0))</f>
        <v>76355.551918431331</v>
      </c>
      <c r="K600">
        <f t="array" ref="K600">INDEX($G$3:$G$200,MATCH(1, (YEAR(I600)=YEAR($A$3:$A$2000))*(MONTH(I600)=MONTH($A$3:$A$2000)),0))</f>
        <v>110359.80916105576</v>
      </c>
      <c r="L600">
        <f t="shared" si="19"/>
        <v>71895.959204511979</v>
      </c>
    </row>
    <row r="601" spans="4:12" x14ac:dyDescent="0.25">
      <c r="D601">
        <f t="shared" si="18"/>
        <v>0</v>
      </c>
      <c r="H601">
        <v>599</v>
      </c>
      <c r="I601" s="1">
        <v>45558</v>
      </c>
      <c r="J601">
        <f t="array" ref="J601">INDEX($D$3:$D$62,MATCH(1, (YEAR(I601)=YEAR($A$3:$A$62))*(MONTH(I601)=MONTH($A$3:$A$62)),0))</f>
        <v>76355.551918431331</v>
      </c>
      <c r="K601">
        <f t="array" ref="K601">INDEX($G$3:$G$200,MATCH(1, (YEAR(I601)=YEAR($A$3:$A$2000))*(MONTH(I601)=MONTH($A$3:$A$2000)),0))</f>
        <v>110359.80916105576</v>
      </c>
      <c r="L601">
        <f t="shared" si="19"/>
        <v>71828.049849878982</v>
      </c>
    </row>
    <row r="602" spans="4:12" x14ac:dyDescent="0.25">
      <c r="D602">
        <f t="shared" si="18"/>
        <v>0</v>
      </c>
      <c r="H602">
        <v>600</v>
      </c>
      <c r="I602" s="1">
        <v>45559</v>
      </c>
      <c r="J602">
        <f t="array" ref="J602">INDEX($D$3:$D$62,MATCH(1, (YEAR(I602)=YEAR($A$3:$A$62))*(MONTH(I602)=MONTH($A$3:$A$62)),0))</f>
        <v>76355.551918431331</v>
      </c>
      <c r="K602">
        <f t="array" ref="K602">INDEX($G$3:$G$200,MATCH(1, (YEAR(I602)=YEAR($A$3:$A$2000))*(MONTH(I602)=MONTH($A$3:$A$2000)),0))</f>
        <v>110359.80916105576</v>
      </c>
      <c r="L602">
        <f t="shared" si="19"/>
        <v>71760.260381183994</v>
      </c>
    </row>
    <row r="603" spans="4:12" x14ac:dyDescent="0.25">
      <c r="D603">
        <f t="shared" si="18"/>
        <v>0</v>
      </c>
      <c r="H603">
        <v>601</v>
      </c>
      <c r="I603" s="1">
        <v>45560</v>
      </c>
      <c r="J603">
        <f t="array" ref="J603">INDEX($D$3:$D$62,MATCH(1, (YEAR(I603)=YEAR($A$3:$A$62))*(MONTH(I603)=MONTH($A$3:$A$62)),0))</f>
        <v>76355.551918431331</v>
      </c>
      <c r="K603">
        <f t="array" ref="K603">INDEX($G$3:$G$200,MATCH(1, (YEAR(I603)=YEAR($A$3:$A$2000))*(MONTH(I603)=MONTH($A$3:$A$2000)),0))</f>
        <v>110359.80916105576</v>
      </c>
      <c r="L603">
        <f t="shared" si="19"/>
        <v>71692.590548448992</v>
      </c>
    </row>
    <row r="604" spans="4:12" x14ac:dyDescent="0.25">
      <c r="D604">
        <f t="shared" si="18"/>
        <v>0</v>
      </c>
      <c r="H604">
        <v>602</v>
      </c>
      <c r="I604" s="1">
        <v>45561</v>
      </c>
      <c r="J604">
        <f t="array" ref="J604">INDEX($D$3:$D$62,MATCH(1, (YEAR(I604)=YEAR($A$3:$A$62))*(MONTH(I604)=MONTH($A$3:$A$62)),0))</f>
        <v>76355.551918431331</v>
      </c>
      <c r="K604">
        <f t="array" ref="K604">INDEX($G$3:$G$200,MATCH(1, (YEAR(I604)=YEAR($A$3:$A$2000))*(MONTH(I604)=MONTH($A$3:$A$2000)),0))</f>
        <v>110359.80916105576</v>
      </c>
      <c r="L604">
        <f t="shared" si="19"/>
        <v>71625.040101983992</v>
      </c>
    </row>
    <row r="605" spans="4:12" x14ac:dyDescent="0.25">
      <c r="D605">
        <f t="shared" si="18"/>
        <v>0</v>
      </c>
      <c r="H605">
        <v>603</v>
      </c>
      <c r="I605" s="1">
        <v>45562</v>
      </c>
      <c r="J605">
        <f t="array" ref="J605">INDEX($D$3:$D$62,MATCH(1, (YEAR(I605)=YEAR($A$3:$A$62))*(MONTH(I605)=MONTH($A$3:$A$62)),0))</f>
        <v>76355.551918431331</v>
      </c>
      <c r="K605">
        <f t="array" ref="K605">INDEX($G$3:$G$200,MATCH(1, (YEAR(I605)=YEAR($A$3:$A$2000))*(MONTH(I605)=MONTH($A$3:$A$2000)),0))</f>
        <v>110359.80916105576</v>
      </c>
      <c r="L605">
        <f t="shared" si="19"/>
        <v>71557.608792386978</v>
      </c>
    </row>
    <row r="606" spans="4:12" x14ac:dyDescent="0.25">
      <c r="D606">
        <f t="shared" si="18"/>
        <v>0</v>
      </c>
      <c r="H606">
        <v>604</v>
      </c>
      <c r="I606" s="1">
        <v>45563</v>
      </c>
      <c r="J606">
        <f t="array" ref="J606">INDEX($D$3:$D$62,MATCH(1, (YEAR(I606)=YEAR($A$3:$A$62))*(MONTH(I606)=MONTH($A$3:$A$62)),0))</f>
        <v>76355.551918431331</v>
      </c>
      <c r="K606">
        <f t="array" ref="K606">INDEX($G$3:$G$200,MATCH(1, (YEAR(I606)=YEAR($A$3:$A$2000))*(MONTH(I606)=MONTH($A$3:$A$2000)),0))</f>
        <v>110359.80916105576</v>
      </c>
      <c r="L606">
        <f t="shared" si="19"/>
        <v>71490.296370543976</v>
      </c>
    </row>
    <row r="607" spans="4:12" x14ac:dyDescent="0.25">
      <c r="D607">
        <f t="shared" si="18"/>
        <v>0</v>
      </c>
      <c r="H607">
        <v>605</v>
      </c>
      <c r="I607" s="1">
        <v>45564</v>
      </c>
      <c r="J607">
        <f t="array" ref="J607">INDEX($D$3:$D$62,MATCH(1, (YEAR(I607)=YEAR($A$3:$A$62))*(MONTH(I607)=MONTH($A$3:$A$62)),0))</f>
        <v>76355.551918431331</v>
      </c>
      <c r="K607">
        <f t="array" ref="K607">INDEX($G$3:$G$200,MATCH(1, (YEAR(I607)=YEAR($A$3:$A$2000))*(MONTH(I607)=MONTH($A$3:$A$2000)),0))</f>
        <v>110359.80916105576</v>
      </c>
      <c r="L607">
        <f t="shared" si="19"/>
        <v>71423.102587628993</v>
      </c>
    </row>
    <row r="608" spans="4:12" x14ac:dyDescent="0.25">
      <c r="D608">
        <f t="shared" si="18"/>
        <v>0</v>
      </c>
      <c r="H608">
        <v>606</v>
      </c>
      <c r="I608" s="1">
        <v>45565</v>
      </c>
      <c r="J608">
        <f t="array" ref="J608">INDEX($D$3:$D$62,MATCH(1, (YEAR(I608)=YEAR($A$3:$A$62))*(MONTH(I608)=MONTH($A$3:$A$62)),0))</f>
        <v>76355.551918431331</v>
      </c>
      <c r="K608">
        <f t="array" ref="K608">INDEX($G$3:$G$200,MATCH(1, (YEAR(I608)=YEAR($A$3:$A$2000))*(MONTH(I608)=MONTH($A$3:$A$2000)),0))</f>
        <v>110359.80916105576</v>
      </c>
      <c r="L608">
        <f t="shared" si="19"/>
        <v>71356.02719510399</v>
      </c>
    </row>
    <row r="609" spans="4:12" x14ac:dyDescent="0.25">
      <c r="D609">
        <f t="shared" si="18"/>
        <v>0</v>
      </c>
      <c r="H609">
        <v>607</v>
      </c>
      <c r="I609" s="1">
        <v>45566</v>
      </c>
      <c r="J609">
        <f t="array" ref="J609">INDEX($D$3:$D$62,MATCH(1, (YEAR(I609)=YEAR($A$3:$A$62))*(MONTH(I609)=MONTH($A$3:$A$62)),0))</f>
        <v>74428.900391267438</v>
      </c>
      <c r="K609">
        <f t="array" ref="K609">INDEX($G$3:$G$200,MATCH(1, (YEAR(I609)=YEAR($A$3:$A$2000))*(MONTH(I609)=MONTH($A$3:$A$2000)),0))</f>
        <v>107586.03298918066</v>
      </c>
      <c r="L609">
        <f t="shared" si="19"/>
        <v>71289.069944718984</v>
      </c>
    </row>
    <row r="610" spans="4:12" x14ac:dyDescent="0.25">
      <c r="D610">
        <f t="shared" si="18"/>
        <v>0</v>
      </c>
      <c r="H610">
        <v>608</v>
      </c>
      <c r="I610" s="1">
        <v>45567</v>
      </c>
      <c r="J610">
        <f t="array" ref="J610">INDEX($D$3:$D$62,MATCH(1, (YEAR(I610)=YEAR($A$3:$A$62))*(MONTH(I610)=MONTH($A$3:$A$62)),0))</f>
        <v>74428.900391267438</v>
      </c>
      <c r="K610">
        <f t="array" ref="K610">INDEX($G$3:$G$200,MATCH(1, (YEAR(I610)=YEAR($A$3:$A$2000))*(MONTH(I610)=MONTH($A$3:$A$2000)),0))</f>
        <v>107586.03298918066</v>
      </c>
      <c r="L610">
        <f t="shared" si="19"/>
        <v>71222.230588512</v>
      </c>
    </row>
    <row r="611" spans="4:12" x14ac:dyDescent="0.25">
      <c r="D611">
        <f t="shared" si="18"/>
        <v>0</v>
      </c>
      <c r="H611">
        <v>609</v>
      </c>
      <c r="I611" s="1">
        <v>45568</v>
      </c>
      <c r="J611">
        <f t="array" ref="J611">INDEX($D$3:$D$62,MATCH(1, (YEAR(I611)=YEAR($A$3:$A$62))*(MONTH(I611)=MONTH($A$3:$A$62)),0))</f>
        <v>74428.900391267438</v>
      </c>
      <c r="K611">
        <f t="array" ref="K611">INDEX($G$3:$G$200,MATCH(1, (YEAR(I611)=YEAR($A$3:$A$2000))*(MONTH(I611)=MONTH($A$3:$A$2000)),0))</f>
        <v>107586.03298918066</v>
      </c>
      <c r="L611">
        <f t="shared" si="19"/>
        <v>71155.508878808992</v>
      </c>
    </row>
    <row r="612" spans="4:12" x14ac:dyDescent="0.25">
      <c r="D612">
        <f t="shared" si="18"/>
        <v>0</v>
      </c>
      <c r="H612">
        <v>610</v>
      </c>
      <c r="I612" s="1">
        <v>45569</v>
      </c>
      <c r="J612">
        <f t="array" ref="J612">INDEX($D$3:$D$62,MATCH(1, (YEAR(I612)=YEAR($A$3:$A$62))*(MONTH(I612)=MONTH($A$3:$A$62)),0))</f>
        <v>74428.900391267438</v>
      </c>
      <c r="K612">
        <f t="array" ref="K612">INDEX($G$3:$G$200,MATCH(1, (YEAR(I612)=YEAR($A$3:$A$2000))*(MONTH(I612)=MONTH($A$3:$A$2000)),0))</f>
        <v>107586.03298918066</v>
      </c>
      <c r="L612">
        <f t="shared" si="19"/>
        <v>71088.904568223996</v>
      </c>
    </row>
    <row r="613" spans="4:12" x14ac:dyDescent="0.25">
      <c r="D613">
        <f t="shared" si="18"/>
        <v>0</v>
      </c>
      <c r="H613">
        <v>611</v>
      </c>
      <c r="I613" s="1">
        <v>45570</v>
      </c>
      <c r="J613">
        <f t="array" ref="J613">INDEX($D$3:$D$62,MATCH(1, (YEAR(I613)=YEAR($A$3:$A$62))*(MONTH(I613)=MONTH($A$3:$A$62)),0))</f>
        <v>74428.900391267438</v>
      </c>
      <c r="K613">
        <f t="array" ref="K613">INDEX($G$3:$G$200,MATCH(1, (YEAR(I613)=YEAR($A$3:$A$2000))*(MONTH(I613)=MONTH($A$3:$A$2000)),0))</f>
        <v>107586.03298918066</v>
      </c>
      <c r="L613">
        <f t="shared" si="19"/>
        <v>71022.417409658985</v>
      </c>
    </row>
    <row r="614" spans="4:12" x14ac:dyDescent="0.25">
      <c r="D614">
        <f t="shared" si="18"/>
        <v>0</v>
      </c>
      <c r="H614">
        <v>612</v>
      </c>
      <c r="I614" s="1">
        <v>45571</v>
      </c>
      <c r="J614">
        <f t="array" ref="J614">INDEX($D$3:$D$62,MATCH(1, (YEAR(I614)=YEAR($A$3:$A$62))*(MONTH(I614)=MONTH($A$3:$A$62)),0))</f>
        <v>74428.900391267438</v>
      </c>
      <c r="K614">
        <f t="array" ref="K614">INDEX($G$3:$G$200,MATCH(1, (YEAR(I614)=YEAR($A$3:$A$2000))*(MONTH(I614)=MONTH($A$3:$A$2000)),0))</f>
        <v>107586.03298918066</v>
      </c>
      <c r="L614">
        <f t="shared" si="19"/>
        <v>70956.04715630399</v>
      </c>
    </row>
    <row r="615" spans="4:12" x14ac:dyDescent="0.25">
      <c r="D615">
        <f t="shared" si="18"/>
        <v>0</v>
      </c>
      <c r="H615">
        <v>613</v>
      </c>
      <c r="I615" s="1">
        <v>45572</v>
      </c>
      <c r="J615">
        <f t="array" ref="J615">INDEX($D$3:$D$62,MATCH(1, (YEAR(I615)=YEAR($A$3:$A$62))*(MONTH(I615)=MONTH($A$3:$A$62)),0))</f>
        <v>74428.900391267438</v>
      </c>
      <c r="K615">
        <f t="array" ref="K615">INDEX($G$3:$G$200,MATCH(1, (YEAR(I615)=YEAR($A$3:$A$2000))*(MONTH(I615)=MONTH($A$3:$A$2000)),0))</f>
        <v>107586.03298918066</v>
      </c>
      <c r="L615">
        <f t="shared" si="19"/>
        <v>70889.793561636994</v>
      </c>
    </row>
    <row r="616" spans="4:12" x14ac:dyDescent="0.25">
      <c r="D616">
        <f t="shared" si="18"/>
        <v>0</v>
      </c>
      <c r="H616">
        <v>614</v>
      </c>
      <c r="I616" s="1">
        <v>45573</v>
      </c>
      <c r="J616">
        <f t="array" ref="J616">INDEX($D$3:$D$62,MATCH(1, (YEAR(I616)=YEAR($A$3:$A$62))*(MONTH(I616)=MONTH($A$3:$A$62)),0))</f>
        <v>74428.900391267438</v>
      </c>
      <c r="K616">
        <f t="array" ref="K616">INDEX($G$3:$G$200,MATCH(1, (YEAR(I616)=YEAR($A$3:$A$2000))*(MONTH(I616)=MONTH($A$3:$A$2000)),0))</f>
        <v>107586.03298918066</v>
      </c>
      <c r="L616">
        <f t="shared" si="19"/>
        <v>70823.656379423992</v>
      </c>
    </row>
    <row r="617" spans="4:12" x14ac:dyDescent="0.25">
      <c r="D617">
        <f t="shared" si="18"/>
        <v>0</v>
      </c>
      <c r="H617">
        <v>615</v>
      </c>
      <c r="I617" s="1">
        <v>45574</v>
      </c>
      <c r="J617">
        <f t="array" ref="J617">INDEX($D$3:$D$62,MATCH(1, (YEAR(I617)=YEAR($A$3:$A$62))*(MONTH(I617)=MONTH($A$3:$A$62)),0))</f>
        <v>74428.900391267438</v>
      </c>
      <c r="K617">
        <f t="array" ref="K617">INDEX($G$3:$G$200,MATCH(1, (YEAR(I617)=YEAR($A$3:$A$2000))*(MONTH(I617)=MONTH($A$3:$A$2000)),0))</f>
        <v>107586.03298918066</v>
      </c>
      <c r="L617">
        <f t="shared" si="19"/>
        <v>70757.63536371899</v>
      </c>
    </row>
    <row r="618" spans="4:12" x14ac:dyDescent="0.25">
      <c r="D618">
        <f t="shared" si="18"/>
        <v>0</v>
      </c>
      <c r="H618">
        <v>616</v>
      </c>
      <c r="I618" s="1">
        <v>45575</v>
      </c>
      <c r="J618">
        <f t="array" ref="J618">INDEX($D$3:$D$62,MATCH(1, (YEAR(I618)=YEAR($A$3:$A$62))*(MONTH(I618)=MONTH($A$3:$A$62)),0))</f>
        <v>74428.900391267438</v>
      </c>
      <c r="K618">
        <f t="array" ref="K618">INDEX($G$3:$G$200,MATCH(1, (YEAR(I618)=YEAR($A$3:$A$2000))*(MONTH(I618)=MONTH($A$3:$A$2000)),0))</f>
        <v>107586.03298918066</v>
      </c>
      <c r="L618">
        <f t="shared" si="19"/>
        <v>70691.73026886399</v>
      </c>
    </row>
    <row r="619" spans="4:12" x14ac:dyDescent="0.25">
      <c r="D619">
        <f t="shared" si="18"/>
        <v>0</v>
      </c>
      <c r="H619">
        <v>617</v>
      </c>
      <c r="I619" s="1">
        <v>45576</v>
      </c>
      <c r="J619">
        <f t="array" ref="J619">INDEX($D$3:$D$62,MATCH(1, (YEAR(I619)=YEAR($A$3:$A$62))*(MONTH(I619)=MONTH($A$3:$A$62)),0))</f>
        <v>74428.900391267438</v>
      </c>
      <c r="K619">
        <f t="array" ref="K619">INDEX($G$3:$G$200,MATCH(1, (YEAR(I619)=YEAR($A$3:$A$2000))*(MONTH(I619)=MONTH($A$3:$A$2000)),0))</f>
        <v>107586.03298918066</v>
      </c>
      <c r="L619">
        <f t="shared" si="19"/>
        <v>70625.940849488979</v>
      </c>
    </row>
    <row r="620" spans="4:12" x14ac:dyDescent="0.25">
      <c r="D620">
        <f t="shared" si="18"/>
        <v>0</v>
      </c>
      <c r="H620">
        <v>618</v>
      </c>
      <c r="I620" s="1">
        <v>45577</v>
      </c>
      <c r="J620">
        <f t="array" ref="J620">INDEX($D$3:$D$62,MATCH(1, (YEAR(I620)=YEAR($A$3:$A$62))*(MONTH(I620)=MONTH($A$3:$A$62)),0))</f>
        <v>74428.900391267438</v>
      </c>
      <c r="K620">
        <f t="array" ref="K620">INDEX($G$3:$G$200,MATCH(1, (YEAR(I620)=YEAR($A$3:$A$2000))*(MONTH(I620)=MONTH($A$3:$A$2000)),0))</f>
        <v>107586.03298918066</v>
      </c>
      <c r="L620">
        <f t="shared" si="19"/>
        <v>70560.266860511998</v>
      </c>
    </row>
    <row r="621" spans="4:12" x14ac:dyDescent="0.25">
      <c r="D621">
        <f t="shared" si="18"/>
        <v>0</v>
      </c>
      <c r="H621">
        <v>619</v>
      </c>
      <c r="I621" s="1">
        <v>45578</v>
      </c>
      <c r="J621">
        <f t="array" ref="J621">INDEX($D$3:$D$62,MATCH(1, (YEAR(I621)=YEAR($A$3:$A$62))*(MONTH(I621)=MONTH($A$3:$A$62)),0))</f>
        <v>74428.900391267438</v>
      </c>
      <c r="K621">
        <f t="array" ref="K621">INDEX($G$3:$G$200,MATCH(1, (YEAR(I621)=YEAR($A$3:$A$2000))*(MONTH(I621)=MONTH($A$3:$A$2000)),0))</f>
        <v>107586.03298918066</v>
      </c>
      <c r="L621">
        <f t="shared" si="19"/>
        <v>70494.708057138982</v>
      </c>
    </row>
    <row r="622" spans="4:12" x14ac:dyDescent="0.25">
      <c r="D622">
        <f t="shared" si="18"/>
        <v>0</v>
      </c>
      <c r="H622">
        <v>620</v>
      </c>
      <c r="I622" s="1">
        <v>45579</v>
      </c>
      <c r="J622">
        <f t="array" ref="J622">INDEX($D$3:$D$62,MATCH(1, (YEAR(I622)=YEAR($A$3:$A$62))*(MONTH(I622)=MONTH($A$3:$A$62)),0))</f>
        <v>74428.900391267438</v>
      </c>
      <c r="K622">
        <f t="array" ref="K622">INDEX($G$3:$G$200,MATCH(1, (YEAR(I622)=YEAR($A$3:$A$2000))*(MONTH(I622)=MONTH($A$3:$A$2000)),0))</f>
        <v>107586.03298918066</v>
      </c>
      <c r="L622">
        <f t="shared" si="19"/>
        <v>70429.264194863994</v>
      </c>
    </row>
    <row r="623" spans="4:12" x14ac:dyDescent="0.25">
      <c r="D623">
        <f t="shared" si="18"/>
        <v>0</v>
      </c>
      <c r="H623">
        <v>621</v>
      </c>
      <c r="I623" s="1">
        <v>45580</v>
      </c>
      <c r="J623">
        <f t="array" ref="J623">INDEX($D$3:$D$62,MATCH(1, (YEAR(I623)=YEAR($A$3:$A$62))*(MONTH(I623)=MONTH($A$3:$A$62)),0))</f>
        <v>74428.900391267438</v>
      </c>
      <c r="K623">
        <f t="array" ref="K623">INDEX($G$3:$G$200,MATCH(1, (YEAR(I623)=YEAR($A$3:$A$2000))*(MONTH(I623)=MONTH($A$3:$A$2000)),0))</f>
        <v>107586.03298918066</v>
      </c>
      <c r="L623">
        <f t="shared" si="19"/>
        <v>70363.935029468994</v>
      </c>
    </row>
    <row r="624" spans="4:12" x14ac:dyDescent="0.25">
      <c r="D624">
        <f t="shared" si="18"/>
        <v>0</v>
      </c>
      <c r="H624">
        <v>622</v>
      </c>
      <c r="I624" s="1">
        <v>45581</v>
      </c>
      <c r="J624">
        <f t="array" ref="J624">INDEX($D$3:$D$62,MATCH(1, (YEAR(I624)=YEAR($A$3:$A$62))*(MONTH(I624)=MONTH($A$3:$A$62)),0))</f>
        <v>74428.900391267438</v>
      </c>
      <c r="K624">
        <f t="array" ref="K624">INDEX($G$3:$G$200,MATCH(1, (YEAR(I624)=YEAR($A$3:$A$2000))*(MONTH(I624)=MONTH($A$3:$A$2000)),0))</f>
        <v>107586.03298918066</v>
      </c>
      <c r="L624">
        <f t="shared" si="19"/>
        <v>70298.720317023995</v>
      </c>
    </row>
    <row r="625" spans="4:12" x14ac:dyDescent="0.25">
      <c r="D625">
        <f t="shared" si="18"/>
        <v>0</v>
      </c>
      <c r="H625">
        <v>623</v>
      </c>
      <c r="I625" s="1">
        <v>45582</v>
      </c>
      <c r="J625">
        <f t="array" ref="J625">INDEX($D$3:$D$62,MATCH(1, (YEAR(I625)=YEAR($A$3:$A$62))*(MONTH(I625)=MONTH($A$3:$A$62)),0))</f>
        <v>74428.900391267438</v>
      </c>
      <c r="K625">
        <f t="array" ref="K625">INDEX($G$3:$G$200,MATCH(1, (YEAR(I625)=YEAR($A$3:$A$2000))*(MONTH(I625)=MONTH($A$3:$A$2000)),0))</f>
        <v>107586.03298918066</v>
      </c>
      <c r="L625">
        <f t="shared" si="19"/>
        <v>70233.61981388698</v>
      </c>
    </row>
    <row r="626" spans="4:12" x14ac:dyDescent="0.25">
      <c r="D626">
        <f t="shared" si="18"/>
        <v>0</v>
      </c>
      <c r="H626">
        <v>624</v>
      </c>
      <c r="I626" s="1">
        <v>45583</v>
      </c>
      <c r="J626">
        <f t="array" ref="J626">INDEX($D$3:$D$62,MATCH(1, (YEAR(I626)=YEAR($A$3:$A$62))*(MONTH(I626)=MONTH($A$3:$A$62)),0))</f>
        <v>74428.900391267438</v>
      </c>
      <c r="K626">
        <f t="array" ref="K626">INDEX($G$3:$G$200,MATCH(1, (YEAR(I626)=YEAR($A$3:$A$2000))*(MONTH(I626)=MONTH($A$3:$A$2000)),0))</f>
        <v>107586.03298918066</v>
      </c>
      <c r="L626">
        <f t="shared" si="19"/>
        <v>70168.633276703986</v>
      </c>
    </row>
    <row r="627" spans="4:12" x14ac:dyDescent="0.25">
      <c r="D627">
        <f t="shared" si="18"/>
        <v>0</v>
      </c>
      <c r="H627">
        <v>625</v>
      </c>
      <c r="I627" s="1">
        <v>45584</v>
      </c>
      <c r="J627">
        <f t="array" ref="J627">INDEX($D$3:$D$62,MATCH(1, (YEAR(I627)=YEAR($A$3:$A$62))*(MONTH(I627)=MONTH($A$3:$A$62)),0))</f>
        <v>74428.900391267438</v>
      </c>
      <c r="K627">
        <f t="array" ref="K627">INDEX($G$3:$G$200,MATCH(1, (YEAR(I627)=YEAR($A$3:$A$2000))*(MONTH(I627)=MONTH($A$3:$A$2000)),0))</f>
        <v>107586.03298918066</v>
      </c>
      <c r="L627">
        <f t="shared" si="19"/>
        <v>70103.760462408973</v>
      </c>
    </row>
    <row r="628" spans="4:12" x14ac:dyDescent="0.25">
      <c r="D628">
        <f t="shared" si="18"/>
        <v>0</v>
      </c>
      <c r="H628">
        <v>626</v>
      </c>
      <c r="I628" s="1">
        <v>45585</v>
      </c>
      <c r="J628">
        <f t="array" ref="J628">INDEX($D$3:$D$62,MATCH(1, (YEAR(I628)=YEAR($A$3:$A$62))*(MONTH(I628)=MONTH($A$3:$A$62)),0))</f>
        <v>74428.900391267438</v>
      </c>
      <c r="K628">
        <f t="array" ref="K628">INDEX($G$3:$G$200,MATCH(1, (YEAR(I628)=YEAR($A$3:$A$2000))*(MONTH(I628)=MONTH($A$3:$A$2000)),0))</f>
        <v>107586.03298918066</v>
      </c>
      <c r="L628">
        <f t="shared" si="19"/>
        <v>70039.001128223987</v>
      </c>
    </row>
    <row r="629" spans="4:12" x14ac:dyDescent="0.25">
      <c r="D629">
        <f t="shared" si="18"/>
        <v>0</v>
      </c>
      <c r="H629">
        <v>627</v>
      </c>
      <c r="I629" s="1">
        <v>45586</v>
      </c>
      <c r="J629">
        <f t="array" ref="J629">INDEX($D$3:$D$62,MATCH(1, (YEAR(I629)=YEAR($A$3:$A$62))*(MONTH(I629)=MONTH($A$3:$A$62)),0))</f>
        <v>74428.900391267438</v>
      </c>
      <c r="K629">
        <f t="array" ref="K629">INDEX($G$3:$G$200,MATCH(1, (YEAR(I629)=YEAR($A$3:$A$2000))*(MONTH(I629)=MONTH($A$3:$A$2000)),0))</f>
        <v>107586.03298918066</v>
      </c>
      <c r="L629">
        <f t="shared" si="19"/>
        <v>69974.355031658983</v>
      </c>
    </row>
    <row r="630" spans="4:12" x14ac:dyDescent="0.25">
      <c r="D630">
        <f t="shared" si="18"/>
        <v>0</v>
      </c>
      <c r="H630">
        <v>628</v>
      </c>
      <c r="I630" s="1">
        <v>45587</v>
      </c>
      <c r="J630">
        <f t="array" ref="J630">INDEX($D$3:$D$62,MATCH(1, (YEAR(I630)=YEAR($A$3:$A$62))*(MONTH(I630)=MONTH($A$3:$A$62)),0))</f>
        <v>74428.900391267438</v>
      </c>
      <c r="K630">
        <f t="array" ref="K630">INDEX($G$3:$G$200,MATCH(1, (YEAR(I630)=YEAR($A$3:$A$2000))*(MONTH(I630)=MONTH($A$3:$A$2000)),0))</f>
        <v>107586.03298918066</v>
      </c>
      <c r="L630">
        <f t="shared" si="19"/>
        <v>69909.821930511986</v>
      </c>
    </row>
    <row r="631" spans="4:12" x14ac:dyDescent="0.25">
      <c r="D631">
        <f t="shared" si="18"/>
        <v>0</v>
      </c>
      <c r="H631">
        <v>629</v>
      </c>
      <c r="I631" s="1">
        <v>45588</v>
      </c>
      <c r="J631">
        <f t="array" ref="J631">INDEX($D$3:$D$62,MATCH(1, (YEAR(I631)=YEAR($A$3:$A$62))*(MONTH(I631)=MONTH($A$3:$A$62)),0))</f>
        <v>74428.900391267438</v>
      </c>
      <c r="K631">
        <f t="array" ref="K631">INDEX($G$3:$G$200,MATCH(1, (YEAR(I631)=YEAR($A$3:$A$2000))*(MONTH(I631)=MONTH($A$3:$A$2000)),0))</f>
        <v>107586.03298918066</v>
      </c>
      <c r="L631">
        <f t="shared" si="19"/>
        <v>69845.401582868988</v>
      </c>
    </row>
    <row r="632" spans="4:12" x14ac:dyDescent="0.25">
      <c r="D632">
        <f t="shared" si="18"/>
        <v>0</v>
      </c>
      <c r="H632">
        <v>630</v>
      </c>
      <c r="I632" s="1">
        <v>45589</v>
      </c>
      <c r="J632">
        <f t="array" ref="J632">INDEX($D$3:$D$62,MATCH(1, (YEAR(I632)=YEAR($A$3:$A$62))*(MONTH(I632)=MONTH($A$3:$A$62)),0))</f>
        <v>74428.900391267438</v>
      </c>
      <c r="K632">
        <f t="array" ref="K632">INDEX($G$3:$G$200,MATCH(1, (YEAR(I632)=YEAR($A$3:$A$2000))*(MONTH(I632)=MONTH($A$3:$A$2000)),0))</f>
        <v>107586.03298918066</v>
      </c>
      <c r="L632">
        <f t="shared" si="19"/>
        <v>69781.093747103994</v>
      </c>
    </row>
    <row r="633" spans="4:12" x14ac:dyDescent="0.25">
      <c r="D633">
        <f t="shared" si="18"/>
        <v>0</v>
      </c>
      <c r="H633">
        <v>631</v>
      </c>
      <c r="I633" s="1">
        <v>45590</v>
      </c>
      <c r="J633">
        <f t="array" ref="J633">INDEX($D$3:$D$62,MATCH(1, (YEAR(I633)=YEAR($A$3:$A$62))*(MONTH(I633)=MONTH($A$3:$A$62)),0))</f>
        <v>74428.900391267438</v>
      </c>
      <c r="K633">
        <f t="array" ref="K633">INDEX($G$3:$G$200,MATCH(1, (YEAR(I633)=YEAR($A$3:$A$2000))*(MONTH(I633)=MONTH($A$3:$A$2000)),0))</f>
        <v>107586.03298918066</v>
      </c>
      <c r="L633">
        <f t="shared" si="19"/>
        <v>69716.898181878976</v>
      </c>
    </row>
    <row r="634" spans="4:12" x14ac:dyDescent="0.25">
      <c r="D634">
        <f t="shared" si="18"/>
        <v>0</v>
      </c>
      <c r="H634">
        <v>632</v>
      </c>
      <c r="I634" s="1">
        <v>45591</v>
      </c>
      <c r="J634">
        <f t="array" ref="J634">INDEX($D$3:$D$62,MATCH(1, (YEAR(I634)=YEAR($A$3:$A$62))*(MONTH(I634)=MONTH($A$3:$A$62)),0))</f>
        <v>74428.900391267438</v>
      </c>
      <c r="K634">
        <f t="array" ref="K634">INDEX($G$3:$G$200,MATCH(1, (YEAR(I634)=YEAR($A$3:$A$2000))*(MONTH(I634)=MONTH($A$3:$A$2000)),0))</f>
        <v>107586.03298918066</v>
      </c>
      <c r="L634">
        <f t="shared" si="19"/>
        <v>69652.81464614399</v>
      </c>
    </row>
    <row r="635" spans="4:12" x14ac:dyDescent="0.25">
      <c r="D635">
        <f t="shared" si="18"/>
        <v>0</v>
      </c>
      <c r="H635">
        <v>633</v>
      </c>
      <c r="I635" s="1">
        <v>45592</v>
      </c>
      <c r="J635">
        <f t="array" ref="J635">INDEX($D$3:$D$62,MATCH(1, (YEAR(I635)=YEAR($A$3:$A$62))*(MONTH(I635)=MONTH($A$3:$A$62)),0))</f>
        <v>74428.900391267438</v>
      </c>
      <c r="K635">
        <f t="array" ref="K635">INDEX($G$3:$G$200,MATCH(1, (YEAR(I635)=YEAR($A$3:$A$2000))*(MONTH(I635)=MONTH($A$3:$A$2000)),0))</f>
        <v>107586.03298918066</v>
      </c>
      <c r="L635">
        <f t="shared" si="19"/>
        <v>69588.842899136987</v>
      </c>
    </row>
    <row r="636" spans="4:12" x14ac:dyDescent="0.25">
      <c r="D636">
        <f t="shared" si="18"/>
        <v>0</v>
      </c>
      <c r="H636">
        <v>634</v>
      </c>
      <c r="I636" s="1">
        <v>45593</v>
      </c>
      <c r="J636">
        <f t="array" ref="J636">INDEX($D$3:$D$62,MATCH(1, (YEAR(I636)=YEAR($A$3:$A$62))*(MONTH(I636)=MONTH($A$3:$A$62)),0))</f>
        <v>74428.900391267438</v>
      </c>
      <c r="K636">
        <f t="array" ref="K636">INDEX($G$3:$G$200,MATCH(1, (YEAR(I636)=YEAR($A$3:$A$2000))*(MONTH(I636)=MONTH($A$3:$A$2000)),0))</f>
        <v>107586.03298918066</v>
      </c>
      <c r="L636">
        <f t="shared" si="19"/>
        <v>69524.982700383989</v>
      </c>
    </row>
    <row r="637" spans="4:12" x14ac:dyDescent="0.25">
      <c r="D637">
        <f t="shared" si="18"/>
        <v>0</v>
      </c>
      <c r="H637">
        <v>635</v>
      </c>
      <c r="I637" s="1">
        <v>45594</v>
      </c>
      <c r="J637">
        <f t="array" ref="J637">INDEX($D$3:$D$62,MATCH(1, (YEAR(I637)=YEAR($A$3:$A$62))*(MONTH(I637)=MONTH($A$3:$A$62)),0))</f>
        <v>74428.900391267438</v>
      </c>
      <c r="K637">
        <f t="array" ref="K637">INDEX($G$3:$G$200,MATCH(1, (YEAR(I637)=YEAR($A$3:$A$2000))*(MONTH(I637)=MONTH($A$3:$A$2000)),0))</f>
        <v>107586.03298918066</v>
      </c>
      <c r="L637">
        <f t="shared" si="19"/>
        <v>69461.233809698984</v>
      </c>
    </row>
    <row r="638" spans="4:12" x14ac:dyDescent="0.25">
      <c r="D638">
        <f t="shared" si="18"/>
        <v>0</v>
      </c>
      <c r="H638">
        <v>636</v>
      </c>
      <c r="I638" s="1">
        <v>45595</v>
      </c>
      <c r="J638">
        <f t="array" ref="J638">INDEX($D$3:$D$62,MATCH(1, (YEAR(I638)=YEAR($A$3:$A$62))*(MONTH(I638)=MONTH($A$3:$A$62)),0))</f>
        <v>74428.900391267438</v>
      </c>
      <c r="K638">
        <f t="array" ref="K638">INDEX($G$3:$G$200,MATCH(1, (YEAR(I638)=YEAR($A$3:$A$2000))*(MONTH(I638)=MONTH($A$3:$A$2000)),0))</f>
        <v>107586.03298918066</v>
      </c>
      <c r="L638">
        <f t="shared" si="19"/>
        <v>69397.595987183988</v>
      </c>
    </row>
    <row r="639" spans="4:12" x14ac:dyDescent="0.25">
      <c r="D639">
        <f t="shared" si="18"/>
        <v>0</v>
      </c>
      <c r="H639">
        <v>637</v>
      </c>
      <c r="I639" s="1">
        <v>45596</v>
      </c>
      <c r="J639">
        <f t="array" ref="J639">INDEX($D$3:$D$62,MATCH(1, (YEAR(I639)=YEAR($A$3:$A$62))*(MONTH(I639)=MONTH($A$3:$A$62)),0))</f>
        <v>74428.900391267438</v>
      </c>
      <c r="K639">
        <f t="array" ref="K639">INDEX($G$3:$G$200,MATCH(1, (YEAR(I639)=YEAR($A$3:$A$2000))*(MONTH(I639)=MONTH($A$3:$A$2000)),0))</f>
        <v>107586.03298918066</v>
      </c>
      <c r="L639">
        <f t="shared" si="19"/>
        <v>69334.068993228982</v>
      </c>
    </row>
    <row r="640" spans="4:12" x14ac:dyDescent="0.25">
      <c r="D640">
        <f t="shared" si="18"/>
        <v>0</v>
      </c>
      <c r="H640">
        <v>638</v>
      </c>
      <c r="I640" s="1">
        <v>45597</v>
      </c>
      <c r="J640">
        <f t="array" ref="J640">INDEX($D$3:$D$62,MATCH(1, (YEAR(I640)=YEAR($A$3:$A$62))*(MONTH(I640)=MONTH($A$3:$A$62)),0))</f>
        <v>72112.72945074788</v>
      </c>
      <c r="K640">
        <f t="array" ref="K640">INDEX($G$3:$G$200,MATCH(1, (YEAR(I640)=YEAR($A$3:$A$2000))*(MONTH(I640)=MONTH($A$3:$A$2000)),0))</f>
        <v>104453.0360354775</v>
      </c>
      <c r="L640">
        <f t="shared" si="19"/>
        <v>69270.652588511992</v>
      </c>
    </row>
    <row r="641" spans="4:12" x14ac:dyDescent="0.25">
      <c r="D641">
        <f t="shared" si="18"/>
        <v>0</v>
      </c>
      <c r="H641">
        <v>639</v>
      </c>
      <c r="I641" s="1">
        <v>45598</v>
      </c>
      <c r="J641">
        <f t="array" ref="J641">INDEX($D$3:$D$62,MATCH(1, (YEAR(I641)=YEAR($A$3:$A$62))*(MONTH(I641)=MONTH($A$3:$A$62)),0))</f>
        <v>72112.72945074788</v>
      </c>
      <c r="K641">
        <f t="array" ref="K641">INDEX($G$3:$G$200,MATCH(1, (YEAR(I641)=YEAR($A$3:$A$2000))*(MONTH(I641)=MONTH($A$3:$A$2000)),0))</f>
        <v>104453.0360354775</v>
      </c>
      <c r="L641">
        <f t="shared" si="19"/>
        <v>69207.346533998963</v>
      </c>
    </row>
    <row r="642" spans="4:12" x14ac:dyDescent="0.25">
      <c r="D642">
        <f t="shared" si="18"/>
        <v>0</v>
      </c>
      <c r="H642">
        <v>640</v>
      </c>
      <c r="I642" s="1">
        <v>45599</v>
      </c>
      <c r="J642">
        <f t="array" ref="J642">INDEX($D$3:$D$62,MATCH(1, (YEAR(I642)=YEAR($A$3:$A$62))*(MONTH(I642)=MONTH($A$3:$A$62)),0))</f>
        <v>72112.72945074788</v>
      </c>
      <c r="K642">
        <f t="array" ref="K642">INDEX($G$3:$G$200,MATCH(1, (YEAR(I642)=YEAR($A$3:$A$2000))*(MONTH(I642)=MONTH($A$3:$A$2000)),0))</f>
        <v>104453.0360354775</v>
      </c>
      <c r="L642">
        <f t="shared" si="19"/>
        <v>69144.150590943987</v>
      </c>
    </row>
    <row r="643" spans="4:12" x14ac:dyDescent="0.25">
      <c r="D643">
        <f t="shared" si="18"/>
        <v>0</v>
      </c>
      <c r="H643">
        <v>641</v>
      </c>
      <c r="I643" s="1">
        <v>45600</v>
      </c>
      <c r="J643">
        <f t="array" ref="J643">INDEX($D$3:$D$62,MATCH(1, (YEAR(I643)=YEAR($A$3:$A$62))*(MONTH(I643)=MONTH($A$3:$A$62)),0))</f>
        <v>72112.72945074788</v>
      </c>
      <c r="K643">
        <f t="array" ref="K643">INDEX($G$3:$G$200,MATCH(1, (YEAR(I643)=YEAR($A$3:$A$2000))*(MONTH(I643)=MONTH($A$3:$A$2000)),0))</f>
        <v>104453.0360354775</v>
      </c>
      <c r="L643">
        <f t="shared" si="19"/>
        <v>69081.064520888991</v>
      </c>
    </row>
    <row r="644" spans="4:12" x14ac:dyDescent="0.25">
      <c r="D644">
        <f t="shared" ref="D644:D707" si="20">SUM(B644:C644)</f>
        <v>0</v>
      </c>
      <c r="H644">
        <v>642</v>
      </c>
      <c r="I644" s="1">
        <v>45601</v>
      </c>
      <c r="J644">
        <f t="array" ref="J644">INDEX($D$3:$D$62,MATCH(1, (YEAR(I644)=YEAR($A$3:$A$62))*(MONTH(I644)=MONTH($A$3:$A$62)),0))</f>
        <v>72112.72945074788</v>
      </c>
      <c r="K644">
        <f t="array" ref="K644">INDEX($G$3:$G$200,MATCH(1, (YEAR(I644)=YEAR($A$3:$A$2000))*(MONTH(I644)=MONTH($A$3:$A$2000)),0))</f>
        <v>104453.0360354775</v>
      </c>
      <c r="L644">
        <f t="shared" ref="L644:L707" si="21">0.000000012*H644^4-0.000070439*H644^3+0.160688168*H644^2-194.849290676*H644+144481.718306784</f>
        <v>69018.088085663985</v>
      </c>
    </row>
    <row r="645" spans="4:12" x14ac:dyDescent="0.25">
      <c r="D645">
        <f t="shared" si="20"/>
        <v>0</v>
      </c>
      <c r="H645">
        <v>643</v>
      </c>
      <c r="I645" s="1">
        <v>45602</v>
      </c>
      <c r="J645">
        <f t="array" ref="J645">INDEX($D$3:$D$62,MATCH(1, (YEAR(I645)=YEAR($A$3:$A$62))*(MONTH(I645)=MONTH($A$3:$A$62)),0))</f>
        <v>72112.72945074788</v>
      </c>
      <c r="K645">
        <f t="array" ref="K645">INDEX($G$3:$G$200,MATCH(1, (YEAR(I645)=YEAR($A$3:$A$2000))*(MONTH(I645)=MONTH($A$3:$A$2000)),0))</f>
        <v>104453.0360354775</v>
      </c>
      <c r="L645">
        <f t="shared" si="21"/>
        <v>68955.221047386993</v>
      </c>
    </row>
    <row r="646" spans="4:12" x14ac:dyDescent="0.25">
      <c r="D646">
        <f t="shared" si="20"/>
        <v>0</v>
      </c>
      <c r="H646">
        <v>644</v>
      </c>
      <c r="I646" s="1">
        <v>45603</v>
      </c>
      <c r="J646">
        <f t="array" ref="J646">INDEX($D$3:$D$62,MATCH(1, (YEAR(I646)=YEAR($A$3:$A$62))*(MONTH(I646)=MONTH($A$3:$A$62)),0))</f>
        <v>72112.72945074788</v>
      </c>
      <c r="K646">
        <f t="array" ref="K646">INDEX($G$3:$G$200,MATCH(1, (YEAR(I646)=YEAR($A$3:$A$2000))*(MONTH(I646)=MONTH($A$3:$A$2000)),0))</f>
        <v>104453.0360354775</v>
      </c>
      <c r="L646">
        <f t="shared" si="21"/>
        <v>68892.46316846399</v>
      </c>
    </row>
    <row r="647" spans="4:12" x14ac:dyDescent="0.25">
      <c r="D647">
        <f t="shared" si="20"/>
        <v>0</v>
      </c>
      <c r="H647">
        <v>645</v>
      </c>
      <c r="I647" s="1">
        <v>45604</v>
      </c>
      <c r="J647">
        <f t="array" ref="J647">INDEX($D$3:$D$62,MATCH(1, (YEAR(I647)=YEAR($A$3:$A$62))*(MONTH(I647)=MONTH($A$3:$A$62)),0))</f>
        <v>72112.72945074788</v>
      </c>
      <c r="K647">
        <f t="array" ref="K647">INDEX($G$3:$G$200,MATCH(1, (YEAR(I647)=YEAR($A$3:$A$2000))*(MONTH(I647)=MONTH($A$3:$A$2000)),0))</f>
        <v>104453.0360354775</v>
      </c>
      <c r="L647">
        <f t="shared" si="21"/>
        <v>68829.814211588993</v>
      </c>
    </row>
    <row r="648" spans="4:12" x14ac:dyDescent="0.25">
      <c r="D648">
        <f t="shared" si="20"/>
        <v>0</v>
      </c>
      <c r="H648">
        <v>646</v>
      </c>
      <c r="I648" s="1">
        <v>45605</v>
      </c>
      <c r="J648">
        <f t="array" ref="J648">INDEX($D$3:$D$62,MATCH(1, (YEAR(I648)=YEAR($A$3:$A$62))*(MONTH(I648)=MONTH($A$3:$A$62)),0))</f>
        <v>72112.72945074788</v>
      </c>
      <c r="K648">
        <f t="array" ref="K648">INDEX($G$3:$G$200,MATCH(1, (YEAR(I648)=YEAR($A$3:$A$2000))*(MONTH(I648)=MONTH($A$3:$A$2000)),0))</f>
        <v>104453.0360354775</v>
      </c>
      <c r="L648">
        <f t="shared" si="21"/>
        <v>68767.273939743987</v>
      </c>
    </row>
    <row r="649" spans="4:12" x14ac:dyDescent="0.25">
      <c r="D649">
        <f t="shared" si="20"/>
        <v>0</v>
      </c>
      <c r="H649">
        <v>647</v>
      </c>
      <c r="I649" s="1">
        <v>45606</v>
      </c>
      <c r="J649">
        <f t="array" ref="J649">INDEX($D$3:$D$62,MATCH(1, (YEAR(I649)=YEAR($A$3:$A$62))*(MONTH(I649)=MONTH($A$3:$A$62)),0))</f>
        <v>72112.72945074788</v>
      </c>
      <c r="K649">
        <f t="array" ref="K649">INDEX($G$3:$G$200,MATCH(1, (YEAR(I649)=YEAR($A$3:$A$2000))*(MONTH(I649)=MONTH($A$3:$A$2000)),0))</f>
        <v>104453.0360354775</v>
      </c>
      <c r="L649">
        <f t="shared" si="21"/>
        <v>68704.842116198983</v>
      </c>
    </row>
    <row r="650" spans="4:12" x14ac:dyDescent="0.25">
      <c r="D650">
        <f t="shared" si="20"/>
        <v>0</v>
      </c>
      <c r="H650">
        <v>648</v>
      </c>
      <c r="I650" s="1">
        <v>45607</v>
      </c>
      <c r="J650">
        <f t="array" ref="J650">INDEX($D$3:$D$62,MATCH(1, (YEAR(I650)=YEAR($A$3:$A$62))*(MONTH(I650)=MONTH($A$3:$A$62)),0))</f>
        <v>72112.72945074788</v>
      </c>
      <c r="K650">
        <f t="array" ref="K650">INDEX($G$3:$G$200,MATCH(1, (YEAR(I650)=YEAR($A$3:$A$2000))*(MONTH(I650)=MONTH($A$3:$A$2000)),0))</f>
        <v>104453.0360354775</v>
      </c>
      <c r="L650">
        <f t="shared" si="21"/>
        <v>68642.518504511987</v>
      </c>
    </row>
    <row r="651" spans="4:12" x14ac:dyDescent="0.25">
      <c r="D651">
        <f t="shared" si="20"/>
        <v>0</v>
      </c>
      <c r="H651">
        <v>649</v>
      </c>
      <c r="I651" s="1">
        <v>45608</v>
      </c>
      <c r="J651">
        <f t="array" ref="J651">INDEX($D$3:$D$62,MATCH(1, (YEAR(I651)=YEAR($A$3:$A$62))*(MONTH(I651)=MONTH($A$3:$A$62)),0))</f>
        <v>72112.72945074788</v>
      </c>
      <c r="K651">
        <f t="array" ref="K651">INDEX($G$3:$G$200,MATCH(1, (YEAR(I651)=YEAR($A$3:$A$2000))*(MONTH(I651)=MONTH($A$3:$A$2000)),0))</f>
        <v>104453.0360354775</v>
      </c>
      <c r="L651">
        <f t="shared" si="21"/>
        <v>68580.30286852899</v>
      </c>
    </row>
    <row r="652" spans="4:12" x14ac:dyDescent="0.25">
      <c r="D652">
        <f t="shared" si="20"/>
        <v>0</v>
      </c>
      <c r="H652">
        <v>650</v>
      </c>
      <c r="I652" s="1">
        <v>45609</v>
      </c>
      <c r="J652">
        <f t="array" ref="J652">INDEX($D$3:$D$62,MATCH(1, (YEAR(I652)=YEAR($A$3:$A$62))*(MONTH(I652)=MONTH($A$3:$A$62)),0))</f>
        <v>72112.72945074788</v>
      </c>
      <c r="K652">
        <f t="array" ref="K652">INDEX($G$3:$G$200,MATCH(1, (YEAR(I652)=YEAR($A$3:$A$2000))*(MONTH(I652)=MONTH($A$3:$A$2000)),0))</f>
        <v>104453.0360354775</v>
      </c>
      <c r="L652">
        <f t="shared" si="21"/>
        <v>68518.194972383993</v>
      </c>
    </row>
    <row r="653" spans="4:12" x14ac:dyDescent="0.25">
      <c r="D653">
        <f t="shared" si="20"/>
        <v>0</v>
      </c>
      <c r="H653">
        <v>651</v>
      </c>
      <c r="I653" s="1">
        <v>45610</v>
      </c>
      <c r="J653">
        <f t="array" ref="J653">INDEX($D$3:$D$62,MATCH(1, (YEAR(I653)=YEAR($A$3:$A$62))*(MONTH(I653)=MONTH($A$3:$A$62)),0))</f>
        <v>72112.72945074788</v>
      </c>
      <c r="K653">
        <f t="array" ref="K653">INDEX($G$3:$G$200,MATCH(1, (YEAR(I653)=YEAR($A$3:$A$2000))*(MONTH(I653)=MONTH($A$3:$A$2000)),0))</f>
        <v>104453.0360354775</v>
      </c>
      <c r="L653">
        <f t="shared" si="21"/>
        <v>68456.194580498995</v>
      </c>
    </row>
    <row r="654" spans="4:12" x14ac:dyDescent="0.25">
      <c r="D654">
        <f t="shared" si="20"/>
        <v>0</v>
      </c>
      <c r="H654">
        <v>652</v>
      </c>
      <c r="I654" s="1">
        <v>45611</v>
      </c>
      <c r="J654">
        <f t="array" ref="J654">INDEX($D$3:$D$62,MATCH(1, (YEAR(I654)=YEAR($A$3:$A$62))*(MONTH(I654)=MONTH($A$3:$A$62)),0))</f>
        <v>72112.72945074788</v>
      </c>
      <c r="K654">
        <f t="array" ref="K654">INDEX($G$3:$G$200,MATCH(1, (YEAR(I654)=YEAR($A$3:$A$2000))*(MONTH(I654)=MONTH($A$3:$A$2000)),0))</f>
        <v>104453.0360354775</v>
      </c>
      <c r="L654">
        <f t="shared" si="21"/>
        <v>68394.301457583977</v>
      </c>
    </row>
    <row r="655" spans="4:12" x14ac:dyDescent="0.25">
      <c r="D655">
        <f t="shared" si="20"/>
        <v>0</v>
      </c>
      <c r="H655">
        <v>653</v>
      </c>
      <c r="I655" s="1">
        <v>45612</v>
      </c>
      <c r="J655">
        <f t="array" ref="J655">INDEX($D$3:$D$62,MATCH(1, (YEAR(I655)=YEAR($A$3:$A$62))*(MONTH(I655)=MONTH($A$3:$A$62)),0))</f>
        <v>72112.72945074788</v>
      </c>
      <c r="K655">
        <f t="array" ref="K655">INDEX($G$3:$G$200,MATCH(1, (YEAR(I655)=YEAR($A$3:$A$2000))*(MONTH(I655)=MONTH($A$3:$A$2000)),0))</f>
        <v>104453.0360354775</v>
      </c>
      <c r="L655">
        <f t="shared" si="21"/>
        <v>68332.515368636989</v>
      </c>
    </row>
    <row r="656" spans="4:12" x14ac:dyDescent="0.25">
      <c r="D656">
        <f t="shared" si="20"/>
        <v>0</v>
      </c>
      <c r="H656">
        <v>654</v>
      </c>
      <c r="I656" s="1">
        <v>45613</v>
      </c>
      <c r="J656">
        <f t="array" ref="J656">INDEX($D$3:$D$62,MATCH(1, (YEAR(I656)=YEAR($A$3:$A$62))*(MONTH(I656)=MONTH($A$3:$A$62)),0))</f>
        <v>72112.72945074788</v>
      </c>
      <c r="K656">
        <f t="array" ref="K656">INDEX($G$3:$G$200,MATCH(1, (YEAR(I656)=YEAR($A$3:$A$2000))*(MONTH(I656)=MONTH($A$3:$A$2000)),0))</f>
        <v>104453.0360354775</v>
      </c>
      <c r="L656">
        <f t="shared" si="21"/>
        <v>68270.83607894399</v>
      </c>
    </row>
    <row r="657" spans="4:12" x14ac:dyDescent="0.25">
      <c r="D657">
        <f t="shared" si="20"/>
        <v>0</v>
      </c>
      <c r="H657">
        <v>655</v>
      </c>
      <c r="I657" s="1">
        <v>45614</v>
      </c>
      <c r="J657">
        <f t="array" ref="J657">INDEX($D$3:$D$62,MATCH(1, (YEAR(I657)=YEAR($A$3:$A$62))*(MONTH(I657)=MONTH($A$3:$A$62)),0))</f>
        <v>72112.72945074788</v>
      </c>
      <c r="K657">
        <f t="array" ref="K657">INDEX($G$3:$G$200,MATCH(1, (YEAR(I657)=YEAR($A$3:$A$2000))*(MONTH(I657)=MONTH($A$3:$A$2000)),0))</f>
        <v>104453.0360354775</v>
      </c>
      <c r="L657">
        <f t="shared" si="21"/>
        <v>68209.263354078998</v>
      </c>
    </row>
    <row r="658" spans="4:12" x14ac:dyDescent="0.25">
      <c r="D658">
        <f t="shared" si="20"/>
        <v>0</v>
      </c>
      <c r="H658">
        <v>656</v>
      </c>
      <c r="I658" s="1">
        <v>45615</v>
      </c>
      <c r="J658">
        <f t="array" ref="J658">INDEX($D$3:$D$62,MATCH(1, (YEAR(I658)=YEAR($A$3:$A$62))*(MONTH(I658)=MONTH($A$3:$A$62)),0))</f>
        <v>72112.72945074788</v>
      </c>
      <c r="K658">
        <f t="array" ref="K658">INDEX($G$3:$G$200,MATCH(1, (YEAR(I658)=YEAR($A$3:$A$2000))*(MONTH(I658)=MONTH($A$3:$A$2000)),0))</f>
        <v>104453.0360354775</v>
      </c>
      <c r="L658">
        <f t="shared" si="21"/>
        <v>68147.796959903993</v>
      </c>
    </row>
    <row r="659" spans="4:12" x14ac:dyDescent="0.25">
      <c r="D659">
        <f t="shared" si="20"/>
        <v>0</v>
      </c>
      <c r="H659">
        <v>657</v>
      </c>
      <c r="I659" s="1">
        <v>45616</v>
      </c>
      <c r="J659">
        <f t="array" ref="J659">INDEX($D$3:$D$62,MATCH(1, (YEAR(I659)=YEAR($A$3:$A$62))*(MONTH(I659)=MONTH($A$3:$A$62)),0))</f>
        <v>72112.72945074788</v>
      </c>
      <c r="K659">
        <f t="array" ref="K659">INDEX($G$3:$G$200,MATCH(1, (YEAR(I659)=YEAR($A$3:$A$2000))*(MONTH(I659)=MONTH($A$3:$A$2000)),0))</f>
        <v>104453.0360354775</v>
      </c>
      <c r="L659">
        <f t="shared" si="21"/>
        <v>68086.436662568987</v>
      </c>
    </row>
    <row r="660" spans="4:12" x14ac:dyDescent="0.25">
      <c r="D660">
        <f t="shared" si="20"/>
        <v>0</v>
      </c>
      <c r="H660">
        <v>658</v>
      </c>
      <c r="I660" s="1">
        <v>45617</v>
      </c>
      <c r="J660">
        <f t="array" ref="J660">INDEX($D$3:$D$62,MATCH(1, (YEAR(I660)=YEAR($A$3:$A$62))*(MONTH(I660)=MONTH($A$3:$A$62)),0))</f>
        <v>72112.72945074788</v>
      </c>
      <c r="K660">
        <f t="array" ref="K660">INDEX($G$3:$G$200,MATCH(1, (YEAR(I660)=YEAR($A$3:$A$2000))*(MONTH(I660)=MONTH($A$3:$A$2000)),0))</f>
        <v>104453.0360354775</v>
      </c>
      <c r="L660">
        <f t="shared" si="21"/>
        <v>68025.182228511985</v>
      </c>
    </row>
    <row r="661" spans="4:12" x14ac:dyDescent="0.25">
      <c r="D661">
        <f t="shared" si="20"/>
        <v>0</v>
      </c>
      <c r="H661">
        <v>659</v>
      </c>
      <c r="I661" s="1">
        <v>45618</v>
      </c>
      <c r="J661">
        <f t="array" ref="J661">INDEX($D$3:$D$62,MATCH(1, (YEAR(I661)=YEAR($A$3:$A$62))*(MONTH(I661)=MONTH($A$3:$A$62)),0))</f>
        <v>72112.72945074788</v>
      </c>
      <c r="K661">
        <f t="array" ref="K661">INDEX($G$3:$G$200,MATCH(1, (YEAR(I661)=YEAR($A$3:$A$2000))*(MONTH(I661)=MONTH($A$3:$A$2000)),0))</f>
        <v>104453.0360354775</v>
      </c>
      <c r="L661">
        <f t="shared" si="21"/>
        <v>67964.03342445899</v>
      </c>
    </row>
    <row r="662" spans="4:12" x14ac:dyDescent="0.25">
      <c r="D662">
        <f t="shared" si="20"/>
        <v>0</v>
      </c>
      <c r="H662">
        <v>660</v>
      </c>
      <c r="I662" s="1">
        <v>45619</v>
      </c>
      <c r="J662">
        <f t="array" ref="J662">INDEX($D$3:$D$62,MATCH(1, (YEAR(I662)=YEAR($A$3:$A$62))*(MONTH(I662)=MONTH($A$3:$A$62)),0))</f>
        <v>72112.72945074788</v>
      </c>
      <c r="K662">
        <f t="array" ref="K662">INDEX($G$3:$G$200,MATCH(1, (YEAR(I662)=YEAR($A$3:$A$2000))*(MONTH(I662)=MONTH($A$3:$A$2000)),0))</f>
        <v>104453.0360354775</v>
      </c>
      <c r="L662">
        <f t="shared" si="21"/>
        <v>67902.990017423988</v>
      </c>
    </row>
    <row r="663" spans="4:12" x14ac:dyDescent="0.25">
      <c r="D663">
        <f t="shared" si="20"/>
        <v>0</v>
      </c>
      <c r="H663">
        <v>661</v>
      </c>
      <c r="I663" s="1">
        <v>45620</v>
      </c>
      <c r="J663">
        <f t="array" ref="J663">INDEX($D$3:$D$62,MATCH(1, (YEAR(I663)=YEAR($A$3:$A$62))*(MONTH(I663)=MONTH($A$3:$A$62)),0))</f>
        <v>72112.72945074788</v>
      </c>
      <c r="K663">
        <f t="array" ref="K663">INDEX($G$3:$G$200,MATCH(1, (YEAR(I663)=YEAR($A$3:$A$2000))*(MONTH(I663)=MONTH($A$3:$A$2000)),0))</f>
        <v>104453.0360354775</v>
      </c>
      <c r="L663">
        <f t="shared" si="21"/>
        <v>67842.051774708991</v>
      </c>
    </row>
    <row r="664" spans="4:12" x14ac:dyDescent="0.25">
      <c r="D664">
        <f t="shared" si="20"/>
        <v>0</v>
      </c>
      <c r="H664">
        <v>662</v>
      </c>
      <c r="I664" s="1">
        <v>45621</v>
      </c>
      <c r="J664">
        <f t="array" ref="J664">INDEX($D$3:$D$62,MATCH(1, (YEAR(I664)=YEAR($A$3:$A$62))*(MONTH(I664)=MONTH($A$3:$A$62)),0))</f>
        <v>72112.72945074788</v>
      </c>
      <c r="K664">
        <f t="array" ref="K664">INDEX($G$3:$G$200,MATCH(1, (YEAR(I664)=YEAR($A$3:$A$2000))*(MONTH(I664)=MONTH($A$3:$A$2000)),0))</f>
        <v>104453.0360354775</v>
      </c>
      <c r="L664">
        <f t="shared" si="21"/>
        <v>67781.218463903992</v>
      </c>
    </row>
    <row r="665" spans="4:12" x14ac:dyDescent="0.25">
      <c r="D665">
        <f t="shared" si="20"/>
        <v>0</v>
      </c>
      <c r="H665">
        <v>663</v>
      </c>
      <c r="I665" s="1">
        <v>45622</v>
      </c>
      <c r="J665">
        <f t="array" ref="J665">INDEX($D$3:$D$62,MATCH(1, (YEAR(I665)=YEAR($A$3:$A$62))*(MONTH(I665)=MONTH($A$3:$A$62)),0))</f>
        <v>72112.72945074788</v>
      </c>
      <c r="K665">
        <f t="array" ref="K665">INDEX($G$3:$G$200,MATCH(1, (YEAR(I665)=YEAR($A$3:$A$2000))*(MONTH(I665)=MONTH($A$3:$A$2000)),0))</f>
        <v>104453.0360354775</v>
      </c>
      <c r="L665">
        <f t="shared" si="21"/>
        <v>67720.489852886996</v>
      </c>
    </row>
    <row r="666" spans="4:12" x14ac:dyDescent="0.25">
      <c r="D666">
        <f t="shared" si="20"/>
        <v>0</v>
      </c>
      <c r="H666">
        <v>664</v>
      </c>
      <c r="I666" s="1">
        <v>45623</v>
      </c>
      <c r="J666">
        <f t="array" ref="J666">INDEX($D$3:$D$62,MATCH(1, (YEAR(I666)=YEAR($A$3:$A$62))*(MONTH(I666)=MONTH($A$3:$A$62)),0))</f>
        <v>72112.72945074788</v>
      </c>
      <c r="K666">
        <f t="array" ref="K666">INDEX($G$3:$G$200,MATCH(1, (YEAR(I666)=YEAR($A$3:$A$2000))*(MONTH(I666)=MONTH($A$3:$A$2000)),0))</f>
        <v>104453.0360354775</v>
      </c>
      <c r="L666">
        <f t="shared" si="21"/>
        <v>67659.865709823978</v>
      </c>
    </row>
    <row r="667" spans="4:12" x14ac:dyDescent="0.25">
      <c r="D667">
        <f t="shared" si="20"/>
        <v>0</v>
      </c>
      <c r="H667">
        <v>665</v>
      </c>
      <c r="I667" s="1">
        <v>45624</v>
      </c>
      <c r="J667">
        <f t="array" ref="J667">INDEX($D$3:$D$62,MATCH(1, (YEAR(I667)=YEAR($A$3:$A$62))*(MONTH(I667)=MONTH($A$3:$A$62)),0))</f>
        <v>72112.72945074788</v>
      </c>
      <c r="K667">
        <f t="array" ref="K667">INDEX($G$3:$G$200,MATCH(1, (YEAR(I667)=YEAR($A$3:$A$2000))*(MONTH(I667)=MONTH($A$3:$A$2000)),0))</f>
        <v>104453.0360354775</v>
      </c>
      <c r="L667">
        <f t="shared" si="21"/>
        <v>67599.345803168995</v>
      </c>
    </row>
    <row r="668" spans="4:12" x14ac:dyDescent="0.25">
      <c r="D668">
        <f t="shared" si="20"/>
        <v>0</v>
      </c>
      <c r="H668">
        <v>666</v>
      </c>
      <c r="I668" s="1">
        <v>45625</v>
      </c>
      <c r="J668">
        <f t="array" ref="J668">INDEX($D$3:$D$62,MATCH(1, (YEAR(I668)=YEAR($A$3:$A$62))*(MONTH(I668)=MONTH($A$3:$A$62)),0))</f>
        <v>72112.72945074788</v>
      </c>
      <c r="K668">
        <f t="array" ref="K668">INDEX($G$3:$G$200,MATCH(1, (YEAR(I668)=YEAR($A$3:$A$2000))*(MONTH(I668)=MONTH($A$3:$A$2000)),0))</f>
        <v>104453.0360354775</v>
      </c>
      <c r="L668">
        <f t="shared" si="21"/>
        <v>67538.929901663985</v>
      </c>
    </row>
    <row r="669" spans="4:12" x14ac:dyDescent="0.25">
      <c r="D669">
        <f t="shared" si="20"/>
        <v>0</v>
      </c>
      <c r="H669">
        <v>667</v>
      </c>
      <c r="I669" s="1">
        <v>45626</v>
      </c>
      <c r="J669">
        <f t="array" ref="J669">INDEX($D$3:$D$62,MATCH(1, (YEAR(I669)=YEAR($A$3:$A$62))*(MONTH(I669)=MONTH($A$3:$A$62)),0))</f>
        <v>72112.72945074788</v>
      </c>
      <c r="K669">
        <f t="array" ref="K669">INDEX($G$3:$G$200,MATCH(1, (YEAR(I669)=YEAR($A$3:$A$2000))*(MONTH(I669)=MONTH($A$3:$A$2000)),0))</f>
        <v>104453.0360354775</v>
      </c>
      <c r="L669">
        <f t="shared" si="21"/>
        <v>67478.617774338985</v>
      </c>
    </row>
    <row r="670" spans="4:12" x14ac:dyDescent="0.25">
      <c r="D670">
        <f t="shared" si="20"/>
        <v>0</v>
      </c>
      <c r="H670">
        <v>668</v>
      </c>
      <c r="I670" s="1">
        <v>45627</v>
      </c>
      <c r="J670">
        <f t="array" ref="J670">INDEX($D$3:$D$62,MATCH(1, (YEAR(I670)=YEAR($A$3:$A$62))*(MONTH(I670)=MONTH($A$3:$A$62)),0))</f>
        <v>70313.374125430477</v>
      </c>
      <c r="K670">
        <f t="array" ref="K670">INDEX($G$3:$G$200,MATCH(1, (YEAR(I670)=YEAR($A$3:$A$2000))*(MONTH(I670)=MONTH($A$3:$A$2000)),0))</f>
        <v>101865.66470256608</v>
      </c>
      <c r="L670">
        <f t="shared" si="21"/>
        <v>67418.409190511971</v>
      </c>
    </row>
    <row r="671" spans="4:12" x14ac:dyDescent="0.25">
      <c r="D671">
        <f t="shared" si="20"/>
        <v>0</v>
      </c>
      <c r="H671">
        <v>669</v>
      </c>
      <c r="I671" s="1">
        <v>45628</v>
      </c>
      <c r="J671">
        <f t="array" ref="J671">INDEX($D$3:$D$62,MATCH(1, (YEAR(I671)=YEAR($A$3:$A$62))*(MONTH(I671)=MONTH($A$3:$A$62)),0))</f>
        <v>70313.374125430477</v>
      </c>
      <c r="K671">
        <f t="array" ref="K671">INDEX($G$3:$G$200,MATCH(1, (YEAR(I671)=YEAR($A$3:$A$2000))*(MONTH(I671)=MONTH($A$3:$A$2000)),0))</f>
        <v>101865.66470256608</v>
      </c>
      <c r="L671">
        <f t="shared" si="21"/>
        <v>67358.303919788988</v>
      </c>
    </row>
    <row r="672" spans="4:12" x14ac:dyDescent="0.25">
      <c r="D672">
        <f t="shared" si="20"/>
        <v>0</v>
      </c>
      <c r="H672">
        <v>670</v>
      </c>
      <c r="I672" s="1">
        <v>45629</v>
      </c>
      <c r="J672">
        <f t="array" ref="J672">INDEX($D$3:$D$62,MATCH(1, (YEAR(I672)=YEAR($A$3:$A$62))*(MONTH(I672)=MONTH($A$3:$A$62)),0))</f>
        <v>70313.374125430477</v>
      </c>
      <c r="K672">
        <f t="array" ref="K672">INDEX($G$3:$G$200,MATCH(1, (YEAR(I672)=YEAR($A$3:$A$2000))*(MONTH(I672)=MONTH($A$3:$A$2000)),0))</f>
        <v>101865.66470256608</v>
      </c>
      <c r="L672">
        <f t="shared" si="21"/>
        <v>67298.301732063963</v>
      </c>
    </row>
    <row r="673" spans="4:12" x14ac:dyDescent="0.25">
      <c r="D673">
        <f t="shared" si="20"/>
        <v>0</v>
      </c>
      <c r="H673">
        <v>671</v>
      </c>
      <c r="I673" s="1">
        <v>45630</v>
      </c>
      <c r="J673">
        <f t="array" ref="J673">INDEX($D$3:$D$62,MATCH(1, (YEAR(I673)=YEAR($A$3:$A$62))*(MONTH(I673)=MONTH($A$3:$A$62)),0))</f>
        <v>70313.374125430477</v>
      </c>
      <c r="K673">
        <f t="array" ref="K673">INDEX($G$3:$G$200,MATCH(1, (YEAR(I673)=YEAR($A$3:$A$2000))*(MONTH(I673)=MONTH($A$3:$A$2000)),0))</f>
        <v>101865.66470256608</v>
      </c>
      <c r="L673">
        <f t="shared" si="21"/>
        <v>67238.402397518992</v>
      </c>
    </row>
    <row r="674" spans="4:12" x14ac:dyDescent="0.25">
      <c r="D674">
        <f t="shared" si="20"/>
        <v>0</v>
      </c>
      <c r="H674">
        <v>672</v>
      </c>
      <c r="I674" s="1">
        <v>45631</v>
      </c>
      <c r="J674">
        <f t="array" ref="J674">INDEX($D$3:$D$62,MATCH(1, (YEAR(I674)=YEAR($A$3:$A$62))*(MONTH(I674)=MONTH($A$3:$A$62)),0))</f>
        <v>70313.374125430477</v>
      </c>
      <c r="K674">
        <f t="array" ref="K674">INDEX($G$3:$G$200,MATCH(1, (YEAR(I674)=YEAR($A$3:$A$2000))*(MONTH(I674)=MONTH($A$3:$A$2000)),0))</f>
        <v>101865.66470256608</v>
      </c>
      <c r="L674">
        <f t="shared" si="21"/>
        <v>67178.605686623981</v>
      </c>
    </row>
    <row r="675" spans="4:12" x14ac:dyDescent="0.25">
      <c r="D675">
        <f t="shared" si="20"/>
        <v>0</v>
      </c>
      <c r="H675">
        <v>673</v>
      </c>
      <c r="I675" s="1">
        <v>45632</v>
      </c>
      <c r="J675">
        <f t="array" ref="J675">INDEX($D$3:$D$62,MATCH(1, (YEAR(I675)=YEAR($A$3:$A$62))*(MONTH(I675)=MONTH($A$3:$A$62)),0))</f>
        <v>70313.374125430477</v>
      </c>
      <c r="K675">
        <f t="array" ref="K675">INDEX($G$3:$G$200,MATCH(1, (YEAR(I675)=YEAR($A$3:$A$2000))*(MONTH(I675)=MONTH($A$3:$A$2000)),0))</f>
        <v>101865.66470256608</v>
      </c>
      <c r="L675">
        <f t="shared" si="21"/>
        <v>67118.911370137008</v>
      </c>
    </row>
    <row r="676" spans="4:12" x14ac:dyDescent="0.25">
      <c r="D676">
        <f t="shared" si="20"/>
        <v>0</v>
      </c>
      <c r="H676">
        <v>674</v>
      </c>
      <c r="I676" s="1">
        <v>45633</v>
      </c>
      <c r="J676">
        <f t="array" ref="J676">INDEX($D$3:$D$62,MATCH(1, (YEAR(I676)=YEAR($A$3:$A$62))*(MONTH(I676)=MONTH($A$3:$A$62)),0))</f>
        <v>70313.374125430477</v>
      </c>
      <c r="K676">
        <f t="array" ref="K676">INDEX($G$3:$G$200,MATCH(1, (YEAR(I676)=YEAR($A$3:$A$2000))*(MONTH(I676)=MONTH($A$3:$A$2000)),0))</f>
        <v>101865.66470256608</v>
      </c>
      <c r="L676">
        <f t="shared" si="21"/>
        <v>67059.319219103985</v>
      </c>
    </row>
    <row r="677" spans="4:12" x14ac:dyDescent="0.25">
      <c r="D677">
        <f t="shared" si="20"/>
        <v>0</v>
      </c>
      <c r="H677">
        <v>675</v>
      </c>
      <c r="I677" s="1">
        <v>45634</v>
      </c>
      <c r="J677">
        <f t="array" ref="J677">INDEX($D$3:$D$62,MATCH(1, (YEAR(I677)=YEAR($A$3:$A$62))*(MONTH(I677)=MONTH($A$3:$A$62)),0))</f>
        <v>70313.374125430477</v>
      </c>
      <c r="K677">
        <f t="array" ref="K677">INDEX($G$3:$G$200,MATCH(1, (YEAR(I677)=YEAR($A$3:$A$2000))*(MONTH(I677)=MONTH($A$3:$A$2000)),0))</f>
        <v>101865.66470256608</v>
      </c>
      <c r="L677">
        <f t="shared" si="21"/>
        <v>66999.829004858984</v>
      </c>
    </row>
    <row r="678" spans="4:12" x14ac:dyDescent="0.25">
      <c r="D678">
        <f t="shared" si="20"/>
        <v>0</v>
      </c>
      <c r="H678">
        <v>676</v>
      </c>
      <c r="I678" s="1">
        <v>45635</v>
      </c>
      <c r="J678">
        <f t="array" ref="J678">INDEX($D$3:$D$62,MATCH(1, (YEAR(I678)=YEAR($A$3:$A$62))*(MONTH(I678)=MONTH($A$3:$A$62)),0))</f>
        <v>70313.374125430477</v>
      </c>
      <c r="K678">
        <f t="array" ref="K678">INDEX($G$3:$G$200,MATCH(1, (YEAR(I678)=YEAR($A$3:$A$2000))*(MONTH(I678)=MONTH($A$3:$A$2000)),0))</f>
        <v>101865.66470256608</v>
      </c>
      <c r="L678">
        <f t="shared" si="21"/>
        <v>66940.440499023985</v>
      </c>
    </row>
    <row r="679" spans="4:12" x14ac:dyDescent="0.25">
      <c r="D679">
        <f t="shared" si="20"/>
        <v>0</v>
      </c>
      <c r="H679">
        <v>677</v>
      </c>
      <c r="I679" s="1">
        <v>45636</v>
      </c>
      <c r="J679">
        <f t="array" ref="J679">INDEX($D$3:$D$62,MATCH(1, (YEAR(I679)=YEAR($A$3:$A$62))*(MONTH(I679)=MONTH($A$3:$A$62)),0))</f>
        <v>70313.374125430477</v>
      </c>
      <c r="K679">
        <f t="array" ref="K679">INDEX($G$3:$G$200,MATCH(1, (YEAR(I679)=YEAR($A$3:$A$2000))*(MONTH(I679)=MONTH($A$3:$A$2000)),0))</f>
        <v>101865.66470256608</v>
      </c>
      <c r="L679">
        <f t="shared" si="21"/>
        <v>66881.153473508995</v>
      </c>
    </row>
    <row r="680" spans="4:12" x14ac:dyDescent="0.25">
      <c r="D680">
        <f t="shared" si="20"/>
        <v>0</v>
      </c>
      <c r="H680">
        <v>678</v>
      </c>
      <c r="I680" s="1">
        <v>45637</v>
      </c>
      <c r="J680">
        <f t="array" ref="J680">INDEX($D$3:$D$62,MATCH(1, (YEAR(I680)=YEAR($A$3:$A$62))*(MONTH(I680)=MONTH($A$3:$A$62)),0))</f>
        <v>70313.374125430477</v>
      </c>
      <c r="K680">
        <f t="array" ref="K680">INDEX($G$3:$G$200,MATCH(1, (YEAR(I680)=YEAR($A$3:$A$2000))*(MONTH(I680)=MONTH($A$3:$A$2000)),0))</f>
        <v>101865.66470256608</v>
      </c>
      <c r="L680">
        <f t="shared" si="21"/>
        <v>66821.967700511988</v>
      </c>
    </row>
    <row r="681" spans="4:12" x14ac:dyDescent="0.25">
      <c r="D681">
        <f t="shared" si="20"/>
        <v>0</v>
      </c>
      <c r="H681">
        <v>679</v>
      </c>
      <c r="I681" s="1">
        <v>45638</v>
      </c>
      <c r="J681">
        <f t="array" ref="J681">INDEX($D$3:$D$62,MATCH(1, (YEAR(I681)=YEAR($A$3:$A$62))*(MONTH(I681)=MONTH($A$3:$A$62)),0))</f>
        <v>70313.374125430477</v>
      </c>
      <c r="K681">
        <f t="array" ref="K681">INDEX($G$3:$G$200,MATCH(1, (YEAR(I681)=YEAR($A$3:$A$2000))*(MONTH(I681)=MONTH($A$3:$A$2000)),0))</f>
        <v>101865.66470256608</v>
      </c>
      <c r="L681">
        <f t="shared" si="21"/>
        <v>66762.882952518979</v>
      </c>
    </row>
    <row r="682" spans="4:12" x14ac:dyDescent="0.25">
      <c r="D682">
        <f t="shared" si="20"/>
        <v>0</v>
      </c>
      <c r="H682">
        <v>680</v>
      </c>
      <c r="I682" s="1">
        <v>45639</v>
      </c>
      <c r="J682">
        <f t="array" ref="J682">INDEX($D$3:$D$62,MATCH(1, (YEAR(I682)=YEAR($A$3:$A$62))*(MONTH(I682)=MONTH($A$3:$A$62)),0))</f>
        <v>70313.374125430477</v>
      </c>
      <c r="K682">
        <f t="array" ref="K682">INDEX($G$3:$G$200,MATCH(1, (YEAR(I682)=YEAR($A$3:$A$2000))*(MONTH(I682)=MONTH($A$3:$A$2000)),0))</f>
        <v>101865.66470256608</v>
      </c>
      <c r="L682">
        <f t="shared" si="21"/>
        <v>66703.899002303981</v>
      </c>
    </row>
    <row r="683" spans="4:12" x14ac:dyDescent="0.25">
      <c r="D683">
        <f t="shared" si="20"/>
        <v>0</v>
      </c>
      <c r="H683">
        <v>681</v>
      </c>
      <c r="I683" s="1">
        <v>45640</v>
      </c>
      <c r="J683">
        <f t="array" ref="J683">INDEX($D$3:$D$62,MATCH(1, (YEAR(I683)=YEAR($A$3:$A$62))*(MONTH(I683)=MONTH($A$3:$A$62)),0))</f>
        <v>70313.374125430477</v>
      </c>
      <c r="K683">
        <f t="array" ref="K683">INDEX($G$3:$G$200,MATCH(1, (YEAR(I683)=YEAR($A$3:$A$2000))*(MONTH(I683)=MONTH($A$3:$A$2000)),0))</f>
        <v>101865.66470256608</v>
      </c>
      <c r="L683">
        <f t="shared" si="21"/>
        <v>66645.015622929001</v>
      </c>
    </row>
    <row r="684" spans="4:12" x14ac:dyDescent="0.25">
      <c r="D684">
        <f t="shared" si="20"/>
        <v>0</v>
      </c>
      <c r="H684">
        <v>682</v>
      </c>
      <c r="I684" s="1">
        <v>45641</v>
      </c>
      <c r="J684">
        <f t="array" ref="J684">INDEX($D$3:$D$62,MATCH(1, (YEAR(I684)=YEAR($A$3:$A$62))*(MONTH(I684)=MONTH($A$3:$A$62)),0))</f>
        <v>70313.374125430477</v>
      </c>
      <c r="K684">
        <f t="array" ref="K684">INDEX($G$3:$G$200,MATCH(1, (YEAR(I684)=YEAR($A$3:$A$2000))*(MONTH(I684)=MONTH($A$3:$A$2000)),0))</f>
        <v>101865.66470256608</v>
      </c>
      <c r="L684">
        <f t="shared" si="21"/>
        <v>66586.232587743987</v>
      </c>
    </row>
    <row r="685" spans="4:12" x14ac:dyDescent="0.25">
      <c r="D685">
        <f t="shared" si="20"/>
        <v>0</v>
      </c>
      <c r="H685">
        <v>683</v>
      </c>
      <c r="I685" s="1">
        <v>45642</v>
      </c>
      <c r="J685">
        <f t="array" ref="J685">INDEX($D$3:$D$62,MATCH(1, (YEAR(I685)=YEAR($A$3:$A$62))*(MONTH(I685)=MONTH($A$3:$A$62)),0))</f>
        <v>70313.374125430477</v>
      </c>
      <c r="K685">
        <f t="array" ref="K685">INDEX($G$3:$G$200,MATCH(1, (YEAR(I685)=YEAR($A$3:$A$2000))*(MONTH(I685)=MONTH($A$3:$A$2000)),0))</f>
        <v>101865.66470256608</v>
      </c>
      <c r="L685">
        <f t="shared" si="21"/>
        <v>66527.549670386972</v>
      </c>
    </row>
    <row r="686" spans="4:12" x14ac:dyDescent="0.25">
      <c r="D686">
        <f t="shared" si="20"/>
        <v>0</v>
      </c>
      <c r="H686">
        <v>684</v>
      </c>
      <c r="I686" s="1">
        <v>45643</v>
      </c>
      <c r="J686">
        <f t="array" ref="J686">INDEX($D$3:$D$62,MATCH(1, (YEAR(I686)=YEAR($A$3:$A$62))*(MONTH(I686)=MONTH($A$3:$A$62)),0))</f>
        <v>70313.374125430477</v>
      </c>
      <c r="K686">
        <f t="array" ref="K686">INDEX($G$3:$G$200,MATCH(1, (YEAR(I686)=YEAR($A$3:$A$2000))*(MONTH(I686)=MONTH($A$3:$A$2000)),0))</f>
        <v>101865.66470256608</v>
      </c>
      <c r="L686">
        <f t="shared" si="21"/>
        <v>66468.966644783985</v>
      </c>
    </row>
    <row r="687" spans="4:12" x14ac:dyDescent="0.25">
      <c r="D687">
        <f t="shared" si="20"/>
        <v>0</v>
      </c>
      <c r="H687">
        <v>685</v>
      </c>
      <c r="I687" s="1">
        <v>45644</v>
      </c>
      <c r="J687">
        <f t="array" ref="J687">INDEX($D$3:$D$62,MATCH(1, (YEAR(I687)=YEAR($A$3:$A$62))*(MONTH(I687)=MONTH($A$3:$A$62)),0))</f>
        <v>70313.374125430477</v>
      </c>
      <c r="K687">
        <f t="array" ref="K687">INDEX($G$3:$G$200,MATCH(1, (YEAR(I687)=YEAR($A$3:$A$2000))*(MONTH(I687)=MONTH($A$3:$A$2000)),0))</f>
        <v>101865.66470256608</v>
      </c>
      <c r="L687">
        <f t="shared" si="21"/>
        <v>66410.483285148992</v>
      </c>
    </row>
    <row r="688" spans="4:12" x14ac:dyDescent="0.25">
      <c r="D688">
        <f t="shared" si="20"/>
        <v>0</v>
      </c>
      <c r="H688">
        <v>686</v>
      </c>
      <c r="I688" s="1">
        <v>45645</v>
      </c>
      <c r="J688">
        <f t="array" ref="J688">INDEX($D$3:$D$62,MATCH(1, (YEAR(I688)=YEAR($A$3:$A$62))*(MONTH(I688)=MONTH($A$3:$A$62)),0))</f>
        <v>70313.374125430477</v>
      </c>
      <c r="K688">
        <f t="array" ref="K688">INDEX($G$3:$G$200,MATCH(1, (YEAR(I688)=YEAR($A$3:$A$2000))*(MONTH(I688)=MONTH($A$3:$A$2000)),0))</f>
        <v>101865.66470256608</v>
      </c>
      <c r="L688">
        <f t="shared" si="21"/>
        <v>66352.099365983988</v>
      </c>
    </row>
    <row r="689" spans="4:12" x14ac:dyDescent="0.25">
      <c r="D689">
        <f t="shared" si="20"/>
        <v>0</v>
      </c>
      <c r="H689">
        <v>687</v>
      </c>
      <c r="I689" s="1">
        <v>45646</v>
      </c>
      <c r="J689">
        <f t="array" ref="J689">INDEX($D$3:$D$62,MATCH(1, (YEAR(I689)=YEAR($A$3:$A$62))*(MONTH(I689)=MONTH($A$3:$A$62)),0))</f>
        <v>70313.374125430477</v>
      </c>
      <c r="K689">
        <f t="array" ref="K689">INDEX($G$3:$G$200,MATCH(1, (YEAR(I689)=YEAR($A$3:$A$2000))*(MONTH(I689)=MONTH($A$3:$A$2000)),0))</f>
        <v>101865.66470256608</v>
      </c>
      <c r="L689">
        <f t="shared" si="21"/>
        <v>66293.814662078978</v>
      </c>
    </row>
    <row r="690" spans="4:12" x14ac:dyDescent="0.25">
      <c r="D690">
        <f t="shared" si="20"/>
        <v>0</v>
      </c>
      <c r="H690">
        <v>688</v>
      </c>
      <c r="I690" s="1">
        <v>45647</v>
      </c>
      <c r="J690">
        <f t="array" ref="J690">INDEX($D$3:$D$62,MATCH(1, (YEAR(I690)=YEAR($A$3:$A$62))*(MONTH(I690)=MONTH($A$3:$A$62)),0))</f>
        <v>70313.374125430477</v>
      </c>
      <c r="K690">
        <f t="array" ref="K690">INDEX($G$3:$G$200,MATCH(1, (YEAR(I690)=YEAR($A$3:$A$2000))*(MONTH(I690)=MONTH($A$3:$A$2000)),0))</f>
        <v>101865.66470256608</v>
      </c>
      <c r="L690">
        <f t="shared" si="21"/>
        <v>66235.628948511978</v>
      </c>
    </row>
    <row r="691" spans="4:12" x14ac:dyDescent="0.25">
      <c r="D691">
        <f t="shared" si="20"/>
        <v>0</v>
      </c>
      <c r="H691">
        <v>689</v>
      </c>
      <c r="I691" s="1">
        <v>45648</v>
      </c>
      <c r="J691">
        <f t="array" ref="J691">INDEX($D$3:$D$62,MATCH(1, (YEAR(I691)=YEAR($A$3:$A$62))*(MONTH(I691)=MONTH($A$3:$A$62)),0))</f>
        <v>70313.374125430477</v>
      </c>
      <c r="K691">
        <f t="array" ref="K691">INDEX($G$3:$G$200,MATCH(1, (YEAR(I691)=YEAR($A$3:$A$2000))*(MONTH(I691)=MONTH($A$3:$A$2000)),0))</f>
        <v>101865.66470256608</v>
      </c>
      <c r="L691">
        <f t="shared" si="21"/>
        <v>66177.542000648988</v>
      </c>
    </row>
    <row r="692" spans="4:12" x14ac:dyDescent="0.25">
      <c r="D692">
        <f t="shared" si="20"/>
        <v>0</v>
      </c>
      <c r="H692">
        <v>690</v>
      </c>
      <c r="I692" s="1">
        <v>45649</v>
      </c>
      <c r="J692">
        <f t="array" ref="J692">INDEX($D$3:$D$62,MATCH(1, (YEAR(I692)=YEAR($A$3:$A$62))*(MONTH(I692)=MONTH($A$3:$A$62)),0))</f>
        <v>70313.374125430477</v>
      </c>
      <c r="K692">
        <f t="array" ref="K692">INDEX($G$3:$G$200,MATCH(1, (YEAR(I692)=YEAR($A$3:$A$2000))*(MONTH(I692)=MONTH($A$3:$A$2000)),0))</f>
        <v>101865.66470256608</v>
      </c>
      <c r="L692">
        <f t="shared" si="21"/>
        <v>66119.553594143988</v>
      </c>
    </row>
    <row r="693" spans="4:12" x14ac:dyDescent="0.25">
      <c r="D693">
        <f t="shared" si="20"/>
        <v>0</v>
      </c>
      <c r="H693">
        <v>691</v>
      </c>
      <c r="I693" s="1">
        <v>45650</v>
      </c>
      <c r="J693">
        <f t="array" ref="J693">INDEX($D$3:$D$62,MATCH(1, (YEAR(I693)=YEAR($A$3:$A$62))*(MONTH(I693)=MONTH($A$3:$A$62)),0))</f>
        <v>70313.374125430477</v>
      </c>
      <c r="K693">
        <f t="array" ref="K693">INDEX($G$3:$G$200,MATCH(1, (YEAR(I693)=YEAR($A$3:$A$2000))*(MONTH(I693)=MONTH($A$3:$A$2000)),0))</f>
        <v>101865.66470256608</v>
      </c>
      <c r="L693">
        <f t="shared" si="21"/>
        <v>66061.663504938973</v>
      </c>
    </row>
    <row r="694" spans="4:12" x14ac:dyDescent="0.25">
      <c r="D694">
        <f t="shared" si="20"/>
        <v>0</v>
      </c>
      <c r="H694">
        <v>692</v>
      </c>
      <c r="I694" s="1">
        <v>45651</v>
      </c>
      <c r="J694">
        <f t="array" ref="J694">INDEX($D$3:$D$62,MATCH(1, (YEAR(I694)=YEAR($A$3:$A$62))*(MONTH(I694)=MONTH($A$3:$A$62)),0))</f>
        <v>70313.374125430477</v>
      </c>
      <c r="K694">
        <f t="array" ref="K694">INDEX($G$3:$G$200,MATCH(1, (YEAR(I694)=YEAR($A$3:$A$2000))*(MONTH(I694)=MONTH($A$3:$A$2000)),0))</f>
        <v>101865.66470256608</v>
      </c>
      <c r="L694">
        <f t="shared" si="21"/>
        <v>66003.871509263976</v>
      </c>
    </row>
    <row r="695" spans="4:12" x14ac:dyDescent="0.25">
      <c r="D695">
        <f t="shared" si="20"/>
        <v>0</v>
      </c>
      <c r="H695">
        <v>693</v>
      </c>
      <c r="I695" s="1">
        <v>45652</v>
      </c>
      <c r="J695">
        <f t="array" ref="J695">INDEX($D$3:$D$62,MATCH(1, (YEAR(I695)=YEAR($A$3:$A$62))*(MONTH(I695)=MONTH($A$3:$A$62)),0))</f>
        <v>70313.374125430477</v>
      </c>
      <c r="K695">
        <f t="array" ref="K695">INDEX($G$3:$G$200,MATCH(1, (YEAR(I695)=YEAR($A$3:$A$2000))*(MONTH(I695)=MONTH($A$3:$A$2000)),0))</f>
        <v>101865.66470256608</v>
      </c>
      <c r="L695">
        <f t="shared" si="21"/>
        <v>65946.177383636998</v>
      </c>
    </row>
    <row r="696" spans="4:12" x14ac:dyDescent="0.25">
      <c r="D696">
        <f t="shared" si="20"/>
        <v>0</v>
      </c>
      <c r="H696">
        <v>694</v>
      </c>
      <c r="I696" s="1">
        <v>45653</v>
      </c>
      <c r="J696">
        <f t="array" ref="J696">INDEX($D$3:$D$62,MATCH(1, (YEAR(I696)=YEAR($A$3:$A$62))*(MONTH(I696)=MONTH($A$3:$A$62)),0))</f>
        <v>70313.374125430477</v>
      </c>
      <c r="K696">
        <f t="array" ref="K696">INDEX($G$3:$G$200,MATCH(1, (YEAR(I696)=YEAR($A$3:$A$2000))*(MONTH(I696)=MONTH($A$3:$A$2000)),0))</f>
        <v>101865.66470256608</v>
      </c>
      <c r="L696">
        <f t="shared" si="21"/>
        <v>65888.580904863979</v>
      </c>
    </row>
    <row r="697" spans="4:12" x14ac:dyDescent="0.25">
      <c r="D697">
        <f t="shared" si="20"/>
        <v>0</v>
      </c>
      <c r="H697">
        <v>695</v>
      </c>
      <c r="I697" s="1">
        <v>45654</v>
      </c>
      <c r="J697">
        <f t="array" ref="J697">INDEX($D$3:$D$62,MATCH(1, (YEAR(I697)=YEAR($A$3:$A$62))*(MONTH(I697)=MONTH($A$3:$A$62)),0))</f>
        <v>70313.374125430477</v>
      </c>
      <c r="K697">
        <f t="array" ref="K697">INDEX($G$3:$G$200,MATCH(1, (YEAR(I697)=YEAR($A$3:$A$2000))*(MONTH(I697)=MONTH($A$3:$A$2000)),0))</f>
        <v>101865.66470256608</v>
      </c>
      <c r="L697">
        <f t="shared" si="21"/>
        <v>65831.081850038972</v>
      </c>
    </row>
    <row r="698" spans="4:12" x14ac:dyDescent="0.25">
      <c r="D698">
        <f t="shared" si="20"/>
        <v>0</v>
      </c>
      <c r="H698">
        <v>696</v>
      </c>
      <c r="I698" s="1">
        <v>45655</v>
      </c>
      <c r="J698">
        <f t="array" ref="J698">INDEX($D$3:$D$62,MATCH(1, (YEAR(I698)=YEAR($A$3:$A$62))*(MONTH(I698)=MONTH($A$3:$A$62)),0))</f>
        <v>70313.374125430477</v>
      </c>
      <c r="K698">
        <f t="array" ref="K698">INDEX($G$3:$G$200,MATCH(1, (YEAR(I698)=YEAR($A$3:$A$2000))*(MONTH(I698)=MONTH($A$3:$A$2000)),0))</f>
        <v>101865.66470256608</v>
      </c>
      <c r="L698">
        <f t="shared" si="21"/>
        <v>65773.679996543971</v>
      </c>
    </row>
    <row r="699" spans="4:12" x14ac:dyDescent="0.25">
      <c r="D699">
        <f t="shared" si="20"/>
        <v>0</v>
      </c>
      <c r="H699">
        <v>697</v>
      </c>
      <c r="I699" s="1">
        <v>45656</v>
      </c>
      <c r="J699">
        <f t="array" ref="J699">INDEX($D$3:$D$62,MATCH(1, (YEAR(I699)=YEAR($A$3:$A$62))*(MONTH(I699)=MONTH($A$3:$A$62)),0))</f>
        <v>70313.374125430477</v>
      </c>
      <c r="K699">
        <f t="array" ref="K699">INDEX($G$3:$G$200,MATCH(1, (YEAR(I699)=YEAR($A$3:$A$2000))*(MONTH(I699)=MONTH($A$3:$A$2000)),0))</f>
        <v>101865.66470256608</v>
      </c>
      <c r="L699">
        <f t="shared" si="21"/>
        <v>65716.375122048994</v>
      </c>
    </row>
    <row r="700" spans="4:12" x14ac:dyDescent="0.25">
      <c r="D700">
        <f t="shared" si="20"/>
        <v>0</v>
      </c>
      <c r="H700">
        <v>698</v>
      </c>
      <c r="I700" s="1">
        <v>45657</v>
      </c>
      <c r="J700">
        <f t="array" ref="J700">INDEX($D$3:$D$62,MATCH(1, (YEAR(I700)=YEAR($A$3:$A$62))*(MONTH(I700)=MONTH($A$3:$A$62)),0))</f>
        <v>70313.374125430477</v>
      </c>
      <c r="K700">
        <f t="array" ref="K700">INDEX($G$3:$G$200,MATCH(1, (YEAR(I700)=YEAR($A$3:$A$2000))*(MONTH(I700)=MONTH($A$3:$A$2000)),0))</f>
        <v>101865.66470256608</v>
      </c>
      <c r="L700">
        <f t="shared" si="21"/>
        <v>65659.167004511983</v>
      </c>
    </row>
    <row r="701" spans="4:12" x14ac:dyDescent="0.25">
      <c r="D701">
        <f t="shared" si="20"/>
        <v>0</v>
      </c>
      <c r="H701">
        <v>699</v>
      </c>
      <c r="I701" s="1">
        <v>45658</v>
      </c>
      <c r="J701">
        <f t="array" ref="J701">INDEX($D$3:$D$62,MATCH(1, (YEAR(I701)=YEAR($A$3:$A$62))*(MONTH(I701)=MONTH($A$3:$A$62)),0))</f>
        <v>68503.145152844838</v>
      </c>
      <c r="K701">
        <f t="array" ref="K701">INDEX($G$3:$G$200,MATCH(1, (YEAR(I701)=YEAR($A$3:$A$2000))*(MONTH(I701)=MONTH($A$3:$A$2000)),0))</f>
        <v>99200.116712389412</v>
      </c>
      <c r="L701">
        <f t="shared" si="21"/>
        <v>65602.055422178993</v>
      </c>
    </row>
    <row r="702" spans="4:12" x14ac:dyDescent="0.25">
      <c r="D702">
        <f t="shared" si="20"/>
        <v>0</v>
      </c>
      <c r="H702">
        <v>700</v>
      </c>
      <c r="I702" s="1">
        <v>45659</v>
      </c>
      <c r="J702">
        <f t="array" ref="J702">INDEX($D$3:$D$62,MATCH(1, (YEAR(I702)=YEAR($A$3:$A$62))*(MONTH(I702)=MONTH($A$3:$A$62)),0))</f>
        <v>68503.145152844838</v>
      </c>
      <c r="K702">
        <f t="array" ref="K702">INDEX($G$3:$G$200,MATCH(1, (YEAR(I702)=YEAR($A$3:$A$2000))*(MONTH(I702)=MONTH($A$3:$A$2000)),0))</f>
        <v>99200.116712389412</v>
      </c>
      <c r="L702">
        <f t="shared" si="21"/>
        <v>65545.040153583977</v>
      </c>
    </row>
    <row r="703" spans="4:12" x14ac:dyDescent="0.25">
      <c r="D703">
        <f t="shared" si="20"/>
        <v>0</v>
      </c>
      <c r="H703">
        <v>701</v>
      </c>
      <c r="I703" s="1">
        <v>45660</v>
      </c>
      <c r="J703">
        <f t="array" ref="J703">INDEX($D$3:$D$62,MATCH(1, (YEAR(I703)=YEAR($A$3:$A$62))*(MONTH(I703)=MONTH($A$3:$A$62)),0))</f>
        <v>68503.145152844838</v>
      </c>
      <c r="K703">
        <f t="array" ref="K703">INDEX($G$3:$G$200,MATCH(1, (YEAR(I703)=YEAR($A$3:$A$2000))*(MONTH(I703)=MONTH($A$3:$A$2000)),0))</f>
        <v>99200.116712389412</v>
      </c>
      <c r="L703">
        <f t="shared" si="21"/>
        <v>65488.120977548999</v>
      </c>
    </row>
    <row r="704" spans="4:12" x14ac:dyDescent="0.25">
      <c r="D704">
        <f t="shared" si="20"/>
        <v>0</v>
      </c>
      <c r="H704">
        <v>702</v>
      </c>
      <c r="I704" s="1">
        <v>45661</v>
      </c>
      <c r="J704">
        <f t="array" ref="J704">INDEX($D$3:$D$62,MATCH(1, (YEAR(I704)=YEAR($A$3:$A$62))*(MONTH(I704)=MONTH($A$3:$A$62)),0))</f>
        <v>68503.145152844838</v>
      </c>
      <c r="K704">
        <f t="array" ref="K704">INDEX($G$3:$G$200,MATCH(1, (YEAR(I704)=YEAR($A$3:$A$2000))*(MONTH(I704)=MONTH($A$3:$A$2000)),0))</f>
        <v>99200.116712389412</v>
      </c>
      <c r="L704">
        <f t="shared" si="21"/>
        <v>65431.297673183988</v>
      </c>
    </row>
    <row r="705" spans="4:12" x14ac:dyDescent="0.25">
      <c r="D705">
        <f t="shared" si="20"/>
        <v>0</v>
      </c>
      <c r="H705">
        <v>703</v>
      </c>
      <c r="I705" s="1">
        <v>45662</v>
      </c>
      <c r="J705">
        <f t="array" ref="J705">INDEX($D$3:$D$62,MATCH(1, (YEAR(I705)=YEAR($A$3:$A$62))*(MONTH(I705)=MONTH($A$3:$A$62)),0))</f>
        <v>68503.145152844838</v>
      </c>
      <c r="K705">
        <f t="array" ref="K705">INDEX($G$3:$G$200,MATCH(1, (YEAR(I705)=YEAR($A$3:$A$2000))*(MONTH(I705)=MONTH($A$3:$A$2000)),0))</f>
        <v>99200.116712389412</v>
      </c>
      <c r="L705">
        <f t="shared" si="21"/>
        <v>65374.570019886974</v>
      </c>
    </row>
    <row r="706" spans="4:12" x14ac:dyDescent="0.25">
      <c r="D706">
        <f t="shared" si="20"/>
        <v>0</v>
      </c>
      <c r="H706">
        <v>704</v>
      </c>
      <c r="I706" s="1">
        <v>45663</v>
      </c>
      <c r="J706">
        <f t="array" ref="J706">INDEX($D$3:$D$62,MATCH(1, (YEAR(I706)=YEAR($A$3:$A$62))*(MONTH(I706)=MONTH($A$3:$A$62)),0))</f>
        <v>68503.145152844838</v>
      </c>
      <c r="K706">
        <f t="array" ref="K706">INDEX($G$3:$G$200,MATCH(1, (YEAR(I706)=YEAR($A$3:$A$2000))*(MONTH(I706)=MONTH($A$3:$A$2000)),0))</f>
        <v>99200.116712389412</v>
      </c>
      <c r="L706">
        <f t="shared" si="21"/>
        <v>65317.937797343999</v>
      </c>
    </row>
    <row r="707" spans="4:12" x14ac:dyDescent="0.25">
      <c r="D707">
        <f t="shared" si="20"/>
        <v>0</v>
      </c>
      <c r="H707">
        <v>705</v>
      </c>
      <c r="I707" s="1">
        <v>45664</v>
      </c>
      <c r="J707">
        <f t="array" ref="J707">INDEX($D$3:$D$62,MATCH(1, (YEAR(I707)=YEAR($A$3:$A$62))*(MONTH(I707)=MONTH($A$3:$A$62)),0))</f>
        <v>68503.145152844838</v>
      </c>
      <c r="K707">
        <f t="array" ref="K707">INDEX($G$3:$G$200,MATCH(1, (YEAR(I707)=YEAR($A$3:$A$2000))*(MONTH(I707)=MONTH($A$3:$A$2000)),0))</f>
        <v>99200.116712389412</v>
      </c>
      <c r="L707">
        <f t="shared" si="21"/>
        <v>65261.400785528996</v>
      </c>
    </row>
    <row r="708" spans="4:12" x14ac:dyDescent="0.25">
      <c r="D708">
        <f t="shared" ref="D708:D771" si="22">SUM(B708:C708)</f>
        <v>0</v>
      </c>
      <c r="H708">
        <v>706</v>
      </c>
      <c r="I708" s="1">
        <v>45665</v>
      </c>
      <c r="J708">
        <f t="array" ref="J708">INDEX($D$3:$D$62,MATCH(1, (YEAR(I708)=YEAR($A$3:$A$62))*(MONTH(I708)=MONTH($A$3:$A$62)),0))</f>
        <v>68503.145152844838</v>
      </c>
      <c r="K708">
        <f t="array" ref="K708">INDEX($G$3:$G$200,MATCH(1, (YEAR(I708)=YEAR($A$3:$A$2000))*(MONTH(I708)=MONTH($A$3:$A$2000)),0))</f>
        <v>99200.116712389412</v>
      </c>
      <c r="L708">
        <f t="shared" ref="L708:L771" si="23">0.000000012*H708^4-0.000070439*H708^3+0.160688168*H708^2-194.849290676*H708+144481.718306784</f>
        <v>65204.958764703988</v>
      </c>
    </row>
    <row r="709" spans="4:12" x14ac:dyDescent="0.25">
      <c r="D709">
        <f t="shared" si="22"/>
        <v>0</v>
      </c>
      <c r="H709">
        <v>707</v>
      </c>
      <c r="I709" s="1">
        <v>45666</v>
      </c>
      <c r="J709">
        <f t="array" ref="J709">INDEX($D$3:$D$62,MATCH(1, (YEAR(I709)=YEAR($A$3:$A$62))*(MONTH(I709)=MONTH($A$3:$A$62)),0))</f>
        <v>68503.145152844838</v>
      </c>
      <c r="K709">
        <f t="array" ref="K709">INDEX($G$3:$G$200,MATCH(1, (YEAR(I709)=YEAR($A$3:$A$2000))*(MONTH(I709)=MONTH($A$3:$A$2000)),0))</f>
        <v>99200.116712389412</v>
      </c>
      <c r="L709">
        <f t="shared" si="23"/>
        <v>65148.611515418976</v>
      </c>
    </row>
    <row r="710" spans="4:12" x14ac:dyDescent="0.25">
      <c r="D710">
        <f t="shared" si="22"/>
        <v>0</v>
      </c>
      <c r="H710">
        <v>708</v>
      </c>
      <c r="I710" s="1">
        <v>45667</v>
      </c>
      <c r="J710">
        <f t="array" ref="J710">INDEX($D$3:$D$62,MATCH(1, (YEAR(I710)=YEAR($A$3:$A$62))*(MONTH(I710)=MONTH($A$3:$A$62)),0))</f>
        <v>68503.145152844838</v>
      </c>
      <c r="K710">
        <f t="array" ref="K710">INDEX($G$3:$G$200,MATCH(1, (YEAR(I710)=YEAR($A$3:$A$2000))*(MONTH(I710)=MONTH($A$3:$A$2000)),0))</f>
        <v>99200.116712389412</v>
      </c>
      <c r="L710">
        <f t="shared" si="23"/>
        <v>65092.358818512002</v>
      </c>
    </row>
    <row r="711" spans="4:12" x14ac:dyDescent="0.25">
      <c r="D711">
        <f t="shared" si="22"/>
        <v>0</v>
      </c>
      <c r="H711">
        <v>709</v>
      </c>
      <c r="I711" s="1">
        <v>45668</v>
      </c>
      <c r="J711">
        <f t="array" ref="J711">INDEX($D$3:$D$62,MATCH(1, (YEAR(I711)=YEAR($A$3:$A$62))*(MONTH(I711)=MONTH($A$3:$A$62)),0))</f>
        <v>68503.145152844838</v>
      </c>
      <c r="K711">
        <f t="array" ref="K711">INDEX($G$3:$G$200,MATCH(1, (YEAR(I711)=YEAR($A$3:$A$2000))*(MONTH(I711)=MONTH($A$3:$A$2000)),0))</f>
        <v>99200.116712389412</v>
      </c>
      <c r="L711">
        <f t="shared" si="23"/>
        <v>65036.200455108992</v>
      </c>
    </row>
    <row r="712" spans="4:12" x14ac:dyDescent="0.25">
      <c r="D712">
        <f t="shared" si="22"/>
        <v>0</v>
      </c>
      <c r="H712">
        <v>710</v>
      </c>
      <c r="I712" s="1">
        <v>45669</v>
      </c>
      <c r="J712">
        <f t="array" ref="J712">INDEX($D$3:$D$62,MATCH(1, (YEAR(I712)=YEAR($A$3:$A$62))*(MONTH(I712)=MONTH($A$3:$A$62)),0))</f>
        <v>68503.145152844838</v>
      </c>
      <c r="K712">
        <f t="array" ref="K712">INDEX($G$3:$G$200,MATCH(1, (YEAR(I712)=YEAR($A$3:$A$2000))*(MONTH(I712)=MONTH($A$3:$A$2000)),0))</f>
        <v>99200.116712389412</v>
      </c>
      <c r="L712">
        <f t="shared" si="23"/>
        <v>64980.136206623982</v>
      </c>
    </row>
    <row r="713" spans="4:12" x14ac:dyDescent="0.25">
      <c r="D713">
        <f t="shared" si="22"/>
        <v>0</v>
      </c>
      <c r="H713">
        <v>711</v>
      </c>
      <c r="I713" s="1">
        <v>45670</v>
      </c>
      <c r="J713">
        <f t="array" ref="J713">INDEX($D$3:$D$62,MATCH(1, (YEAR(I713)=YEAR($A$3:$A$62))*(MONTH(I713)=MONTH($A$3:$A$62)),0))</f>
        <v>68503.145152844838</v>
      </c>
      <c r="K713">
        <f t="array" ref="K713">INDEX($G$3:$G$200,MATCH(1, (YEAR(I713)=YEAR($A$3:$A$2000))*(MONTH(I713)=MONTH($A$3:$A$2000)),0))</f>
        <v>99200.116712389412</v>
      </c>
      <c r="L713">
        <f t="shared" si="23"/>
        <v>64924.165854758976</v>
      </c>
    </row>
    <row r="714" spans="4:12" x14ac:dyDescent="0.25">
      <c r="D714">
        <f t="shared" si="22"/>
        <v>0</v>
      </c>
      <c r="H714">
        <v>712</v>
      </c>
      <c r="I714" s="1">
        <v>45671</v>
      </c>
      <c r="J714">
        <f t="array" ref="J714">INDEX($D$3:$D$62,MATCH(1, (YEAR(I714)=YEAR($A$3:$A$62))*(MONTH(I714)=MONTH($A$3:$A$62)),0))</f>
        <v>68503.145152844838</v>
      </c>
      <c r="K714">
        <f t="array" ref="K714">INDEX($G$3:$G$200,MATCH(1, (YEAR(I714)=YEAR($A$3:$A$2000))*(MONTH(I714)=MONTH($A$3:$A$2000)),0))</f>
        <v>99200.116712389412</v>
      </c>
      <c r="L714">
        <f t="shared" si="23"/>
        <v>64868.289181504006</v>
      </c>
    </row>
    <row r="715" spans="4:12" x14ac:dyDescent="0.25">
      <c r="D715">
        <f t="shared" si="22"/>
        <v>0</v>
      </c>
      <c r="H715">
        <v>713</v>
      </c>
      <c r="I715" s="1">
        <v>45672</v>
      </c>
      <c r="J715">
        <f t="array" ref="J715">INDEX($D$3:$D$62,MATCH(1, (YEAR(I715)=YEAR($A$3:$A$62))*(MONTH(I715)=MONTH($A$3:$A$62)),0))</f>
        <v>68503.145152844838</v>
      </c>
      <c r="K715">
        <f t="array" ref="K715">INDEX($G$3:$G$200,MATCH(1, (YEAR(I715)=YEAR($A$3:$A$2000))*(MONTH(I715)=MONTH($A$3:$A$2000)),0))</f>
        <v>99200.116712389412</v>
      </c>
      <c r="L715">
        <f t="shared" si="23"/>
        <v>64812.505969136982</v>
      </c>
    </row>
    <row r="716" spans="4:12" x14ac:dyDescent="0.25">
      <c r="D716">
        <f t="shared" si="22"/>
        <v>0</v>
      </c>
      <c r="H716">
        <v>714</v>
      </c>
      <c r="I716" s="1">
        <v>45673</v>
      </c>
      <c r="J716">
        <f t="array" ref="J716">INDEX($D$3:$D$62,MATCH(1, (YEAR(I716)=YEAR($A$3:$A$62))*(MONTH(I716)=MONTH($A$3:$A$62)),0))</f>
        <v>68503.145152844838</v>
      </c>
      <c r="K716">
        <f t="array" ref="K716">INDEX($G$3:$G$200,MATCH(1, (YEAR(I716)=YEAR($A$3:$A$2000))*(MONTH(I716)=MONTH($A$3:$A$2000)),0))</f>
        <v>99200.116712389412</v>
      </c>
      <c r="L716">
        <f t="shared" si="23"/>
        <v>64756.816000223975</v>
      </c>
    </row>
    <row r="717" spans="4:12" x14ac:dyDescent="0.25">
      <c r="D717">
        <f t="shared" si="22"/>
        <v>0</v>
      </c>
      <c r="H717">
        <v>715</v>
      </c>
      <c r="I717" s="1">
        <v>45674</v>
      </c>
      <c r="J717">
        <f t="array" ref="J717">INDEX($D$3:$D$62,MATCH(1, (YEAR(I717)=YEAR($A$3:$A$62))*(MONTH(I717)=MONTH($A$3:$A$62)),0))</f>
        <v>68503.145152844838</v>
      </c>
      <c r="K717">
        <f t="array" ref="K717">INDEX($G$3:$G$200,MATCH(1, (YEAR(I717)=YEAR($A$3:$A$2000))*(MONTH(I717)=MONTH($A$3:$A$2000)),0))</f>
        <v>99200.116712389412</v>
      </c>
      <c r="L717">
        <f t="shared" si="23"/>
        <v>64701.219057618975</v>
      </c>
    </row>
    <row r="718" spans="4:12" x14ac:dyDescent="0.25">
      <c r="D718">
        <f t="shared" si="22"/>
        <v>0</v>
      </c>
      <c r="H718">
        <v>716</v>
      </c>
      <c r="I718" s="1">
        <v>45675</v>
      </c>
      <c r="J718">
        <f t="array" ref="J718">INDEX($D$3:$D$62,MATCH(1, (YEAR(I718)=YEAR($A$3:$A$62))*(MONTH(I718)=MONTH($A$3:$A$62)),0))</f>
        <v>68503.145152844838</v>
      </c>
      <c r="K718">
        <f t="array" ref="K718">INDEX($G$3:$G$200,MATCH(1, (YEAR(I718)=YEAR($A$3:$A$2000))*(MONTH(I718)=MONTH($A$3:$A$2000)),0))</f>
        <v>99200.116712389412</v>
      </c>
      <c r="L718">
        <f t="shared" si="23"/>
        <v>64645.714924464002</v>
      </c>
    </row>
    <row r="719" spans="4:12" x14ac:dyDescent="0.25">
      <c r="D719">
        <f t="shared" si="22"/>
        <v>0</v>
      </c>
      <c r="H719">
        <v>717</v>
      </c>
      <c r="I719" s="1">
        <v>45676</v>
      </c>
      <c r="J719">
        <f t="array" ref="J719">INDEX($D$3:$D$62,MATCH(1, (YEAR(I719)=YEAR($A$3:$A$62))*(MONTH(I719)=MONTH($A$3:$A$62)),0))</f>
        <v>68503.145152844838</v>
      </c>
      <c r="K719">
        <f t="array" ref="K719">INDEX($G$3:$G$200,MATCH(1, (YEAR(I719)=YEAR($A$3:$A$2000))*(MONTH(I719)=MONTH($A$3:$A$2000)),0))</f>
        <v>99200.116712389412</v>
      </c>
      <c r="L719">
        <f t="shared" si="23"/>
        <v>64590.303384188999</v>
      </c>
    </row>
    <row r="720" spans="4:12" x14ac:dyDescent="0.25">
      <c r="D720">
        <f t="shared" si="22"/>
        <v>0</v>
      </c>
      <c r="H720">
        <v>718</v>
      </c>
      <c r="I720" s="1">
        <v>45677</v>
      </c>
      <c r="J720">
        <f t="array" ref="J720">INDEX($D$3:$D$62,MATCH(1, (YEAR(I720)=YEAR($A$3:$A$62))*(MONTH(I720)=MONTH($A$3:$A$62)),0))</f>
        <v>68503.145152844838</v>
      </c>
      <c r="K720">
        <f t="array" ref="K720">INDEX($G$3:$G$200,MATCH(1, (YEAR(I720)=YEAR($A$3:$A$2000))*(MONTH(I720)=MONTH($A$3:$A$2000)),0))</f>
        <v>99200.116712389412</v>
      </c>
      <c r="L720">
        <f t="shared" si="23"/>
        <v>64534.984220511978</v>
      </c>
    </row>
    <row r="721" spans="4:12" x14ac:dyDescent="0.25">
      <c r="D721">
        <f t="shared" si="22"/>
        <v>0</v>
      </c>
      <c r="H721">
        <v>719</v>
      </c>
      <c r="I721" s="1">
        <v>45678</v>
      </c>
      <c r="J721">
        <f t="array" ref="J721">INDEX($D$3:$D$62,MATCH(1, (YEAR(I721)=YEAR($A$3:$A$62))*(MONTH(I721)=MONTH($A$3:$A$62)),0))</f>
        <v>68503.145152844838</v>
      </c>
      <c r="K721">
        <f t="array" ref="K721">INDEX($G$3:$G$200,MATCH(1, (YEAR(I721)=YEAR($A$3:$A$2000))*(MONTH(I721)=MONTH($A$3:$A$2000)),0))</f>
        <v>99200.116712389412</v>
      </c>
      <c r="L721">
        <f t="shared" si="23"/>
        <v>64479.757217438979</v>
      </c>
    </row>
    <row r="722" spans="4:12" x14ac:dyDescent="0.25">
      <c r="D722">
        <f t="shared" si="22"/>
        <v>0</v>
      </c>
      <c r="H722">
        <v>720</v>
      </c>
      <c r="I722" s="1">
        <v>45679</v>
      </c>
      <c r="J722">
        <f t="array" ref="J722">INDEX($D$3:$D$62,MATCH(1, (YEAR(I722)=YEAR($A$3:$A$62))*(MONTH(I722)=MONTH($A$3:$A$62)),0))</f>
        <v>68503.145152844838</v>
      </c>
      <c r="K722">
        <f t="array" ref="K722">INDEX($G$3:$G$200,MATCH(1, (YEAR(I722)=YEAR($A$3:$A$2000))*(MONTH(I722)=MONTH($A$3:$A$2000)),0))</f>
        <v>99200.116712389412</v>
      </c>
      <c r="L722">
        <f t="shared" si="23"/>
        <v>64424.622159263992</v>
      </c>
    </row>
    <row r="723" spans="4:12" x14ac:dyDescent="0.25">
      <c r="D723">
        <f t="shared" si="22"/>
        <v>0</v>
      </c>
      <c r="H723">
        <v>721</v>
      </c>
      <c r="I723" s="1">
        <v>45680</v>
      </c>
      <c r="J723">
        <f t="array" ref="J723">INDEX($D$3:$D$62,MATCH(1, (YEAR(I723)=YEAR($A$3:$A$62))*(MONTH(I723)=MONTH($A$3:$A$62)),0))</f>
        <v>68503.145152844838</v>
      </c>
      <c r="K723">
        <f t="array" ref="K723">INDEX($G$3:$G$200,MATCH(1, (YEAR(I723)=YEAR($A$3:$A$2000))*(MONTH(I723)=MONTH($A$3:$A$2000)),0))</f>
        <v>99200.116712389412</v>
      </c>
      <c r="L723">
        <f t="shared" si="23"/>
        <v>64369.578830568993</v>
      </c>
    </row>
    <row r="724" spans="4:12" x14ac:dyDescent="0.25">
      <c r="D724">
        <f t="shared" si="22"/>
        <v>0</v>
      </c>
      <c r="H724">
        <v>722</v>
      </c>
      <c r="I724" s="1">
        <v>45681</v>
      </c>
      <c r="J724">
        <f t="array" ref="J724">INDEX($D$3:$D$62,MATCH(1, (YEAR(I724)=YEAR($A$3:$A$62))*(MONTH(I724)=MONTH($A$3:$A$62)),0))</f>
        <v>68503.145152844838</v>
      </c>
      <c r="K724">
        <f t="array" ref="K724">INDEX($G$3:$G$200,MATCH(1, (YEAR(I724)=YEAR($A$3:$A$2000))*(MONTH(I724)=MONTH($A$3:$A$2000)),0))</f>
        <v>99200.116712389412</v>
      </c>
      <c r="L724">
        <f t="shared" si="23"/>
        <v>64314.627016223982</v>
      </c>
    </row>
    <row r="725" spans="4:12" x14ac:dyDescent="0.25">
      <c r="D725">
        <f t="shared" si="22"/>
        <v>0</v>
      </c>
      <c r="H725">
        <v>723</v>
      </c>
      <c r="I725" s="1">
        <v>45682</v>
      </c>
      <c r="J725">
        <f t="array" ref="J725">INDEX($D$3:$D$62,MATCH(1, (YEAR(I725)=YEAR($A$3:$A$62))*(MONTH(I725)=MONTH($A$3:$A$62)),0))</f>
        <v>68503.145152844838</v>
      </c>
      <c r="K725">
        <f t="array" ref="K725">INDEX($G$3:$G$200,MATCH(1, (YEAR(I725)=YEAR($A$3:$A$2000))*(MONTH(I725)=MONTH($A$3:$A$2000)),0))</f>
        <v>99200.116712389412</v>
      </c>
      <c r="L725">
        <f t="shared" si="23"/>
        <v>64259.76650138697</v>
      </c>
    </row>
    <row r="726" spans="4:12" x14ac:dyDescent="0.25">
      <c r="D726">
        <f t="shared" si="22"/>
        <v>0</v>
      </c>
      <c r="H726">
        <v>724</v>
      </c>
      <c r="I726" s="1">
        <v>45683</v>
      </c>
      <c r="J726">
        <f t="array" ref="J726">INDEX($D$3:$D$62,MATCH(1, (YEAR(I726)=YEAR($A$3:$A$62))*(MONTH(I726)=MONTH($A$3:$A$62)),0))</f>
        <v>68503.145152844838</v>
      </c>
      <c r="K726">
        <f t="array" ref="K726">INDEX($G$3:$G$200,MATCH(1, (YEAR(I726)=YEAR($A$3:$A$2000))*(MONTH(I726)=MONTH($A$3:$A$2000)),0))</f>
        <v>99200.116712389412</v>
      </c>
      <c r="L726">
        <f t="shared" si="23"/>
        <v>64204.997071503996</v>
      </c>
    </row>
    <row r="727" spans="4:12" x14ac:dyDescent="0.25">
      <c r="D727">
        <f t="shared" si="22"/>
        <v>0</v>
      </c>
      <c r="H727">
        <v>725</v>
      </c>
      <c r="I727" s="1">
        <v>45684</v>
      </c>
      <c r="J727">
        <f t="array" ref="J727">INDEX($D$3:$D$62,MATCH(1, (YEAR(I727)=YEAR($A$3:$A$62))*(MONTH(I727)=MONTH($A$3:$A$62)),0))</f>
        <v>68503.145152844838</v>
      </c>
      <c r="K727">
        <f t="array" ref="K727">INDEX($G$3:$G$200,MATCH(1, (YEAR(I727)=YEAR($A$3:$A$2000))*(MONTH(I727)=MONTH($A$3:$A$2000)),0))</f>
        <v>99200.116712389412</v>
      </c>
      <c r="L727">
        <f t="shared" si="23"/>
        <v>64150.318512308993</v>
      </c>
    </row>
    <row r="728" spans="4:12" x14ac:dyDescent="0.25">
      <c r="D728">
        <f t="shared" si="22"/>
        <v>0</v>
      </c>
      <c r="H728">
        <v>726</v>
      </c>
      <c r="I728" s="1">
        <v>45685</v>
      </c>
      <c r="J728">
        <f t="array" ref="J728">INDEX($D$3:$D$62,MATCH(1, (YEAR(I728)=YEAR($A$3:$A$62))*(MONTH(I728)=MONTH($A$3:$A$62)),0))</f>
        <v>68503.145152844838</v>
      </c>
      <c r="K728">
        <f t="array" ref="K728">INDEX($G$3:$G$200,MATCH(1, (YEAR(I728)=YEAR($A$3:$A$2000))*(MONTH(I728)=MONTH($A$3:$A$2000)),0))</f>
        <v>99200.116712389412</v>
      </c>
      <c r="L728">
        <f t="shared" si="23"/>
        <v>64095.730609823979</v>
      </c>
    </row>
    <row r="729" spans="4:12" x14ac:dyDescent="0.25">
      <c r="D729">
        <f t="shared" si="22"/>
        <v>0</v>
      </c>
      <c r="H729">
        <v>727</v>
      </c>
      <c r="I729" s="1">
        <v>45686</v>
      </c>
      <c r="J729">
        <f t="array" ref="J729">INDEX($D$3:$D$62,MATCH(1, (YEAR(I729)=YEAR($A$3:$A$62))*(MONTH(I729)=MONTH($A$3:$A$62)),0))</f>
        <v>68503.145152844838</v>
      </c>
      <c r="K729">
        <f t="array" ref="K729">INDEX($G$3:$G$200,MATCH(1, (YEAR(I729)=YEAR($A$3:$A$2000))*(MONTH(I729)=MONTH($A$3:$A$2000)),0))</f>
        <v>99200.116712389412</v>
      </c>
      <c r="L729">
        <f t="shared" si="23"/>
        <v>64041.233150358981</v>
      </c>
    </row>
    <row r="730" spans="4:12" x14ac:dyDescent="0.25">
      <c r="D730">
        <f t="shared" si="22"/>
        <v>0</v>
      </c>
      <c r="H730">
        <v>728</v>
      </c>
      <c r="I730" s="1">
        <v>45687</v>
      </c>
      <c r="J730">
        <f t="array" ref="J730">INDEX($D$3:$D$62,MATCH(1, (YEAR(I730)=YEAR($A$3:$A$62))*(MONTH(I730)=MONTH($A$3:$A$62)),0))</f>
        <v>68503.145152844838</v>
      </c>
      <c r="K730">
        <f t="array" ref="K730">INDEX($G$3:$G$200,MATCH(1, (YEAR(I730)=YEAR($A$3:$A$2000))*(MONTH(I730)=MONTH($A$3:$A$2000)),0))</f>
        <v>99200.116712389412</v>
      </c>
      <c r="L730">
        <f t="shared" si="23"/>
        <v>63986.825920511998</v>
      </c>
    </row>
    <row r="731" spans="4:12" x14ac:dyDescent="0.25">
      <c r="D731">
        <f t="shared" si="22"/>
        <v>0</v>
      </c>
      <c r="H731">
        <v>729</v>
      </c>
      <c r="I731" s="1">
        <v>45688</v>
      </c>
      <c r="J731">
        <f t="array" ref="J731">INDEX($D$3:$D$62,MATCH(1, (YEAR(I731)=YEAR($A$3:$A$62))*(MONTH(I731)=MONTH($A$3:$A$62)),0))</f>
        <v>68503.145152844838</v>
      </c>
      <c r="K731">
        <f t="array" ref="K731">INDEX($G$3:$G$200,MATCH(1, (YEAR(I731)=YEAR($A$3:$A$2000))*(MONTH(I731)=MONTH($A$3:$A$2000)),0))</f>
        <v>99200.116712389412</v>
      </c>
      <c r="L731">
        <f t="shared" si="23"/>
        <v>63932.508707168978</v>
      </c>
    </row>
    <row r="732" spans="4:12" x14ac:dyDescent="0.25">
      <c r="D732">
        <f t="shared" si="22"/>
        <v>0</v>
      </c>
      <c r="H732">
        <v>730</v>
      </c>
      <c r="I732" s="1">
        <v>45689</v>
      </c>
      <c r="J732">
        <f t="array" ref="J732">INDEX($D$3:$D$62,MATCH(1, (YEAR(I732)=YEAR($A$3:$A$62))*(MONTH(I732)=MONTH($A$3:$A$62)),0))</f>
        <v>66775.51643082466</v>
      </c>
      <c r="K732">
        <f t="array" ref="K732">INDEX($G$3:$G$200,MATCH(1, (YEAR(I732)=YEAR($A$3:$A$2000))*(MONTH(I732)=MONTH($A$3:$A$2000)),0))</f>
        <v>96652.327110692102</v>
      </c>
      <c r="L732">
        <f t="shared" si="23"/>
        <v>63878.281297503971</v>
      </c>
    </row>
    <row r="733" spans="4:12" x14ac:dyDescent="0.25">
      <c r="D733">
        <f t="shared" si="22"/>
        <v>0</v>
      </c>
      <c r="H733">
        <v>731</v>
      </c>
      <c r="I733" s="1">
        <v>45690</v>
      </c>
      <c r="J733">
        <f t="array" ref="J733">INDEX($D$3:$D$62,MATCH(1, (YEAR(I733)=YEAR($A$3:$A$62))*(MONTH(I733)=MONTH($A$3:$A$62)),0))</f>
        <v>66775.51643082466</v>
      </c>
      <c r="K733">
        <f t="array" ref="K733">INDEX($G$3:$G$200,MATCH(1, (YEAR(I733)=YEAR($A$3:$A$2000))*(MONTH(I733)=MONTH($A$3:$A$2000)),0))</f>
        <v>96652.327110692102</v>
      </c>
      <c r="L733">
        <f t="shared" si="23"/>
        <v>63824.143478978964</v>
      </c>
    </row>
    <row r="734" spans="4:12" x14ac:dyDescent="0.25">
      <c r="D734">
        <f t="shared" si="22"/>
        <v>0</v>
      </c>
      <c r="H734">
        <v>732</v>
      </c>
      <c r="I734" s="1">
        <v>45691</v>
      </c>
      <c r="J734">
        <f t="array" ref="J734">INDEX($D$3:$D$62,MATCH(1, (YEAR(I734)=YEAR($A$3:$A$62))*(MONTH(I734)=MONTH($A$3:$A$62)),0))</f>
        <v>66775.51643082466</v>
      </c>
      <c r="K734">
        <f t="array" ref="K734">INDEX($G$3:$G$200,MATCH(1, (YEAR(I734)=YEAR($A$3:$A$2000))*(MONTH(I734)=MONTH($A$3:$A$2000)),0))</f>
        <v>96652.327110692102</v>
      </c>
      <c r="L734">
        <f t="shared" si="23"/>
        <v>63770.095039344</v>
      </c>
    </row>
    <row r="735" spans="4:12" x14ac:dyDescent="0.25">
      <c r="D735">
        <f t="shared" si="22"/>
        <v>0</v>
      </c>
      <c r="H735">
        <v>733</v>
      </c>
      <c r="I735" s="1">
        <v>45692</v>
      </c>
      <c r="J735">
        <f t="array" ref="J735">INDEX($D$3:$D$62,MATCH(1, (YEAR(I735)=YEAR($A$3:$A$62))*(MONTH(I735)=MONTH($A$3:$A$62)),0))</f>
        <v>66775.51643082466</v>
      </c>
      <c r="K735">
        <f t="array" ref="K735">INDEX($G$3:$G$200,MATCH(1, (YEAR(I735)=YEAR($A$3:$A$2000))*(MONTH(I735)=MONTH($A$3:$A$2000)),0))</f>
        <v>96652.327110692102</v>
      </c>
      <c r="L735">
        <f t="shared" si="23"/>
        <v>63716.135766636988</v>
      </c>
    </row>
    <row r="736" spans="4:12" x14ac:dyDescent="0.25">
      <c r="D736">
        <f t="shared" si="22"/>
        <v>0</v>
      </c>
      <c r="H736">
        <v>734</v>
      </c>
      <c r="I736" s="1">
        <v>45693</v>
      </c>
      <c r="J736">
        <f t="array" ref="J736">INDEX($D$3:$D$62,MATCH(1, (YEAR(I736)=YEAR($A$3:$A$62))*(MONTH(I736)=MONTH($A$3:$A$62)),0))</f>
        <v>66775.51643082466</v>
      </c>
      <c r="K736">
        <f t="array" ref="K736">INDEX($G$3:$G$200,MATCH(1, (YEAR(I736)=YEAR($A$3:$A$2000))*(MONTH(I736)=MONTH($A$3:$A$2000)),0))</f>
        <v>96652.327110692102</v>
      </c>
      <c r="L736">
        <f t="shared" si="23"/>
        <v>63662.265449183978</v>
      </c>
    </row>
    <row r="737" spans="4:12" x14ac:dyDescent="0.25">
      <c r="D737">
        <f t="shared" si="22"/>
        <v>0</v>
      </c>
      <c r="H737">
        <v>735</v>
      </c>
      <c r="I737" s="1">
        <v>45694</v>
      </c>
      <c r="J737">
        <f t="array" ref="J737">INDEX($D$3:$D$62,MATCH(1, (YEAR(I737)=YEAR($A$3:$A$62))*(MONTH(I737)=MONTH($A$3:$A$62)),0))</f>
        <v>66775.51643082466</v>
      </c>
      <c r="K737">
        <f t="array" ref="K737">INDEX($G$3:$G$200,MATCH(1, (YEAR(I737)=YEAR($A$3:$A$2000))*(MONTH(I737)=MONTH($A$3:$A$2000)),0))</f>
        <v>96652.327110692102</v>
      </c>
      <c r="L737">
        <f t="shared" si="23"/>
        <v>63608.483875598977</v>
      </c>
    </row>
    <row r="738" spans="4:12" x14ac:dyDescent="0.25">
      <c r="D738">
        <f t="shared" si="22"/>
        <v>0</v>
      </c>
      <c r="H738">
        <v>736</v>
      </c>
      <c r="I738" s="1">
        <v>45695</v>
      </c>
      <c r="J738">
        <f t="array" ref="J738">INDEX($D$3:$D$62,MATCH(1, (YEAR(I738)=YEAR($A$3:$A$62))*(MONTH(I738)=MONTH($A$3:$A$62)),0))</f>
        <v>66775.51643082466</v>
      </c>
      <c r="K738">
        <f t="array" ref="K738">INDEX($G$3:$G$200,MATCH(1, (YEAR(I738)=YEAR($A$3:$A$2000))*(MONTH(I738)=MONTH($A$3:$A$2000)),0))</f>
        <v>96652.327110692102</v>
      </c>
      <c r="L738">
        <f t="shared" si="23"/>
        <v>63554.790834783984</v>
      </c>
    </row>
    <row r="739" spans="4:12" x14ac:dyDescent="0.25">
      <c r="D739">
        <f t="shared" si="22"/>
        <v>0</v>
      </c>
      <c r="H739">
        <v>737</v>
      </c>
      <c r="I739" s="1">
        <v>45696</v>
      </c>
      <c r="J739">
        <f t="array" ref="J739">INDEX($D$3:$D$62,MATCH(1, (YEAR(I739)=YEAR($A$3:$A$62))*(MONTH(I739)=MONTH($A$3:$A$62)),0))</f>
        <v>66775.51643082466</v>
      </c>
      <c r="K739">
        <f t="array" ref="K739">INDEX($G$3:$G$200,MATCH(1, (YEAR(I739)=YEAR($A$3:$A$2000))*(MONTH(I739)=MONTH($A$3:$A$2000)),0))</f>
        <v>96652.327110692102</v>
      </c>
      <c r="L739">
        <f t="shared" si="23"/>
        <v>63501.186115928984</v>
      </c>
    </row>
    <row r="740" spans="4:12" x14ac:dyDescent="0.25">
      <c r="D740">
        <f t="shared" si="22"/>
        <v>0</v>
      </c>
      <c r="H740">
        <v>738</v>
      </c>
      <c r="I740" s="1">
        <v>45697</v>
      </c>
      <c r="J740">
        <f t="array" ref="J740">INDEX($D$3:$D$62,MATCH(1, (YEAR(I740)=YEAR($A$3:$A$62))*(MONTH(I740)=MONTH($A$3:$A$62)),0))</f>
        <v>66775.51643082466</v>
      </c>
      <c r="K740">
        <f t="array" ref="K740">INDEX($G$3:$G$200,MATCH(1, (YEAR(I740)=YEAR($A$3:$A$2000))*(MONTH(I740)=MONTH($A$3:$A$2000)),0))</f>
        <v>96652.327110692102</v>
      </c>
      <c r="L740">
        <f t="shared" si="23"/>
        <v>63447.669508511972</v>
      </c>
    </row>
    <row r="741" spans="4:12" x14ac:dyDescent="0.25">
      <c r="D741">
        <f t="shared" si="22"/>
        <v>0</v>
      </c>
      <c r="H741">
        <v>739</v>
      </c>
      <c r="I741" s="1">
        <v>45698</v>
      </c>
      <c r="J741">
        <f t="array" ref="J741">INDEX($D$3:$D$62,MATCH(1, (YEAR(I741)=YEAR($A$3:$A$62))*(MONTH(I741)=MONTH($A$3:$A$62)),0))</f>
        <v>66775.51643082466</v>
      </c>
      <c r="K741">
        <f t="array" ref="K741">INDEX($G$3:$G$200,MATCH(1, (YEAR(I741)=YEAR($A$3:$A$2000))*(MONTH(I741)=MONTH($A$3:$A$2000)),0))</f>
        <v>96652.327110692102</v>
      </c>
      <c r="L741">
        <f t="shared" si="23"/>
        <v>63394.240802298998</v>
      </c>
    </row>
    <row r="742" spans="4:12" x14ac:dyDescent="0.25">
      <c r="D742">
        <f t="shared" si="22"/>
        <v>0</v>
      </c>
      <c r="H742">
        <v>740</v>
      </c>
      <c r="I742" s="1">
        <v>45699</v>
      </c>
      <c r="J742">
        <f t="array" ref="J742">INDEX($D$3:$D$62,MATCH(1, (YEAR(I742)=YEAR($A$3:$A$62))*(MONTH(I742)=MONTH($A$3:$A$62)),0))</f>
        <v>66775.51643082466</v>
      </c>
      <c r="K742">
        <f t="array" ref="K742">INDEX($G$3:$G$200,MATCH(1, (YEAR(I742)=YEAR($A$3:$A$2000))*(MONTH(I742)=MONTH($A$3:$A$2000)),0))</f>
        <v>96652.327110692102</v>
      </c>
      <c r="L742">
        <f t="shared" si="23"/>
        <v>63340.899787343995</v>
      </c>
    </row>
    <row r="743" spans="4:12" x14ac:dyDescent="0.25">
      <c r="D743">
        <f t="shared" si="22"/>
        <v>0</v>
      </c>
      <c r="H743">
        <v>741</v>
      </c>
      <c r="I743" s="1">
        <v>45700</v>
      </c>
      <c r="J743">
        <f t="array" ref="J743">INDEX($D$3:$D$62,MATCH(1, (YEAR(I743)=YEAR($A$3:$A$62))*(MONTH(I743)=MONTH($A$3:$A$62)),0))</f>
        <v>66775.51643082466</v>
      </c>
      <c r="K743">
        <f t="array" ref="K743">INDEX($G$3:$G$200,MATCH(1, (YEAR(I743)=YEAR($A$3:$A$2000))*(MONTH(I743)=MONTH($A$3:$A$2000)),0))</f>
        <v>96652.327110692102</v>
      </c>
      <c r="L743">
        <f t="shared" si="23"/>
        <v>63287.646253988991</v>
      </c>
    </row>
    <row r="744" spans="4:12" x14ac:dyDescent="0.25">
      <c r="D744">
        <f t="shared" si="22"/>
        <v>0</v>
      </c>
      <c r="H744">
        <v>742</v>
      </c>
      <c r="I744" s="1">
        <v>45701</v>
      </c>
      <c r="J744">
        <f t="array" ref="J744">INDEX($D$3:$D$62,MATCH(1, (YEAR(I744)=YEAR($A$3:$A$62))*(MONTH(I744)=MONTH($A$3:$A$62)),0))</f>
        <v>66775.51643082466</v>
      </c>
      <c r="K744">
        <f t="array" ref="K744">INDEX($G$3:$G$200,MATCH(1, (YEAR(I744)=YEAR($A$3:$A$2000))*(MONTH(I744)=MONTH($A$3:$A$2000)),0))</f>
        <v>96652.327110692102</v>
      </c>
      <c r="L744">
        <f t="shared" si="23"/>
        <v>63234.479992863984</v>
      </c>
    </row>
    <row r="745" spans="4:12" x14ac:dyDescent="0.25">
      <c r="D745">
        <f t="shared" si="22"/>
        <v>0</v>
      </c>
      <c r="H745">
        <v>743</v>
      </c>
      <c r="I745" s="1">
        <v>45702</v>
      </c>
      <c r="J745">
        <f t="array" ref="J745">INDEX($D$3:$D$62,MATCH(1, (YEAR(I745)=YEAR($A$3:$A$62))*(MONTH(I745)=MONTH($A$3:$A$62)),0))</f>
        <v>66775.51643082466</v>
      </c>
      <c r="K745">
        <f t="array" ref="K745">INDEX($G$3:$G$200,MATCH(1, (YEAR(I745)=YEAR($A$3:$A$2000))*(MONTH(I745)=MONTH($A$3:$A$2000)),0))</f>
        <v>96652.327110692102</v>
      </c>
      <c r="L745">
        <f t="shared" si="23"/>
        <v>63181.400794886998</v>
      </c>
    </row>
    <row r="746" spans="4:12" x14ac:dyDescent="0.25">
      <c r="D746">
        <f t="shared" si="22"/>
        <v>0</v>
      </c>
      <c r="H746">
        <v>744</v>
      </c>
      <c r="I746" s="1">
        <v>45703</v>
      </c>
      <c r="J746">
        <f t="array" ref="J746">INDEX($D$3:$D$62,MATCH(1, (YEAR(I746)=YEAR($A$3:$A$62))*(MONTH(I746)=MONTH($A$3:$A$62)),0))</f>
        <v>66775.51643082466</v>
      </c>
      <c r="K746">
        <f t="array" ref="K746">INDEX($G$3:$G$200,MATCH(1, (YEAR(I746)=YEAR($A$3:$A$2000))*(MONTH(I746)=MONTH($A$3:$A$2000)),0))</f>
        <v>96652.327110692102</v>
      </c>
      <c r="L746">
        <f t="shared" si="23"/>
        <v>63128.408451263997</v>
      </c>
    </row>
    <row r="747" spans="4:12" x14ac:dyDescent="0.25">
      <c r="D747">
        <f t="shared" si="22"/>
        <v>0</v>
      </c>
      <c r="H747">
        <v>745</v>
      </c>
      <c r="I747" s="1">
        <v>45704</v>
      </c>
      <c r="J747">
        <f t="array" ref="J747">INDEX($D$3:$D$62,MATCH(1, (YEAR(I747)=YEAR($A$3:$A$62))*(MONTH(I747)=MONTH($A$3:$A$62)),0))</f>
        <v>66775.51643082466</v>
      </c>
      <c r="K747">
        <f t="array" ref="K747">INDEX($G$3:$G$200,MATCH(1, (YEAR(I747)=YEAR($A$3:$A$2000))*(MONTH(I747)=MONTH($A$3:$A$2000)),0))</f>
        <v>96652.327110692102</v>
      </c>
      <c r="L747">
        <f t="shared" si="23"/>
        <v>63075.502753488981</v>
      </c>
    </row>
    <row r="748" spans="4:12" x14ac:dyDescent="0.25">
      <c r="D748">
        <f t="shared" si="22"/>
        <v>0</v>
      </c>
      <c r="H748">
        <v>746</v>
      </c>
      <c r="I748" s="1">
        <v>45705</v>
      </c>
      <c r="J748">
        <f t="array" ref="J748">INDEX($D$3:$D$62,MATCH(1, (YEAR(I748)=YEAR($A$3:$A$62))*(MONTH(I748)=MONTH($A$3:$A$62)),0))</f>
        <v>66775.51643082466</v>
      </c>
      <c r="K748">
        <f t="array" ref="K748">INDEX($G$3:$G$200,MATCH(1, (YEAR(I748)=YEAR($A$3:$A$2000))*(MONTH(I748)=MONTH($A$3:$A$2000)),0))</f>
        <v>96652.327110692102</v>
      </c>
      <c r="L748">
        <f t="shared" si="23"/>
        <v>63022.683493343982</v>
      </c>
    </row>
    <row r="749" spans="4:12" x14ac:dyDescent="0.25">
      <c r="D749">
        <f t="shared" si="22"/>
        <v>0</v>
      </c>
      <c r="H749">
        <v>747</v>
      </c>
      <c r="I749" s="1">
        <v>45706</v>
      </c>
      <c r="J749">
        <f t="array" ref="J749">INDEX($D$3:$D$62,MATCH(1, (YEAR(I749)=YEAR($A$3:$A$62))*(MONTH(I749)=MONTH($A$3:$A$62)),0))</f>
        <v>66775.51643082466</v>
      </c>
      <c r="K749">
        <f t="array" ref="K749">INDEX($G$3:$G$200,MATCH(1, (YEAR(I749)=YEAR($A$3:$A$2000))*(MONTH(I749)=MONTH($A$3:$A$2000)),0))</f>
        <v>96652.327110692102</v>
      </c>
      <c r="L749">
        <f t="shared" si="23"/>
        <v>62969.950462898996</v>
      </c>
    </row>
    <row r="750" spans="4:12" x14ac:dyDescent="0.25">
      <c r="D750">
        <f t="shared" si="22"/>
        <v>0</v>
      </c>
      <c r="H750">
        <v>748</v>
      </c>
      <c r="I750" s="1">
        <v>45707</v>
      </c>
      <c r="J750">
        <f t="array" ref="J750">INDEX($D$3:$D$62,MATCH(1, (YEAR(I750)=YEAR($A$3:$A$62))*(MONTH(I750)=MONTH($A$3:$A$62)),0))</f>
        <v>66775.51643082466</v>
      </c>
      <c r="K750">
        <f t="array" ref="K750">INDEX($G$3:$G$200,MATCH(1, (YEAR(I750)=YEAR($A$3:$A$2000))*(MONTH(I750)=MONTH($A$3:$A$2000)),0))</f>
        <v>96652.327110692102</v>
      </c>
      <c r="L750">
        <f t="shared" si="23"/>
        <v>62917.303454511988</v>
      </c>
    </row>
    <row r="751" spans="4:12" x14ac:dyDescent="0.25">
      <c r="D751">
        <f t="shared" si="22"/>
        <v>0</v>
      </c>
      <c r="H751">
        <v>749</v>
      </c>
      <c r="I751" s="1">
        <v>45708</v>
      </c>
      <c r="J751">
        <f t="array" ref="J751">INDEX($D$3:$D$62,MATCH(1, (YEAR(I751)=YEAR($A$3:$A$62))*(MONTH(I751)=MONTH($A$3:$A$62)),0))</f>
        <v>66775.51643082466</v>
      </c>
      <c r="K751">
        <f t="array" ref="K751">INDEX($G$3:$G$200,MATCH(1, (YEAR(I751)=YEAR($A$3:$A$2000))*(MONTH(I751)=MONTH($A$3:$A$2000)),0))</f>
        <v>96652.327110692102</v>
      </c>
      <c r="L751">
        <f t="shared" si="23"/>
        <v>62864.742260828978</v>
      </c>
    </row>
    <row r="752" spans="4:12" x14ac:dyDescent="0.25">
      <c r="D752">
        <f t="shared" si="22"/>
        <v>0</v>
      </c>
      <c r="H752">
        <v>750</v>
      </c>
      <c r="I752" s="1">
        <v>45709</v>
      </c>
      <c r="J752">
        <f t="array" ref="J752">INDEX($D$3:$D$62,MATCH(1, (YEAR(I752)=YEAR($A$3:$A$62))*(MONTH(I752)=MONTH($A$3:$A$62)),0))</f>
        <v>66775.51643082466</v>
      </c>
      <c r="K752">
        <f t="array" ref="K752">INDEX($G$3:$G$200,MATCH(1, (YEAR(I752)=YEAR($A$3:$A$2000))*(MONTH(I752)=MONTH($A$3:$A$2000)),0))</f>
        <v>96652.327110692102</v>
      </c>
      <c r="L752">
        <f t="shared" si="23"/>
        <v>62812.266674783968</v>
      </c>
    </row>
    <row r="753" spans="4:12" x14ac:dyDescent="0.25">
      <c r="D753">
        <f t="shared" si="22"/>
        <v>0</v>
      </c>
      <c r="H753">
        <v>751</v>
      </c>
      <c r="I753" s="1">
        <v>45710</v>
      </c>
      <c r="J753">
        <f t="array" ref="J753">INDEX($D$3:$D$62,MATCH(1, (YEAR(I753)=YEAR($A$3:$A$62))*(MONTH(I753)=MONTH($A$3:$A$62)),0))</f>
        <v>66775.51643082466</v>
      </c>
      <c r="K753">
        <f t="array" ref="K753">INDEX($G$3:$G$200,MATCH(1, (YEAR(I753)=YEAR($A$3:$A$2000))*(MONTH(I753)=MONTH($A$3:$A$2000)),0))</f>
        <v>96652.327110692102</v>
      </c>
      <c r="L753">
        <f t="shared" si="23"/>
        <v>62759.876489599003</v>
      </c>
    </row>
    <row r="754" spans="4:12" x14ac:dyDescent="0.25">
      <c r="D754">
        <f t="shared" si="22"/>
        <v>0</v>
      </c>
      <c r="H754">
        <v>752</v>
      </c>
      <c r="I754" s="1">
        <v>45711</v>
      </c>
      <c r="J754">
        <f t="array" ref="J754">INDEX($D$3:$D$62,MATCH(1, (YEAR(I754)=YEAR($A$3:$A$62))*(MONTH(I754)=MONTH($A$3:$A$62)),0))</f>
        <v>66775.51643082466</v>
      </c>
      <c r="K754">
        <f t="array" ref="K754">INDEX($G$3:$G$200,MATCH(1, (YEAR(I754)=YEAR($A$3:$A$2000))*(MONTH(I754)=MONTH($A$3:$A$2000)),0))</f>
        <v>96652.327110692102</v>
      </c>
      <c r="L754">
        <f t="shared" si="23"/>
        <v>62707.571498783989</v>
      </c>
    </row>
    <row r="755" spans="4:12" x14ac:dyDescent="0.25">
      <c r="D755">
        <f t="shared" si="22"/>
        <v>0</v>
      </c>
      <c r="H755">
        <v>753</v>
      </c>
      <c r="I755" s="1">
        <v>45712</v>
      </c>
      <c r="J755">
        <f t="array" ref="J755">INDEX($D$3:$D$62,MATCH(1, (YEAR(I755)=YEAR($A$3:$A$62))*(MONTH(I755)=MONTH($A$3:$A$62)),0))</f>
        <v>66775.51643082466</v>
      </c>
      <c r="K755">
        <f t="array" ref="K755">INDEX($G$3:$G$200,MATCH(1, (YEAR(I755)=YEAR($A$3:$A$2000))*(MONTH(I755)=MONTH($A$3:$A$2000)),0))</f>
        <v>96652.327110692102</v>
      </c>
      <c r="L755">
        <f t="shared" si="23"/>
        <v>62655.35149613698</v>
      </c>
    </row>
    <row r="756" spans="4:12" x14ac:dyDescent="0.25">
      <c r="D756">
        <f t="shared" si="22"/>
        <v>0</v>
      </c>
      <c r="H756">
        <v>754</v>
      </c>
      <c r="I756" s="1">
        <v>45713</v>
      </c>
      <c r="J756">
        <f t="array" ref="J756">INDEX($D$3:$D$62,MATCH(1, (YEAR(I756)=YEAR($A$3:$A$62))*(MONTH(I756)=MONTH($A$3:$A$62)),0))</f>
        <v>66775.51643082466</v>
      </c>
      <c r="K756">
        <f t="array" ref="K756">INDEX($G$3:$G$200,MATCH(1, (YEAR(I756)=YEAR($A$3:$A$2000))*(MONTH(I756)=MONTH($A$3:$A$2000)),0))</f>
        <v>96652.327110692102</v>
      </c>
      <c r="L756">
        <f t="shared" si="23"/>
        <v>62603.216275743966</v>
      </c>
    </row>
    <row r="757" spans="4:12" x14ac:dyDescent="0.25">
      <c r="D757">
        <f t="shared" si="22"/>
        <v>0</v>
      </c>
      <c r="H757">
        <v>755</v>
      </c>
      <c r="I757" s="1">
        <v>45714</v>
      </c>
      <c r="J757">
        <f t="array" ref="J757">INDEX($D$3:$D$62,MATCH(1, (YEAR(I757)=YEAR($A$3:$A$62))*(MONTH(I757)=MONTH($A$3:$A$62)),0))</f>
        <v>66775.51643082466</v>
      </c>
      <c r="K757">
        <f t="array" ref="K757">INDEX($G$3:$G$200,MATCH(1, (YEAR(I757)=YEAR($A$3:$A$2000))*(MONTH(I757)=MONTH($A$3:$A$2000)),0))</f>
        <v>96652.327110692102</v>
      </c>
      <c r="L757">
        <f t="shared" si="23"/>
        <v>62551.165631978991</v>
      </c>
    </row>
    <row r="758" spans="4:12" x14ac:dyDescent="0.25">
      <c r="D758">
        <f t="shared" si="22"/>
        <v>0</v>
      </c>
      <c r="H758">
        <v>756</v>
      </c>
      <c r="I758" s="1">
        <v>45715</v>
      </c>
      <c r="J758">
        <f t="array" ref="J758">INDEX($D$3:$D$62,MATCH(1, (YEAR(I758)=YEAR($A$3:$A$62))*(MONTH(I758)=MONTH($A$3:$A$62)),0))</f>
        <v>66775.51643082466</v>
      </c>
      <c r="K758">
        <f t="array" ref="K758">INDEX($G$3:$G$200,MATCH(1, (YEAR(I758)=YEAR($A$3:$A$2000))*(MONTH(I758)=MONTH($A$3:$A$2000)),0))</f>
        <v>96652.327110692102</v>
      </c>
      <c r="L758">
        <f t="shared" si="23"/>
        <v>62499.199359503982</v>
      </c>
    </row>
    <row r="759" spans="4:12" x14ac:dyDescent="0.25">
      <c r="D759">
        <f t="shared" si="22"/>
        <v>0</v>
      </c>
      <c r="H759">
        <v>757</v>
      </c>
      <c r="I759" s="1">
        <v>45716</v>
      </c>
      <c r="J759">
        <f t="array" ref="J759">INDEX($D$3:$D$62,MATCH(1, (YEAR(I759)=YEAR($A$3:$A$62))*(MONTH(I759)=MONTH($A$3:$A$62)),0))</f>
        <v>66775.51643082466</v>
      </c>
      <c r="K759">
        <f t="array" ref="K759">INDEX($G$3:$G$200,MATCH(1, (YEAR(I759)=YEAR($A$3:$A$2000))*(MONTH(I759)=MONTH($A$3:$A$2000)),0))</f>
        <v>96652.327110692102</v>
      </c>
      <c r="L759">
        <f t="shared" si="23"/>
        <v>62447.317253268993</v>
      </c>
    </row>
    <row r="760" spans="4:12" x14ac:dyDescent="0.25">
      <c r="D760">
        <f t="shared" si="22"/>
        <v>0</v>
      </c>
      <c r="H760">
        <v>758</v>
      </c>
      <c r="I760" s="1">
        <v>45717</v>
      </c>
      <c r="J760">
        <f t="array" ref="J760">INDEX($D$3:$D$62,MATCH(1, (YEAR(I760)=YEAR($A$3:$A$62))*(MONTH(I760)=MONTH($A$3:$A$62)),0))</f>
        <v>65168.428330431503</v>
      </c>
      <c r="K760">
        <f t="array" ref="K760">INDEX($G$3:$G$200,MATCH(1, (YEAR(I760)=YEAR($A$3:$A$2000))*(MONTH(I760)=MONTH($A$3:$A$2000)),0))</f>
        <v>94352.874986989889</v>
      </c>
      <c r="L760">
        <f t="shared" si="23"/>
        <v>62395.519108511973</v>
      </c>
    </row>
    <row r="761" spans="4:12" x14ac:dyDescent="0.25">
      <c r="D761">
        <f t="shared" si="22"/>
        <v>0</v>
      </c>
      <c r="H761">
        <v>759</v>
      </c>
      <c r="I761" s="1">
        <v>45718</v>
      </c>
      <c r="J761">
        <f t="array" ref="J761">INDEX($D$3:$D$62,MATCH(1, (YEAR(I761)=YEAR($A$3:$A$62))*(MONTH(I761)=MONTH($A$3:$A$62)),0))</f>
        <v>65168.428330431503</v>
      </c>
      <c r="K761">
        <f t="array" ref="K761">INDEX($G$3:$G$200,MATCH(1, (YEAR(I761)=YEAR($A$3:$A$2000))*(MONTH(I761)=MONTH($A$3:$A$2000)),0))</f>
        <v>94352.874986989889</v>
      </c>
      <c r="L761">
        <f t="shared" si="23"/>
        <v>62343.804720758984</v>
      </c>
    </row>
    <row r="762" spans="4:12" x14ac:dyDescent="0.25">
      <c r="D762">
        <f t="shared" si="22"/>
        <v>0</v>
      </c>
      <c r="H762">
        <v>760</v>
      </c>
      <c r="I762" s="1">
        <v>45719</v>
      </c>
      <c r="J762">
        <f t="array" ref="J762">INDEX($D$3:$D$62,MATCH(1, (YEAR(I762)=YEAR($A$3:$A$62))*(MONTH(I762)=MONTH($A$3:$A$62)),0))</f>
        <v>65168.428330431503</v>
      </c>
      <c r="K762">
        <f t="array" ref="K762">INDEX($G$3:$G$200,MATCH(1, (YEAR(I762)=YEAR($A$3:$A$2000))*(MONTH(I762)=MONTH($A$3:$A$2000)),0))</f>
        <v>94352.874986989889</v>
      </c>
      <c r="L762">
        <f t="shared" si="23"/>
        <v>62292.173885823984</v>
      </c>
    </row>
    <row r="763" spans="4:12" x14ac:dyDescent="0.25">
      <c r="D763">
        <f t="shared" si="22"/>
        <v>0</v>
      </c>
      <c r="H763">
        <v>761</v>
      </c>
      <c r="I763" s="1">
        <v>45720</v>
      </c>
      <c r="J763">
        <f t="array" ref="J763">INDEX($D$3:$D$62,MATCH(1, (YEAR(I763)=YEAR($A$3:$A$62))*(MONTH(I763)=MONTH($A$3:$A$62)),0))</f>
        <v>65168.428330431503</v>
      </c>
      <c r="K763">
        <f t="array" ref="K763">INDEX($G$3:$G$200,MATCH(1, (YEAR(I763)=YEAR($A$3:$A$2000))*(MONTH(I763)=MONTH($A$3:$A$2000)),0))</f>
        <v>94352.874986989889</v>
      </c>
      <c r="L763">
        <f t="shared" si="23"/>
        <v>62240.626399808985</v>
      </c>
    </row>
    <row r="764" spans="4:12" x14ac:dyDescent="0.25">
      <c r="D764">
        <f t="shared" si="22"/>
        <v>0</v>
      </c>
      <c r="H764">
        <v>762</v>
      </c>
      <c r="I764" s="1">
        <v>45721</v>
      </c>
      <c r="J764">
        <f t="array" ref="J764">INDEX($D$3:$D$62,MATCH(1, (YEAR(I764)=YEAR($A$3:$A$62))*(MONTH(I764)=MONTH($A$3:$A$62)),0))</f>
        <v>65168.428330431503</v>
      </c>
      <c r="K764">
        <f t="array" ref="K764">INDEX($G$3:$G$200,MATCH(1, (YEAR(I764)=YEAR($A$3:$A$2000))*(MONTH(I764)=MONTH($A$3:$A$2000)),0))</f>
        <v>94352.874986989889</v>
      </c>
      <c r="L764">
        <f t="shared" si="23"/>
        <v>62189.162059103983</v>
      </c>
    </row>
    <row r="765" spans="4:12" x14ac:dyDescent="0.25">
      <c r="D765">
        <f t="shared" si="22"/>
        <v>0</v>
      </c>
      <c r="H765">
        <v>763</v>
      </c>
      <c r="I765" s="1">
        <v>45722</v>
      </c>
      <c r="J765">
        <f t="array" ref="J765">INDEX($D$3:$D$62,MATCH(1, (YEAR(I765)=YEAR($A$3:$A$62))*(MONTH(I765)=MONTH($A$3:$A$62)),0))</f>
        <v>65168.428330431503</v>
      </c>
      <c r="K765">
        <f t="array" ref="K765">INDEX($G$3:$G$200,MATCH(1, (YEAR(I765)=YEAR($A$3:$A$2000))*(MONTH(I765)=MONTH($A$3:$A$2000)),0))</f>
        <v>94352.874986989889</v>
      </c>
      <c r="L765">
        <f t="shared" si="23"/>
        <v>62137.780660386983</v>
      </c>
    </row>
    <row r="766" spans="4:12" x14ac:dyDescent="0.25">
      <c r="D766">
        <f t="shared" si="22"/>
        <v>0</v>
      </c>
      <c r="H766">
        <v>764</v>
      </c>
      <c r="I766" s="1">
        <v>45723</v>
      </c>
      <c r="J766">
        <f t="array" ref="J766">INDEX($D$3:$D$62,MATCH(1, (YEAR(I766)=YEAR($A$3:$A$62))*(MONTH(I766)=MONTH($A$3:$A$62)),0))</f>
        <v>65168.428330431503</v>
      </c>
      <c r="K766">
        <f t="array" ref="K766">INDEX($G$3:$G$200,MATCH(1, (YEAR(I766)=YEAR($A$3:$A$2000))*(MONTH(I766)=MONTH($A$3:$A$2000)),0))</f>
        <v>94352.874986989889</v>
      </c>
      <c r="L766">
        <f t="shared" si="23"/>
        <v>62086.48200062399</v>
      </c>
    </row>
    <row r="767" spans="4:12" x14ac:dyDescent="0.25">
      <c r="D767">
        <f t="shared" si="22"/>
        <v>0</v>
      </c>
      <c r="H767">
        <v>765</v>
      </c>
      <c r="I767" s="1">
        <v>45724</v>
      </c>
      <c r="J767">
        <f t="array" ref="J767">INDEX($D$3:$D$62,MATCH(1, (YEAR(I767)=YEAR($A$3:$A$62))*(MONTH(I767)=MONTH($A$3:$A$62)),0))</f>
        <v>65168.428330431503</v>
      </c>
      <c r="K767">
        <f t="array" ref="K767">INDEX($G$3:$G$200,MATCH(1, (YEAR(I767)=YEAR($A$3:$A$2000))*(MONTH(I767)=MONTH($A$3:$A$2000)),0))</f>
        <v>94352.874986989889</v>
      </c>
      <c r="L767">
        <f t="shared" si="23"/>
        <v>62035.265877068989</v>
      </c>
    </row>
    <row r="768" spans="4:12" x14ac:dyDescent="0.25">
      <c r="D768">
        <f t="shared" si="22"/>
        <v>0</v>
      </c>
      <c r="H768">
        <v>766</v>
      </c>
      <c r="I768" s="1">
        <v>45725</v>
      </c>
      <c r="J768">
        <f t="array" ref="J768">INDEX($D$3:$D$62,MATCH(1, (YEAR(I768)=YEAR($A$3:$A$62))*(MONTH(I768)=MONTH($A$3:$A$62)),0))</f>
        <v>65168.428330431503</v>
      </c>
      <c r="K768">
        <f t="array" ref="K768">INDEX($G$3:$G$200,MATCH(1, (YEAR(I768)=YEAR($A$3:$A$2000))*(MONTH(I768)=MONTH($A$3:$A$2000)),0))</f>
        <v>94352.874986989889</v>
      </c>
      <c r="L768">
        <f t="shared" si="23"/>
        <v>61984.132087263977</v>
      </c>
    </row>
    <row r="769" spans="4:12" x14ac:dyDescent="0.25">
      <c r="D769">
        <f t="shared" si="22"/>
        <v>0</v>
      </c>
      <c r="H769">
        <v>767</v>
      </c>
      <c r="I769" s="1">
        <v>45726</v>
      </c>
      <c r="J769">
        <f t="array" ref="J769">INDEX($D$3:$D$62,MATCH(1, (YEAR(I769)=YEAR($A$3:$A$62))*(MONTH(I769)=MONTH($A$3:$A$62)),0))</f>
        <v>65168.428330431503</v>
      </c>
      <c r="K769">
        <f t="array" ref="K769">INDEX($G$3:$G$200,MATCH(1, (YEAR(I769)=YEAR($A$3:$A$2000))*(MONTH(I769)=MONTH($A$3:$A$2000)),0))</f>
        <v>94352.874986989889</v>
      </c>
      <c r="L769">
        <f t="shared" si="23"/>
        <v>61933.080429038993</v>
      </c>
    </row>
    <row r="770" spans="4:12" x14ac:dyDescent="0.25">
      <c r="D770">
        <f t="shared" si="22"/>
        <v>0</v>
      </c>
      <c r="H770">
        <v>768</v>
      </c>
      <c r="I770" s="1">
        <v>45727</v>
      </c>
      <c r="J770">
        <f t="array" ref="J770">INDEX($D$3:$D$62,MATCH(1, (YEAR(I770)=YEAR($A$3:$A$62))*(MONTH(I770)=MONTH($A$3:$A$62)),0))</f>
        <v>65168.428330431503</v>
      </c>
      <c r="K770">
        <f t="array" ref="K770">INDEX($G$3:$G$200,MATCH(1, (YEAR(I770)=YEAR($A$3:$A$2000))*(MONTH(I770)=MONTH($A$3:$A$2000)),0))</f>
        <v>94352.874986989889</v>
      </c>
      <c r="L770">
        <f t="shared" si="23"/>
        <v>61882.110700511985</v>
      </c>
    </row>
    <row r="771" spans="4:12" x14ac:dyDescent="0.25">
      <c r="D771">
        <f t="shared" si="22"/>
        <v>0</v>
      </c>
      <c r="H771">
        <v>769</v>
      </c>
      <c r="I771" s="1">
        <v>45728</v>
      </c>
      <c r="J771">
        <f t="array" ref="J771">INDEX($D$3:$D$62,MATCH(1, (YEAR(I771)=YEAR($A$3:$A$62))*(MONTH(I771)=MONTH($A$3:$A$62)),0))</f>
        <v>65168.428330431503</v>
      </c>
      <c r="K771">
        <f t="array" ref="K771">INDEX($G$3:$G$200,MATCH(1, (YEAR(I771)=YEAR($A$3:$A$2000))*(MONTH(I771)=MONTH($A$3:$A$2000)),0))</f>
        <v>94352.874986989889</v>
      </c>
      <c r="L771">
        <f t="shared" si="23"/>
        <v>61831.222700088969</v>
      </c>
    </row>
    <row r="772" spans="4:12" x14ac:dyDescent="0.25">
      <c r="D772">
        <f t="shared" ref="D772:D835" si="24">SUM(B772:C772)</f>
        <v>0</v>
      </c>
      <c r="H772">
        <v>770</v>
      </c>
      <c r="I772" s="1">
        <v>45729</v>
      </c>
      <c r="J772">
        <f t="array" ref="J772">INDEX($D$3:$D$62,MATCH(1, (YEAR(I772)=YEAR($A$3:$A$62))*(MONTH(I772)=MONTH($A$3:$A$62)),0))</f>
        <v>65168.428330431503</v>
      </c>
      <c r="K772">
        <f t="array" ref="K772">INDEX($G$3:$G$200,MATCH(1, (YEAR(I772)=YEAR($A$3:$A$2000))*(MONTH(I772)=MONTH($A$3:$A$2000)),0))</f>
        <v>94352.874986989889</v>
      </c>
      <c r="L772">
        <f t="shared" ref="L772:L835" si="25">0.000000012*H772^4-0.000070439*H772^3+0.160688168*H772^2-194.849290676*H772+144481.718306784</f>
        <v>61780.416226464004</v>
      </c>
    </row>
    <row r="773" spans="4:12" x14ac:dyDescent="0.25">
      <c r="D773">
        <f t="shared" si="24"/>
        <v>0</v>
      </c>
      <c r="H773">
        <v>771</v>
      </c>
      <c r="I773" s="1">
        <v>45730</v>
      </c>
      <c r="J773">
        <f t="array" ref="J773">INDEX($D$3:$D$62,MATCH(1, (YEAR(I773)=YEAR($A$3:$A$62))*(MONTH(I773)=MONTH($A$3:$A$62)),0))</f>
        <v>65168.428330431503</v>
      </c>
      <c r="K773">
        <f t="array" ref="K773">INDEX($G$3:$G$200,MATCH(1, (YEAR(I773)=YEAR($A$3:$A$2000))*(MONTH(I773)=MONTH($A$3:$A$2000)),0))</f>
        <v>94352.874986989889</v>
      </c>
      <c r="L773">
        <f t="shared" si="25"/>
        <v>61729.691078618984</v>
      </c>
    </row>
    <row r="774" spans="4:12" x14ac:dyDescent="0.25">
      <c r="D774">
        <f t="shared" si="24"/>
        <v>0</v>
      </c>
      <c r="H774">
        <v>772</v>
      </c>
      <c r="I774" s="1">
        <v>45731</v>
      </c>
      <c r="J774">
        <f t="array" ref="J774">INDEX($D$3:$D$62,MATCH(1, (YEAR(I774)=YEAR($A$3:$A$62))*(MONTH(I774)=MONTH($A$3:$A$62)),0))</f>
        <v>65168.428330431503</v>
      </c>
      <c r="K774">
        <f t="array" ref="K774">INDEX($G$3:$G$200,MATCH(1, (YEAR(I774)=YEAR($A$3:$A$2000))*(MONTH(I774)=MONTH($A$3:$A$2000)),0))</f>
        <v>94352.874986989889</v>
      </c>
      <c r="L774">
        <f t="shared" si="25"/>
        <v>61679.04705582399</v>
      </c>
    </row>
    <row r="775" spans="4:12" x14ac:dyDescent="0.25">
      <c r="D775">
        <f t="shared" si="24"/>
        <v>0</v>
      </c>
      <c r="H775">
        <v>773</v>
      </c>
      <c r="I775" s="1">
        <v>45732</v>
      </c>
      <c r="J775">
        <f t="array" ref="J775">INDEX($D$3:$D$62,MATCH(1, (YEAR(I775)=YEAR($A$3:$A$62))*(MONTH(I775)=MONTH($A$3:$A$62)),0))</f>
        <v>65168.428330431503</v>
      </c>
      <c r="K775">
        <f t="array" ref="K775">INDEX($G$3:$G$200,MATCH(1, (YEAR(I775)=YEAR($A$3:$A$2000))*(MONTH(I775)=MONTH($A$3:$A$2000)),0))</f>
        <v>94352.874986989889</v>
      </c>
      <c r="L775">
        <f t="shared" si="25"/>
        <v>61628.48395763697</v>
      </c>
    </row>
    <row r="776" spans="4:12" x14ac:dyDescent="0.25">
      <c r="D776">
        <f t="shared" si="24"/>
        <v>0</v>
      </c>
      <c r="H776">
        <v>774</v>
      </c>
      <c r="I776" s="1">
        <v>45733</v>
      </c>
      <c r="J776">
        <f t="array" ref="J776">INDEX($D$3:$D$62,MATCH(1, (YEAR(I776)=YEAR($A$3:$A$62))*(MONTH(I776)=MONTH($A$3:$A$62)),0))</f>
        <v>65168.428330431503</v>
      </c>
      <c r="K776">
        <f t="array" ref="K776">INDEX($G$3:$G$200,MATCH(1, (YEAR(I776)=YEAR($A$3:$A$2000))*(MONTH(I776)=MONTH($A$3:$A$2000)),0))</f>
        <v>94352.874986989889</v>
      </c>
      <c r="L776">
        <f t="shared" si="25"/>
        <v>61578.001583903999</v>
      </c>
    </row>
    <row r="777" spans="4:12" x14ac:dyDescent="0.25">
      <c r="D777">
        <f t="shared" si="24"/>
        <v>0</v>
      </c>
      <c r="H777">
        <v>775</v>
      </c>
      <c r="I777" s="1">
        <v>45734</v>
      </c>
      <c r="J777">
        <f t="array" ref="J777">INDEX($D$3:$D$62,MATCH(1, (YEAR(I777)=YEAR($A$3:$A$62))*(MONTH(I777)=MONTH($A$3:$A$62)),0))</f>
        <v>65168.428330431503</v>
      </c>
      <c r="K777">
        <f t="array" ref="K777">INDEX($G$3:$G$200,MATCH(1, (YEAR(I777)=YEAR($A$3:$A$2000))*(MONTH(I777)=MONTH($A$3:$A$2000)),0))</f>
        <v>94352.874986989889</v>
      </c>
      <c r="L777">
        <f t="shared" si="25"/>
        <v>61527.599734758987</v>
      </c>
    </row>
    <row r="778" spans="4:12" x14ac:dyDescent="0.25">
      <c r="D778">
        <f t="shared" si="24"/>
        <v>0</v>
      </c>
      <c r="H778">
        <v>776</v>
      </c>
      <c r="I778" s="1">
        <v>45735</v>
      </c>
      <c r="J778">
        <f t="array" ref="J778">INDEX($D$3:$D$62,MATCH(1, (YEAR(I778)=YEAR($A$3:$A$62))*(MONTH(I778)=MONTH($A$3:$A$62)),0))</f>
        <v>65168.428330431503</v>
      </c>
      <c r="K778">
        <f t="array" ref="K778">INDEX($G$3:$G$200,MATCH(1, (YEAR(I778)=YEAR($A$3:$A$2000))*(MONTH(I778)=MONTH($A$3:$A$2000)),0))</f>
        <v>94352.874986989889</v>
      </c>
      <c r="L778">
        <f t="shared" si="25"/>
        <v>61477.27821062399</v>
      </c>
    </row>
    <row r="779" spans="4:12" x14ac:dyDescent="0.25">
      <c r="D779">
        <f t="shared" si="24"/>
        <v>0</v>
      </c>
      <c r="H779">
        <v>777</v>
      </c>
      <c r="I779" s="1">
        <v>45736</v>
      </c>
      <c r="J779">
        <f t="array" ref="J779">INDEX($D$3:$D$62,MATCH(1, (YEAR(I779)=YEAR($A$3:$A$62))*(MONTH(I779)=MONTH($A$3:$A$62)),0))</f>
        <v>65168.428330431503</v>
      </c>
      <c r="K779">
        <f t="array" ref="K779">INDEX($G$3:$G$200,MATCH(1, (YEAR(I779)=YEAR($A$3:$A$2000))*(MONTH(I779)=MONTH($A$3:$A$2000)),0))</f>
        <v>94352.874986989889</v>
      </c>
      <c r="L779">
        <f t="shared" si="25"/>
        <v>61427.036812208986</v>
      </c>
    </row>
    <row r="780" spans="4:12" x14ac:dyDescent="0.25">
      <c r="D780">
        <f t="shared" si="24"/>
        <v>0</v>
      </c>
      <c r="H780">
        <v>778</v>
      </c>
      <c r="I780" s="1">
        <v>45737</v>
      </c>
      <c r="J780">
        <f t="array" ref="J780">INDEX($D$3:$D$62,MATCH(1, (YEAR(I780)=YEAR($A$3:$A$62))*(MONTH(I780)=MONTH($A$3:$A$62)),0))</f>
        <v>65168.428330431503</v>
      </c>
      <c r="K780">
        <f t="array" ref="K780">INDEX($G$3:$G$200,MATCH(1, (YEAR(I780)=YEAR($A$3:$A$2000))*(MONTH(I780)=MONTH($A$3:$A$2000)),0))</f>
        <v>94352.874986989889</v>
      </c>
      <c r="L780">
        <f t="shared" si="25"/>
        <v>61376.875340511993</v>
      </c>
    </row>
    <row r="781" spans="4:12" x14ac:dyDescent="0.25">
      <c r="D781">
        <f t="shared" si="24"/>
        <v>0</v>
      </c>
      <c r="H781">
        <v>779</v>
      </c>
      <c r="I781" s="1">
        <v>45738</v>
      </c>
      <c r="J781">
        <f t="array" ref="J781">INDEX($D$3:$D$62,MATCH(1, (YEAR(I781)=YEAR($A$3:$A$62))*(MONTH(I781)=MONTH($A$3:$A$62)),0))</f>
        <v>65168.428330431503</v>
      </c>
      <c r="K781">
        <f t="array" ref="K781">INDEX($G$3:$G$200,MATCH(1, (YEAR(I781)=YEAR($A$3:$A$2000))*(MONTH(I781)=MONTH($A$3:$A$2000)),0))</f>
        <v>94352.874986989889</v>
      </c>
      <c r="L781">
        <f t="shared" si="25"/>
        <v>61326.793596818985</v>
      </c>
    </row>
    <row r="782" spans="4:12" x14ac:dyDescent="0.25">
      <c r="D782">
        <f t="shared" si="24"/>
        <v>0</v>
      </c>
      <c r="H782">
        <v>780</v>
      </c>
      <c r="I782" s="1">
        <v>45739</v>
      </c>
      <c r="J782">
        <f t="array" ref="J782">INDEX($D$3:$D$62,MATCH(1, (YEAR(I782)=YEAR($A$3:$A$62))*(MONTH(I782)=MONTH($A$3:$A$62)),0))</f>
        <v>65168.428330431503</v>
      </c>
      <c r="K782">
        <f t="array" ref="K782">INDEX($G$3:$G$200,MATCH(1, (YEAR(I782)=YEAR($A$3:$A$2000))*(MONTH(I782)=MONTH($A$3:$A$2000)),0))</f>
        <v>94352.874986989889</v>
      </c>
      <c r="L782">
        <f t="shared" si="25"/>
        <v>61276.791382703988</v>
      </c>
    </row>
    <row r="783" spans="4:12" x14ac:dyDescent="0.25">
      <c r="D783">
        <f t="shared" si="24"/>
        <v>0</v>
      </c>
      <c r="H783">
        <v>781</v>
      </c>
      <c r="I783" s="1">
        <v>45740</v>
      </c>
      <c r="J783">
        <f t="array" ref="J783">INDEX($D$3:$D$62,MATCH(1, (YEAR(I783)=YEAR($A$3:$A$62))*(MONTH(I783)=MONTH($A$3:$A$62)),0))</f>
        <v>65168.428330431503</v>
      </c>
      <c r="K783">
        <f t="array" ref="K783">INDEX($G$3:$G$200,MATCH(1, (YEAR(I783)=YEAR($A$3:$A$2000))*(MONTH(I783)=MONTH($A$3:$A$2000)),0))</f>
        <v>94352.874986989889</v>
      </c>
      <c r="L783">
        <f t="shared" si="25"/>
        <v>61226.868500028984</v>
      </c>
    </row>
    <row r="784" spans="4:12" x14ac:dyDescent="0.25">
      <c r="D784">
        <f t="shared" si="24"/>
        <v>0</v>
      </c>
      <c r="H784">
        <v>782</v>
      </c>
      <c r="I784" s="1">
        <v>45741</v>
      </c>
      <c r="J784">
        <f t="array" ref="J784">INDEX($D$3:$D$62,MATCH(1, (YEAR(I784)=YEAR($A$3:$A$62))*(MONTH(I784)=MONTH($A$3:$A$62)),0))</f>
        <v>65168.428330431503</v>
      </c>
      <c r="K784">
        <f t="array" ref="K784">INDEX($G$3:$G$200,MATCH(1, (YEAR(I784)=YEAR($A$3:$A$2000))*(MONTH(I784)=MONTH($A$3:$A$2000)),0))</f>
        <v>94352.874986989889</v>
      </c>
      <c r="L784">
        <f t="shared" si="25"/>
        <v>61177.024750943994</v>
      </c>
    </row>
    <row r="785" spans="4:12" x14ac:dyDescent="0.25">
      <c r="D785">
        <f t="shared" si="24"/>
        <v>0</v>
      </c>
      <c r="H785">
        <v>783</v>
      </c>
      <c r="I785" s="1">
        <v>45742</v>
      </c>
      <c r="J785">
        <f t="array" ref="J785">INDEX($D$3:$D$62,MATCH(1, (YEAR(I785)=YEAR($A$3:$A$62))*(MONTH(I785)=MONTH($A$3:$A$62)),0))</f>
        <v>65168.428330431503</v>
      </c>
      <c r="K785">
        <f t="array" ref="K785">INDEX($G$3:$G$200,MATCH(1, (YEAR(I785)=YEAR($A$3:$A$2000))*(MONTH(I785)=MONTH($A$3:$A$2000)),0))</f>
        <v>94352.874986989889</v>
      </c>
      <c r="L785">
        <f t="shared" si="25"/>
        <v>61127.259937886993</v>
      </c>
    </row>
    <row r="786" spans="4:12" x14ac:dyDescent="0.25">
      <c r="D786">
        <f t="shared" si="24"/>
        <v>0</v>
      </c>
      <c r="H786">
        <v>784</v>
      </c>
      <c r="I786" s="1">
        <v>45743</v>
      </c>
      <c r="J786">
        <f t="array" ref="J786">INDEX($D$3:$D$62,MATCH(1, (YEAR(I786)=YEAR($A$3:$A$62))*(MONTH(I786)=MONTH($A$3:$A$62)),0))</f>
        <v>65168.428330431503</v>
      </c>
      <c r="K786">
        <f t="array" ref="K786">INDEX($G$3:$G$200,MATCH(1, (YEAR(I786)=YEAR($A$3:$A$2000))*(MONTH(I786)=MONTH($A$3:$A$2000)),0))</f>
        <v>94352.874986989889</v>
      </c>
      <c r="L786">
        <f t="shared" si="25"/>
        <v>61077.573863583981</v>
      </c>
    </row>
    <row r="787" spans="4:12" x14ac:dyDescent="0.25">
      <c r="D787">
        <f t="shared" si="24"/>
        <v>0</v>
      </c>
      <c r="H787">
        <v>785</v>
      </c>
      <c r="I787" s="1">
        <v>45744</v>
      </c>
      <c r="J787">
        <f t="array" ref="J787">INDEX($D$3:$D$62,MATCH(1, (YEAR(I787)=YEAR($A$3:$A$62))*(MONTH(I787)=MONTH($A$3:$A$62)),0))</f>
        <v>65168.428330431503</v>
      </c>
      <c r="K787">
        <f t="array" ref="K787">INDEX($G$3:$G$200,MATCH(1, (YEAR(I787)=YEAR($A$3:$A$2000))*(MONTH(I787)=MONTH($A$3:$A$2000)),0))</f>
        <v>94352.874986989889</v>
      </c>
      <c r="L787">
        <f t="shared" si="25"/>
        <v>61027.966331048985</v>
      </c>
    </row>
    <row r="788" spans="4:12" x14ac:dyDescent="0.25">
      <c r="D788">
        <f t="shared" si="24"/>
        <v>0</v>
      </c>
      <c r="H788">
        <v>786</v>
      </c>
      <c r="I788" s="1">
        <v>45745</v>
      </c>
      <c r="J788">
        <f t="array" ref="J788">INDEX($D$3:$D$62,MATCH(1, (YEAR(I788)=YEAR($A$3:$A$62))*(MONTH(I788)=MONTH($A$3:$A$62)),0))</f>
        <v>65168.428330431503</v>
      </c>
      <c r="K788">
        <f t="array" ref="K788">INDEX($G$3:$G$200,MATCH(1, (YEAR(I788)=YEAR($A$3:$A$2000))*(MONTH(I788)=MONTH($A$3:$A$2000)),0))</f>
        <v>94352.874986989889</v>
      </c>
      <c r="L788">
        <f t="shared" si="25"/>
        <v>60978.437143584</v>
      </c>
    </row>
    <row r="789" spans="4:12" x14ac:dyDescent="0.25">
      <c r="D789">
        <f t="shared" si="24"/>
        <v>0</v>
      </c>
      <c r="H789">
        <v>787</v>
      </c>
      <c r="I789" s="1">
        <v>45746</v>
      </c>
      <c r="J789">
        <f t="array" ref="J789">INDEX($D$3:$D$62,MATCH(1, (YEAR(I789)=YEAR($A$3:$A$62))*(MONTH(I789)=MONTH($A$3:$A$62)),0))</f>
        <v>65168.428330431503</v>
      </c>
      <c r="K789">
        <f t="array" ref="K789">INDEX($G$3:$G$200,MATCH(1, (YEAR(I789)=YEAR($A$3:$A$2000))*(MONTH(I789)=MONTH($A$3:$A$2000)),0))</f>
        <v>94352.874986989889</v>
      </c>
      <c r="L789">
        <f t="shared" si="25"/>
        <v>60928.986104778975</v>
      </c>
    </row>
    <row r="790" spans="4:12" x14ac:dyDescent="0.25">
      <c r="D790">
        <f t="shared" si="24"/>
        <v>0</v>
      </c>
      <c r="H790">
        <v>788</v>
      </c>
      <c r="I790" s="1">
        <v>45747</v>
      </c>
      <c r="J790">
        <f t="array" ref="J790">INDEX($D$3:$D$62,MATCH(1, (YEAR(I790)=YEAR($A$3:$A$62))*(MONTH(I790)=MONTH($A$3:$A$62)),0))</f>
        <v>65168.428330431503</v>
      </c>
      <c r="K790">
        <f t="array" ref="K790">INDEX($G$3:$G$200,MATCH(1, (YEAR(I790)=YEAR($A$3:$A$2000))*(MONTH(I790)=MONTH($A$3:$A$2000)),0))</f>
        <v>94352.874986989889</v>
      </c>
      <c r="L790">
        <f t="shared" si="25"/>
        <v>60879.613018511984</v>
      </c>
    </row>
    <row r="791" spans="4:12" x14ac:dyDescent="0.25">
      <c r="D791">
        <f t="shared" si="24"/>
        <v>0</v>
      </c>
      <c r="H791">
        <v>789</v>
      </c>
      <c r="I791" s="1">
        <v>45748</v>
      </c>
      <c r="J791">
        <f t="array" ref="J791">INDEX($D$3:$D$62,MATCH(1, (YEAR(I791)=YEAR($A$3:$A$62))*(MONTH(I791)=MONTH($A$3:$A$62)),0))</f>
        <v>63041.857606586644</v>
      </c>
      <c r="K791">
        <f t="array" ref="K791">INDEX($G$3:$G$200,MATCH(1, (YEAR(I791)=YEAR($A$3:$A$2000))*(MONTH(I791)=MONTH($A$3:$A$2000)),0))</f>
        <v>91556.047493382444</v>
      </c>
      <c r="L791">
        <f t="shared" si="25"/>
        <v>60830.31768894897</v>
      </c>
    </row>
    <row r="792" spans="4:12" x14ac:dyDescent="0.25">
      <c r="D792">
        <f t="shared" si="24"/>
        <v>0</v>
      </c>
      <c r="H792">
        <v>790</v>
      </c>
      <c r="I792" s="1">
        <v>45749</v>
      </c>
      <c r="J792">
        <f t="array" ref="J792">INDEX($D$3:$D$62,MATCH(1, (YEAR(I792)=YEAR($A$3:$A$62))*(MONTH(I792)=MONTH($A$3:$A$62)),0))</f>
        <v>63041.857606586644</v>
      </c>
      <c r="K792">
        <f t="array" ref="K792">INDEX($G$3:$G$200,MATCH(1, (YEAR(I792)=YEAR($A$3:$A$2000))*(MONTH(I792)=MONTH($A$3:$A$2000)),0))</f>
        <v>91556.047493382444</v>
      </c>
      <c r="L792">
        <f t="shared" si="25"/>
        <v>60781.099920543988</v>
      </c>
    </row>
    <row r="793" spans="4:12" x14ac:dyDescent="0.25">
      <c r="D793">
        <f t="shared" si="24"/>
        <v>0</v>
      </c>
      <c r="H793">
        <v>791</v>
      </c>
      <c r="I793" s="1">
        <v>45750</v>
      </c>
      <c r="J793">
        <f t="array" ref="J793">INDEX($D$3:$D$62,MATCH(1, (YEAR(I793)=YEAR($A$3:$A$62))*(MONTH(I793)=MONTH($A$3:$A$62)),0))</f>
        <v>63041.857606586644</v>
      </c>
      <c r="K793">
        <f t="array" ref="K793">INDEX($G$3:$G$200,MATCH(1, (YEAR(I793)=YEAR($A$3:$A$2000))*(MONTH(I793)=MONTH($A$3:$A$2000)),0))</f>
        <v>91556.047493382444</v>
      </c>
      <c r="L793">
        <f t="shared" si="25"/>
        <v>60731.959518038988</v>
      </c>
    </row>
    <row r="794" spans="4:12" x14ac:dyDescent="0.25">
      <c r="D794">
        <f t="shared" si="24"/>
        <v>0</v>
      </c>
      <c r="H794">
        <v>792</v>
      </c>
      <c r="I794" s="1">
        <v>45751</v>
      </c>
      <c r="J794">
        <f t="array" ref="J794">INDEX($D$3:$D$62,MATCH(1, (YEAR(I794)=YEAR($A$3:$A$62))*(MONTH(I794)=MONTH($A$3:$A$62)),0))</f>
        <v>63041.857606586644</v>
      </c>
      <c r="K794">
        <f t="array" ref="K794">INDEX($G$3:$G$200,MATCH(1, (YEAR(I794)=YEAR($A$3:$A$2000))*(MONTH(I794)=MONTH($A$3:$A$2000)),0))</f>
        <v>91556.047493382444</v>
      </c>
      <c r="L794">
        <f t="shared" si="25"/>
        <v>60682.896286463976</v>
      </c>
    </row>
    <row r="795" spans="4:12" x14ac:dyDescent="0.25">
      <c r="D795">
        <f t="shared" si="24"/>
        <v>0</v>
      </c>
      <c r="H795">
        <v>793</v>
      </c>
      <c r="I795" s="1">
        <v>45752</v>
      </c>
      <c r="J795">
        <f t="array" ref="J795">INDEX($D$3:$D$62,MATCH(1, (YEAR(I795)=YEAR($A$3:$A$62))*(MONTH(I795)=MONTH($A$3:$A$62)),0))</f>
        <v>63041.857606586644</v>
      </c>
      <c r="K795">
        <f t="array" ref="K795">INDEX($G$3:$G$200,MATCH(1, (YEAR(I795)=YEAR($A$3:$A$2000))*(MONTH(I795)=MONTH($A$3:$A$2000)),0))</f>
        <v>91556.047493382444</v>
      </c>
      <c r="L795">
        <f t="shared" si="25"/>
        <v>60633.910031136969</v>
      </c>
    </row>
    <row r="796" spans="4:12" x14ac:dyDescent="0.25">
      <c r="D796">
        <f t="shared" si="24"/>
        <v>0</v>
      </c>
      <c r="H796">
        <v>794</v>
      </c>
      <c r="I796" s="1">
        <v>45753</v>
      </c>
      <c r="J796">
        <f t="array" ref="J796">INDEX($D$3:$D$62,MATCH(1, (YEAR(I796)=YEAR($A$3:$A$62))*(MONTH(I796)=MONTH($A$3:$A$62)),0))</f>
        <v>63041.857606586644</v>
      </c>
      <c r="K796">
        <f t="array" ref="K796">INDEX($G$3:$G$200,MATCH(1, (YEAR(I796)=YEAR($A$3:$A$2000))*(MONTH(I796)=MONTH($A$3:$A$2000)),0))</f>
        <v>91556.047493382444</v>
      </c>
      <c r="L796">
        <f t="shared" si="25"/>
        <v>60585.000557663996</v>
      </c>
    </row>
    <row r="797" spans="4:12" x14ac:dyDescent="0.25">
      <c r="D797">
        <f t="shared" si="24"/>
        <v>0</v>
      </c>
      <c r="H797">
        <v>795</v>
      </c>
      <c r="I797" s="1">
        <v>45754</v>
      </c>
      <c r="J797">
        <f t="array" ref="J797">INDEX($D$3:$D$62,MATCH(1, (YEAR(I797)=YEAR($A$3:$A$62))*(MONTH(I797)=MONTH($A$3:$A$62)),0))</f>
        <v>63041.857606586644</v>
      </c>
      <c r="K797">
        <f t="array" ref="K797">INDEX($G$3:$G$200,MATCH(1, (YEAR(I797)=YEAR($A$3:$A$2000))*(MONTH(I797)=MONTH($A$3:$A$2000)),0))</f>
        <v>91556.047493382444</v>
      </c>
      <c r="L797">
        <f t="shared" si="25"/>
        <v>60536.16767193898</v>
      </c>
    </row>
    <row r="798" spans="4:12" x14ac:dyDescent="0.25">
      <c r="D798">
        <f t="shared" si="24"/>
        <v>0</v>
      </c>
      <c r="H798">
        <v>796</v>
      </c>
      <c r="I798" s="1">
        <v>45755</v>
      </c>
      <c r="J798">
        <f t="array" ref="J798">INDEX($D$3:$D$62,MATCH(1, (YEAR(I798)=YEAR($A$3:$A$62))*(MONTH(I798)=MONTH($A$3:$A$62)),0))</f>
        <v>63041.857606586644</v>
      </c>
      <c r="K798">
        <f t="array" ref="K798">INDEX($G$3:$G$200,MATCH(1, (YEAR(I798)=YEAR($A$3:$A$2000))*(MONTH(I798)=MONTH($A$3:$A$2000)),0))</f>
        <v>91556.047493382444</v>
      </c>
      <c r="L798">
        <f t="shared" si="25"/>
        <v>60487.411180143987</v>
      </c>
    </row>
    <row r="799" spans="4:12" x14ac:dyDescent="0.25">
      <c r="D799">
        <f t="shared" si="24"/>
        <v>0</v>
      </c>
      <c r="H799">
        <v>797</v>
      </c>
      <c r="I799" s="1">
        <v>45756</v>
      </c>
      <c r="J799">
        <f t="array" ref="J799">INDEX($D$3:$D$62,MATCH(1, (YEAR(I799)=YEAR($A$3:$A$62))*(MONTH(I799)=MONTH($A$3:$A$62)),0))</f>
        <v>63041.857606586644</v>
      </c>
      <c r="K799">
        <f t="array" ref="K799">INDEX($G$3:$G$200,MATCH(1, (YEAR(I799)=YEAR($A$3:$A$2000))*(MONTH(I799)=MONTH($A$3:$A$2000)),0))</f>
        <v>91556.047493382444</v>
      </c>
      <c r="L799">
        <f t="shared" si="25"/>
        <v>60438.730888748963</v>
      </c>
    </row>
    <row r="800" spans="4:12" x14ac:dyDescent="0.25">
      <c r="D800">
        <f t="shared" si="24"/>
        <v>0</v>
      </c>
      <c r="H800">
        <v>798</v>
      </c>
      <c r="I800" s="1">
        <v>45757</v>
      </c>
      <c r="J800">
        <f t="array" ref="J800">INDEX($D$3:$D$62,MATCH(1, (YEAR(I800)=YEAR($A$3:$A$62))*(MONTH(I800)=MONTH($A$3:$A$62)),0))</f>
        <v>63041.857606586644</v>
      </c>
      <c r="K800">
        <f t="array" ref="K800">INDEX($G$3:$G$200,MATCH(1, (YEAR(I800)=YEAR($A$3:$A$2000))*(MONTH(I800)=MONTH($A$3:$A$2000)),0))</f>
        <v>91556.047493382444</v>
      </c>
      <c r="L800">
        <f t="shared" si="25"/>
        <v>60390.126604511999</v>
      </c>
    </row>
    <row r="801" spans="4:12" x14ac:dyDescent="0.25">
      <c r="D801">
        <f t="shared" si="24"/>
        <v>0</v>
      </c>
      <c r="H801">
        <v>799</v>
      </c>
      <c r="I801" s="1">
        <v>45758</v>
      </c>
      <c r="J801">
        <f t="array" ref="J801">INDEX($D$3:$D$62,MATCH(1, (YEAR(I801)=YEAR($A$3:$A$62))*(MONTH(I801)=MONTH($A$3:$A$62)),0))</f>
        <v>63041.857606586644</v>
      </c>
      <c r="K801">
        <f t="array" ref="K801">INDEX($G$3:$G$200,MATCH(1, (YEAR(I801)=YEAR($A$3:$A$2000))*(MONTH(I801)=MONTH($A$3:$A$2000)),0))</f>
        <v>91556.047493382444</v>
      </c>
      <c r="L801">
        <f t="shared" si="25"/>
        <v>60341.598134478991</v>
      </c>
    </row>
    <row r="802" spans="4:12" x14ac:dyDescent="0.25">
      <c r="D802">
        <f t="shared" si="24"/>
        <v>0</v>
      </c>
      <c r="H802">
        <v>800</v>
      </c>
      <c r="I802" s="1">
        <v>45759</v>
      </c>
      <c r="J802">
        <f t="array" ref="J802">INDEX($D$3:$D$62,MATCH(1, (YEAR(I802)=YEAR($A$3:$A$62))*(MONTH(I802)=MONTH($A$3:$A$62)),0))</f>
        <v>63041.857606586644</v>
      </c>
      <c r="K802">
        <f t="array" ref="K802">INDEX($G$3:$G$200,MATCH(1, (YEAR(I802)=YEAR($A$3:$A$2000))*(MONTH(I802)=MONTH($A$3:$A$2000)),0))</f>
        <v>91556.047493382444</v>
      </c>
      <c r="L802">
        <f t="shared" si="25"/>
        <v>60293.145285983977</v>
      </c>
    </row>
    <row r="803" spans="4:12" x14ac:dyDescent="0.25">
      <c r="D803">
        <f t="shared" si="24"/>
        <v>0</v>
      </c>
      <c r="H803">
        <v>801</v>
      </c>
      <c r="I803" s="1">
        <v>45760</v>
      </c>
      <c r="J803">
        <f t="array" ref="J803">INDEX($D$3:$D$62,MATCH(1, (YEAR(I803)=YEAR($A$3:$A$62))*(MONTH(I803)=MONTH($A$3:$A$62)),0))</f>
        <v>63041.857606586644</v>
      </c>
      <c r="K803">
        <f t="array" ref="K803">INDEX($G$3:$G$200,MATCH(1, (YEAR(I803)=YEAR($A$3:$A$2000))*(MONTH(I803)=MONTH($A$3:$A$2000)),0))</f>
        <v>91556.047493382444</v>
      </c>
      <c r="L803">
        <f t="shared" si="25"/>
        <v>60244.76786664901</v>
      </c>
    </row>
    <row r="804" spans="4:12" x14ac:dyDescent="0.25">
      <c r="D804">
        <f t="shared" si="24"/>
        <v>0</v>
      </c>
      <c r="H804">
        <v>802</v>
      </c>
      <c r="I804" s="1">
        <v>45761</v>
      </c>
      <c r="J804">
        <f t="array" ref="J804">INDEX($D$3:$D$62,MATCH(1, (YEAR(I804)=YEAR($A$3:$A$62))*(MONTH(I804)=MONTH($A$3:$A$62)),0))</f>
        <v>63041.857606586644</v>
      </c>
      <c r="K804">
        <f t="array" ref="K804">INDEX($G$3:$G$200,MATCH(1, (YEAR(I804)=YEAR($A$3:$A$2000))*(MONTH(I804)=MONTH($A$3:$A$2000)),0))</f>
        <v>91556.047493382444</v>
      </c>
      <c r="L804">
        <f t="shared" si="25"/>
        <v>60196.465684383991</v>
      </c>
    </row>
    <row r="805" spans="4:12" x14ac:dyDescent="0.25">
      <c r="D805">
        <f t="shared" si="24"/>
        <v>0</v>
      </c>
      <c r="H805">
        <v>803</v>
      </c>
      <c r="I805" s="1">
        <v>45762</v>
      </c>
      <c r="J805">
        <f t="array" ref="J805">INDEX($D$3:$D$62,MATCH(1, (YEAR(I805)=YEAR($A$3:$A$62))*(MONTH(I805)=MONTH($A$3:$A$62)),0))</f>
        <v>63041.857606586644</v>
      </c>
      <c r="K805">
        <f t="array" ref="K805">INDEX($G$3:$G$200,MATCH(1, (YEAR(I805)=YEAR($A$3:$A$2000))*(MONTH(I805)=MONTH($A$3:$A$2000)),0))</f>
        <v>91556.047493382444</v>
      </c>
      <c r="L805">
        <f t="shared" si="25"/>
        <v>60148.23854738698</v>
      </c>
    </row>
    <row r="806" spans="4:12" x14ac:dyDescent="0.25">
      <c r="D806">
        <f t="shared" si="24"/>
        <v>0</v>
      </c>
      <c r="H806">
        <v>804</v>
      </c>
      <c r="I806" s="1">
        <v>45763</v>
      </c>
      <c r="J806">
        <f t="array" ref="J806">INDEX($D$3:$D$62,MATCH(1, (YEAR(I806)=YEAR($A$3:$A$62))*(MONTH(I806)=MONTH($A$3:$A$62)),0))</f>
        <v>63041.857606586644</v>
      </c>
      <c r="K806">
        <f t="array" ref="K806">INDEX($G$3:$G$200,MATCH(1, (YEAR(I806)=YEAR($A$3:$A$2000))*(MONTH(I806)=MONTH($A$3:$A$2000)),0))</f>
        <v>91556.047493382444</v>
      </c>
      <c r="L806">
        <f t="shared" si="25"/>
        <v>60100.086264143974</v>
      </c>
    </row>
    <row r="807" spans="4:12" x14ac:dyDescent="0.25">
      <c r="D807">
        <f t="shared" si="24"/>
        <v>0</v>
      </c>
      <c r="H807">
        <v>805</v>
      </c>
      <c r="I807" s="1">
        <v>45764</v>
      </c>
      <c r="J807">
        <f t="array" ref="J807">INDEX($D$3:$D$62,MATCH(1, (YEAR(I807)=YEAR($A$3:$A$62))*(MONTH(I807)=MONTH($A$3:$A$62)),0))</f>
        <v>63041.857606586644</v>
      </c>
      <c r="K807">
        <f t="array" ref="K807">INDEX($G$3:$G$200,MATCH(1, (YEAR(I807)=YEAR($A$3:$A$2000))*(MONTH(I807)=MONTH($A$3:$A$2000)),0))</f>
        <v>91556.047493382444</v>
      </c>
      <c r="L807">
        <f t="shared" si="25"/>
        <v>60052.008643428999</v>
      </c>
    </row>
    <row r="808" spans="4:12" x14ac:dyDescent="0.25">
      <c r="D808">
        <f t="shared" si="24"/>
        <v>0</v>
      </c>
      <c r="H808">
        <v>806</v>
      </c>
      <c r="I808" s="1">
        <v>45765</v>
      </c>
      <c r="J808">
        <f t="array" ref="J808">INDEX($D$3:$D$62,MATCH(1, (YEAR(I808)=YEAR($A$3:$A$62))*(MONTH(I808)=MONTH($A$3:$A$62)),0))</f>
        <v>63041.857606586644</v>
      </c>
      <c r="K808">
        <f t="array" ref="K808">INDEX($G$3:$G$200,MATCH(1, (YEAR(I808)=YEAR($A$3:$A$2000))*(MONTH(I808)=MONTH($A$3:$A$2000)),0))</f>
        <v>91556.047493382444</v>
      </c>
      <c r="L808">
        <f t="shared" si="25"/>
        <v>60004.005494303987</v>
      </c>
    </row>
    <row r="809" spans="4:12" x14ac:dyDescent="0.25">
      <c r="D809">
        <f t="shared" si="24"/>
        <v>0</v>
      </c>
      <c r="H809">
        <v>807</v>
      </c>
      <c r="I809" s="1">
        <v>45766</v>
      </c>
      <c r="J809">
        <f t="array" ref="J809">INDEX($D$3:$D$62,MATCH(1, (YEAR(I809)=YEAR($A$3:$A$62))*(MONTH(I809)=MONTH($A$3:$A$62)),0))</f>
        <v>63041.857606586644</v>
      </c>
      <c r="K809">
        <f t="array" ref="K809">INDEX($G$3:$G$200,MATCH(1, (YEAR(I809)=YEAR($A$3:$A$2000))*(MONTH(I809)=MONTH($A$3:$A$2000)),0))</f>
        <v>91556.047493382444</v>
      </c>
      <c r="L809">
        <f t="shared" si="25"/>
        <v>59956.076626118986</v>
      </c>
    </row>
    <row r="810" spans="4:12" x14ac:dyDescent="0.25">
      <c r="D810">
        <f t="shared" si="24"/>
        <v>0</v>
      </c>
      <c r="H810">
        <v>808</v>
      </c>
      <c r="I810" s="1">
        <v>45767</v>
      </c>
      <c r="J810">
        <f t="array" ref="J810">INDEX($D$3:$D$62,MATCH(1, (YEAR(I810)=YEAR($A$3:$A$62))*(MONTH(I810)=MONTH($A$3:$A$62)),0))</f>
        <v>63041.857606586644</v>
      </c>
      <c r="K810">
        <f t="array" ref="K810">INDEX($G$3:$G$200,MATCH(1, (YEAR(I810)=YEAR($A$3:$A$2000))*(MONTH(I810)=MONTH($A$3:$A$2000)),0))</f>
        <v>91556.047493382444</v>
      </c>
      <c r="L810">
        <f t="shared" si="25"/>
        <v>59908.221848511981</v>
      </c>
    </row>
    <row r="811" spans="4:12" x14ac:dyDescent="0.25">
      <c r="D811">
        <f t="shared" si="24"/>
        <v>0</v>
      </c>
      <c r="H811">
        <v>809</v>
      </c>
      <c r="I811" s="1">
        <v>45768</v>
      </c>
      <c r="J811">
        <f t="array" ref="J811">INDEX($D$3:$D$62,MATCH(1, (YEAR(I811)=YEAR($A$3:$A$62))*(MONTH(I811)=MONTH($A$3:$A$62)),0))</f>
        <v>63041.857606586644</v>
      </c>
      <c r="K811">
        <f t="array" ref="K811">INDEX($G$3:$G$200,MATCH(1, (YEAR(I811)=YEAR($A$3:$A$2000))*(MONTH(I811)=MONTH($A$3:$A$2000)),0))</f>
        <v>91556.047493382444</v>
      </c>
      <c r="L811">
        <f t="shared" si="25"/>
        <v>59860.440971409</v>
      </c>
    </row>
    <row r="812" spans="4:12" x14ac:dyDescent="0.25">
      <c r="D812">
        <f t="shared" si="24"/>
        <v>0</v>
      </c>
      <c r="H812">
        <v>810</v>
      </c>
      <c r="I812" s="1">
        <v>45769</v>
      </c>
      <c r="J812">
        <f t="array" ref="J812">INDEX($D$3:$D$62,MATCH(1, (YEAR(I812)=YEAR($A$3:$A$62))*(MONTH(I812)=MONTH($A$3:$A$62)),0))</f>
        <v>63041.857606586644</v>
      </c>
      <c r="K812">
        <f t="array" ref="K812">INDEX($G$3:$G$200,MATCH(1, (YEAR(I812)=YEAR($A$3:$A$2000))*(MONTH(I812)=MONTH($A$3:$A$2000)),0))</f>
        <v>91556.047493382444</v>
      </c>
      <c r="L812">
        <f t="shared" si="25"/>
        <v>59812.733805023992</v>
      </c>
    </row>
    <row r="813" spans="4:12" x14ac:dyDescent="0.25">
      <c r="D813">
        <f t="shared" si="24"/>
        <v>0</v>
      </c>
      <c r="H813">
        <v>811</v>
      </c>
      <c r="I813" s="1">
        <v>45770</v>
      </c>
      <c r="J813">
        <f t="array" ref="J813">INDEX($D$3:$D$62,MATCH(1, (YEAR(I813)=YEAR($A$3:$A$62))*(MONTH(I813)=MONTH($A$3:$A$62)),0))</f>
        <v>63041.857606586644</v>
      </c>
      <c r="K813">
        <f t="array" ref="K813">INDEX($G$3:$G$200,MATCH(1, (YEAR(I813)=YEAR($A$3:$A$2000))*(MONTH(I813)=MONTH($A$3:$A$2000)),0))</f>
        <v>91556.047493382444</v>
      </c>
      <c r="L813">
        <f t="shared" si="25"/>
        <v>59765.100159858979</v>
      </c>
    </row>
    <row r="814" spans="4:12" x14ac:dyDescent="0.25">
      <c r="D814">
        <f t="shared" si="24"/>
        <v>0</v>
      </c>
      <c r="H814">
        <v>812</v>
      </c>
      <c r="I814" s="1">
        <v>45771</v>
      </c>
      <c r="J814">
        <f t="array" ref="J814">INDEX($D$3:$D$62,MATCH(1, (YEAR(I814)=YEAR($A$3:$A$62))*(MONTH(I814)=MONTH($A$3:$A$62)),0))</f>
        <v>63041.857606586644</v>
      </c>
      <c r="K814">
        <f t="array" ref="K814">INDEX($G$3:$G$200,MATCH(1, (YEAR(I814)=YEAR($A$3:$A$2000))*(MONTH(I814)=MONTH($A$3:$A$2000)),0))</f>
        <v>91556.047493382444</v>
      </c>
      <c r="L814">
        <f t="shared" si="25"/>
        <v>59717.539846703978</v>
      </c>
    </row>
    <row r="815" spans="4:12" x14ac:dyDescent="0.25">
      <c r="D815">
        <f t="shared" si="24"/>
        <v>0</v>
      </c>
      <c r="H815">
        <v>813</v>
      </c>
      <c r="I815" s="1">
        <v>45772</v>
      </c>
      <c r="J815">
        <f t="array" ref="J815">INDEX($D$3:$D$62,MATCH(1, (YEAR(I815)=YEAR($A$3:$A$62))*(MONTH(I815)=MONTH($A$3:$A$62)),0))</f>
        <v>63041.857606586644</v>
      </c>
      <c r="K815">
        <f t="array" ref="K815">INDEX($G$3:$G$200,MATCH(1, (YEAR(I815)=YEAR($A$3:$A$2000))*(MONTH(I815)=MONTH($A$3:$A$2000)),0))</f>
        <v>91556.047493382444</v>
      </c>
      <c r="L815">
        <f t="shared" si="25"/>
        <v>59670.052676636988</v>
      </c>
    </row>
    <row r="816" spans="4:12" x14ac:dyDescent="0.25">
      <c r="D816">
        <f t="shared" si="24"/>
        <v>0</v>
      </c>
      <c r="H816">
        <v>814</v>
      </c>
      <c r="I816" s="1">
        <v>45773</v>
      </c>
      <c r="J816">
        <f t="array" ref="J816">INDEX($D$3:$D$62,MATCH(1, (YEAR(I816)=YEAR($A$3:$A$62))*(MONTH(I816)=MONTH($A$3:$A$62)),0))</f>
        <v>63041.857606586644</v>
      </c>
      <c r="K816">
        <f t="array" ref="K816">INDEX($G$3:$G$200,MATCH(1, (YEAR(I816)=YEAR($A$3:$A$2000))*(MONTH(I816)=MONTH($A$3:$A$2000)),0))</f>
        <v>91556.047493382444</v>
      </c>
      <c r="L816">
        <f t="shared" si="25"/>
        <v>59622.638461023991</v>
      </c>
    </row>
    <row r="817" spans="4:12" x14ac:dyDescent="0.25">
      <c r="D817">
        <f t="shared" si="24"/>
        <v>0</v>
      </c>
      <c r="H817">
        <v>815</v>
      </c>
      <c r="I817" s="1">
        <v>45774</v>
      </c>
      <c r="J817">
        <f t="array" ref="J817">INDEX($D$3:$D$62,MATCH(1, (YEAR(I817)=YEAR($A$3:$A$62))*(MONTH(I817)=MONTH($A$3:$A$62)),0))</f>
        <v>63041.857606586644</v>
      </c>
      <c r="K817">
        <f t="array" ref="K817">INDEX($G$3:$G$200,MATCH(1, (YEAR(I817)=YEAR($A$3:$A$2000))*(MONTH(I817)=MONTH($A$3:$A$2000)),0))</f>
        <v>91556.047493382444</v>
      </c>
      <c r="L817">
        <f t="shared" si="25"/>
        <v>59575.297011518982</v>
      </c>
    </row>
    <row r="818" spans="4:12" x14ac:dyDescent="0.25">
      <c r="D818">
        <f t="shared" si="24"/>
        <v>0</v>
      </c>
      <c r="H818">
        <v>816</v>
      </c>
      <c r="I818" s="1">
        <v>45775</v>
      </c>
      <c r="J818">
        <f t="array" ref="J818">INDEX($D$3:$D$62,MATCH(1, (YEAR(I818)=YEAR($A$3:$A$62))*(MONTH(I818)=MONTH($A$3:$A$62)),0))</f>
        <v>63041.857606586644</v>
      </c>
      <c r="K818">
        <f t="array" ref="K818">INDEX($G$3:$G$200,MATCH(1, (YEAR(I818)=YEAR($A$3:$A$2000))*(MONTH(I818)=MONTH($A$3:$A$2000)),0))</f>
        <v>91556.047493382444</v>
      </c>
      <c r="L818">
        <f t="shared" si="25"/>
        <v>59528.02814006398</v>
      </c>
    </row>
    <row r="819" spans="4:12" x14ac:dyDescent="0.25">
      <c r="D819">
        <f t="shared" si="24"/>
        <v>0</v>
      </c>
      <c r="H819">
        <v>817</v>
      </c>
      <c r="I819" s="1">
        <v>45776</v>
      </c>
      <c r="J819">
        <f t="array" ref="J819">INDEX($D$3:$D$62,MATCH(1, (YEAR(I819)=YEAR($A$3:$A$62))*(MONTH(I819)=MONTH($A$3:$A$62)),0))</f>
        <v>63041.857606586644</v>
      </c>
      <c r="K819">
        <f t="array" ref="K819">INDEX($G$3:$G$200,MATCH(1, (YEAR(I819)=YEAR($A$3:$A$2000))*(MONTH(I819)=MONTH($A$3:$A$2000)),0))</f>
        <v>91556.047493382444</v>
      </c>
      <c r="L819">
        <f t="shared" si="25"/>
        <v>59480.831658889001</v>
      </c>
    </row>
    <row r="820" spans="4:12" x14ac:dyDescent="0.25">
      <c r="D820">
        <f t="shared" si="24"/>
        <v>0</v>
      </c>
      <c r="H820">
        <v>818</v>
      </c>
      <c r="I820" s="1">
        <v>45777</v>
      </c>
      <c r="J820">
        <f t="array" ref="J820">INDEX($D$3:$D$62,MATCH(1, (YEAR(I820)=YEAR($A$3:$A$62))*(MONTH(I820)=MONTH($A$3:$A$62)),0))</f>
        <v>63041.857606586644</v>
      </c>
      <c r="K820">
        <f t="array" ref="K820">INDEX($G$3:$G$200,MATCH(1, (YEAR(I820)=YEAR($A$3:$A$2000))*(MONTH(I820)=MONTH($A$3:$A$2000)),0))</f>
        <v>91556.047493382444</v>
      </c>
      <c r="L820">
        <f t="shared" si="25"/>
        <v>59433.707380511987</v>
      </c>
    </row>
    <row r="821" spans="4:12" x14ac:dyDescent="0.25">
      <c r="D821">
        <f t="shared" si="24"/>
        <v>0</v>
      </c>
      <c r="H821">
        <v>819</v>
      </c>
      <c r="I821" s="1">
        <v>45778</v>
      </c>
      <c r="J821">
        <f t="array" ref="J821">INDEX($D$3:$D$62,MATCH(1, (YEAR(I821)=YEAR($A$3:$A$62))*(MONTH(I821)=MONTH($A$3:$A$62)),0))</f>
        <v>61368.673995489808</v>
      </c>
      <c r="K821">
        <f t="array" ref="K821">INDEX($G$3:$G$200,MATCH(1, (YEAR(I821)=YEAR($A$3:$A$2000))*(MONTH(I821)=MONTH($A$3:$A$2000)),0))</f>
        <v>89233.797483102899</v>
      </c>
      <c r="L821">
        <f t="shared" si="25"/>
        <v>59386.655117738977</v>
      </c>
    </row>
    <row r="822" spans="4:12" x14ac:dyDescent="0.25">
      <c r="D822">
        <f t="shared" si="24"/>
        <v>0</v>
      </c>
      <c r="H822">
        <v>820</v>
      </c>
      <c r="I822" s="1">
        <v>45779</v>
      </c>
      <c r="J822">
        <f t="array" ref="J822">INDEX($D$3:$D$62,MATCH(1, (YEAR(I822)=YEAR($A$3:$A$62))*(MONTH(I822)=MONTH($A$3:$A$62)),0))</f>
        <v>61368.673995489808</v>
      </c>
      <c r="K822">
        <f t="array" ref="K822">INDEX($G$3:$G$200,MATCH(1, (YEAR(I822)=YEAR($A$3:$A$2000))*(MONTH(I822)=MONTH($A$3:$A$2000)),0))</f>
        <v>89233.797483102899</v>
      </c>
      <c r="L822">
        <f t="shared" si="25"/>
        <v>59339.674683663965</v>
      </c>
    </row>
    <row r="823" spans="4:12" x14ac:dyDescent="0.25">
      <c r="D823">
        <f t="shared" si="24"/>
        <v>0</v>
      </c>
      <c r="H823">
        <v>821</v>
      </c>
      <c r="I823" s="1">
        <v>45780</v>
      </c>
      <c r="J823">
        <f t="array" ref="J823">INDEX($D$3:$D$62,MATCH(1, (YEAR(I823)=YEAR($A$3:$A$62))*(MONTH(I823)=MONTH($A$3:$A$62)),0))</f>
        <v>61368.673995489808</v>
      </c>
      <c r="K823">
        <f t="array" ref="K823">INDEX($G$3:$G$200,MATCH(1, (YEAR(I823)=YEAR($A$3:$A$2000))*(MONTH(I823)=MONTH($A$3:$A$2000)),0))</f>
        <v>89233.797483102899</v>
      </c>
      <c r="L823">
        <f t="shared" si="25"/>
        <v>59292.765891668998</v>
      </c>
    </row>
    <row r="824" spans="4:12" x14ac:dyDescent="0.25">
      <c r="D824">
        <f t="shared" si="24"/>
        <v>0</v>
      </c>
      <c r="H824">
        <v>822</v>
      </c>
      <c r="I824" s="1">
        <v>45781</v>
      </c>
      <c r="J824">
        <f t="array" ref="J824">INDEX($D$3:$D$62,MATCH(1, (YEAR(I824)=YEAR($A$3:$A$62))*(MONTH(I824)=MONTH($A$3:$A$62)),0))</f>
        <v>61368.673995489808</v>
      </c>
      <c r="K824">
        <f t="array" ref="K824">INDEX($G$3:$G$200,MATCH(1, (YEAR(I824)=YEAR($A$3:$A$2000))*(MONTH(I824)=MONTH($A$3:$A$2000)),0))</f>
        <v>89233.797483102899</v>
      </c>
      <c r="L824">
        <f t="shared" si="25"/>
        <v>59245.928555423976</v>
      </c>
    </row>
    <row r="825" spans="4:12" x14ac:dyDescent="0.25">
      <c r="D825">
        <f t="shared" si="24"/>
        <v>0</v>
      </c>
      <c r="H825">
        <v>823</v>
      </c>
      <c r="I825" s="1">
        <v>45782</v>
      </c>
      <c r="J825">
        <f t="array" ref="J825">INDEX($D$3:$D$62,MATCH(1, (YEAR(I825)=YEAR($A$3:$A$62))*(MONTH(I825)=MONTH($A$3:$A$62)),0))</f>
        <v>61368.673995489808</v>
      </c>
      <c r="K825">
        <f t="array" ref="K825">INDEX($G$3:$G$200,MATCH(1, (YEAR(I825)=YEAR($A$3:$A$2000))*(MONTH(I825)=MONTH($A$3:$A$2000)),0))</f>
        <v>89233.797483102899</v>
      </c>
      <c r="L825">
        <f t="shared" si="25"/>
        <v>59199.16248888697</v>
      </c>
    </row>
    <row r="826" spans="4:12" x14ac:dyDescent="0.25">
      <c r="D826">
        <f t="shared" si="24"/>
        <v>0</v>
      </c>
      <c r="H826">
        <v>824</v>
      </c>
      <c r="I826" s="1">
        <v>45783</v>
      </c>
      <c r="J826">
        <f t="array" ref="J826">INDEX($D$3:$D$62,MATCH(1, (YEAR(I826)=YEAR($A$3:$A$62))*(MONTH(I826)=MONTH($A$3:$A$62)),0))</f>
        <v>61368.673995489808</v>
      </c>
      <c r="K826">
        <f t="array" ref="K826">INDEX($G$3:$G$200,MATCH(1, (YEAR(I826)=YEAR($A$3:$A$2000))*(MONTH(I826)=MONTH($A$3:$A$2000)),0))</f>
        <v>89233.797483102899</v>
      </c>
      <c r="L826">
        <f t="shared" si="25"/>
        <v>59152.467506303976</v>
      </c>
    </row>
    <row r="827" spans="4:12" x14ac:dyDescent="0.25">
      <c r="D827">
        <f t="shared" si="24"/>
        <v>0</v>
      </c>
      <c r="H827">
        <v>825</v>
      </c>
      <c r="I827" s="1">
        <v>45784</v>
      </c>
      <c r="J827">
        <f t="array" ref="J827">INDEX($D$3:$D$62,MATCH(1, (YEAR(I827)=YEAR($A$3:$A$62))*(MONTH(I827)=MONTH($A$3:$A$62)),0))</f>
        <v>61368.673995489808</v>
      </c>
      <c r="K827">
        <f t="array" ref="K827">INDEX($G$3:$G$200,MATCH(1, (YEAR(I827)=YEAR($A$3:$A$2000))*(MONTH(I827)=MONTH($A$3:$A$2000)),0))</f>
        <v>89233.797483102899</v>
      </c>
      <c r="L827">
        <f t="shared" si="25"/>
        <v>59105.843422209</v>
      </c>
    </row>
    <row r="828" spans="4:12" x14ac:dyDescent="0.25">
      <c r="D828">
        <f t="shared" si="24"/>
        <v>0</v>
      </c>
      <c r="H828">
        <v>826</v>
      </c>
      <c r="I828" s="1">
        <v>45785</v>
      </c>
      <c r="J828">
        <f t="array" ref="J828">INDEX($D$3:$D$62,MATCH(1, (YEAR(I828)=YEAR($A$3:$A$62))*(MONTH(I828)=MONTH($A$3:$A$62)),0))</f>
        <v>61368.673995489808</v>
      </c>
      <c r="K828">
        <f t="array" ref="K828">INDEX($G$3:$G$200,MATCH(1, (YEAR(I828)=YEAR($A$3:$A$2000))*(MONTH(I828)=MONTH($A$3:$A$2000)),0))</f>
        <v>89233.797483102899</v>
      </c>
      <c r="L828">
        <f t="shared" si="25"/>
        <v>59059.290051423988</v>
      </c>
    </row>
    <row r="829" spans="4:12" x14ac:dyDescent="0.25">
      <c r="D829">
        <f t="shared" si="24"/>
        <v>0</v>
      </c>
      <c r="H829">
        <v>827</v>
      </c>
      <c r="I829" s="1">
        <v>45786</v>
      </c>
      <c r="J829">
        <f t="array" ref="J829">INDEX($D$3:$D$62,MATCH(1, (YEAR(I829)=YEAR($A$3:$A$62))*(MONTH(I829)=MONTH($A$3:$A$62)),0))</f>
        <v>61368.673995489808</v>
      </c>
      <c r="K829">
        <f t="array" ref="K829">INDEX($G$3:$G$200,MATCH(1, (YEAR(I829)=YEAR($A$3:$A$2000))*(MONTH(I829)=MONTH($A$3:$A$2000)),0))</f>
        <v>89233.797483102899</v>
      </c>
      <c r="L829">
        <f t="shared" si="25"/>
        <v>59012.807209058985</v>
      </c>
    </row>
    <row r="830" spans="4:12" x14ac:dyDescent="0.25">
      <c r="D830">
        <f t="shared" si="24"/>
        <v>0</v>
      </c>
      <c r="H830">
        <v>828</v>
      </c>
      <c r="I830" s="1">
        <v>45787</v>
      </c>
      <c r="J830">
        <f t="array" ref="J830">INDEX($D$3:$D$62,MATCH(1, (YEAR(I830)=YEAR($A$3:$A$62))*(MONTH(I830)=MONTH($A$3:$A$62)),0))</f>
        <v>61368.673995489808</v>
      </c>
      <c r="K830">
        <f t="array" ref="K830">INDEX($G$3:$G$200,MATCH(1, (YEAR(I830)=YEAR($A$3:$A$2000))*(MONTH(I830)=MONTH($A$3:$A$2000)),0))</f>
        <v>89233.797483102899</v>
      </c>
      <c r="L830">
        <f t="shared" si="25"/>
        <v>58966.394710511959</v>
      </c>
    </row>
    <row r="831" spans="4:12" x14ac:dyDescent="0.25">
      <c r="D831">
        <f t="shared" si="24"/>
        <v>0</v>
      </c>
      <c r="H831">
        <v>829</v>
      </c>
      <c r="I831" s="1">
        <v>45788</v>
      </c>
      <c r="J831">
        <f t="array" ref="J831">INDEX($D$3:$D$62,MATCH(1, (YEAR(I831)=YEAR($A$3:$A$62))*(MONTH(I831)=MONTH($A$3:$A$62)),0))</f>
        <v>61368.673995489808</v>
      </c>
      <c r="K831">
        <f t="array" ref="K831">INDEX($G$3:$G$200,MATCH(1, (YEAR(I831)=YEAR($A$3:$A$2000))*(MONTH(I831)=MONTH($A$3:$A$2000)),0))</f>
        <v>89233.797483102899</v>
      </c>
      <c r="L831">
        <f t="shared" si="25"/>
        <v>58920.052371468992</v>
      </c>
    </row>
    <row r="832" spans="4:12" x14ac:dyDescent="0.25">
      <c r="D832">
        <f t="shared" si="24"/>
        <v>0</v>
      </c>
      <c r="H832">
        <v>830</v>
      </c>
      <c r="I832" s="1">
        <v>45789</v>
      </c>
      <c r="J832">
        <f t="array" ref="J832">INDEX($D$3:$D$62,MATCH(1, (YEAR(I832)=YEAR($A$3:$A$62))*(MONTH(I832)=MONTH($A$3:$A$62)),0))</f>
        <v>61368.673995489808</v>
      </c>
      <c r="K832">
        <f t="array" ref="K832">INDEX($G$3:$G$200,MATCH(1, (YEAR(I832)=YEAR($A$3:$A$2000))*(MONTH(I832)=MONTH($A$3:$A$2000)),0))</f>
        <v>89233.797483102899</v>
      </c>
      <c r="L832">
        <f t="shared" si="25"/>
        <v>58873.780007903988</v>
      </c>
    </row>
    <row r="833" spans="4:12" x14ac:dyDescent="0.25">
      <c r="D833">
        <f t="shared" si="24"/>
        <v>0</v>
      </c>
      <c r="H833">
        <v>831</v>
      </c>
      <c r="I833" s="1">
        <v>45790</v>
      </c>
      <c r="J833">
        <f t="array" ref="J833">INDEX($D$3:$D$62,MATCH(1, (YEAR(I833)=YEAR($A$3:$A$62))*(MONTH(I833)=MONTH($A$3:$A$62)),0))</f>
        <v>61368.673995489808</v>
      </c>
      <c r="K833">
        <f t="array" ref="K833">INDEX($G$3:$G$200,MATCH(1, (YEAR(I833)=YEAR($A$3:$A$2000))*(MONTH(I833)=MONTH($A$3:$A$2000)),0))</f>
        <v>89233.797483102899</v>
      </c>
      <c r="L833">
        <f t="shared" si="25"/>
        <v>58827.57743607898</v>
      </c>
    </row>
    <row r="834" spans="4:12" x14ac:dyDescent="0.25">
      <c r="D834">
        <f t="shared" si="24"/>
        <v>0</v>
      </c>
      <c r="H834">
        <v>832</v>
      </c>
      <c r="I834" s="1">
        <v>45791</v>
      </c>
      <c r="J834">
        <f t="array" ref="J834">INDEX($D$3:$D$62,MATCH(1, (YEAR(I834)=YEAR($A$3:$A$62))*(MONTH(I834)=MONTH($A$3:$A$62)),0))</f>
        <v>61368.673995489808</v>
      </c>
      <c r="K834">
        <f t="array" ref="K834">INDEX($G$3:$G$200,MATCH(1, (YEAR(I834)=YEAR($A$3:$A$2000))*(MONTH(I834)=MONTH($A$3:$A$2000)),0))</f>
        <v>89233.797483102899</v>
      </c>
      <c r="L834">
        <f t="shared" si="25"/>
        <v>58781.444472543968</v>
      </c>
    </row>
    <row r="835" spans="4:12" x14ac:dyDescent="0.25">
      <c r="D835">
        <f t="shared" si="24"/>
        <v>0</v>
      </c>
      <c r="H835">
        <v>833</v>
      </c>
      <c r="I835" s="1">
        <v>45792</v>
      </c>
      <c r="J835">
        <f t="array" ref="J835">INDEX($D$3:$D$62,MATCH(1, (YEAR(I835)=YEAR($A$3:$A$62))*(MONTH(I835)=MONTH($A$3:$A$62)),0))</f>
        <v>61368.673995489808</v>
      </c>
      <c r="K835">
        <f t="array" ref="K835">INDEX($G$3:$G$200,MATCH(1, (YEAR(I835)=YEAR($A$3:$A$2000))*(MONTH(I835)=MONTH($A$3:$A$2000)),0))</f>
        <v>89233.797483102899</v>
      </c>
      <c r="L835">
        <f t="shared" si="25"/>
        <v>58735.380934136978</v>
      </c>
    </row>
    <row r="836" spans="4:12" x14ac:dyDescent="0.25">
      <c r="D836">
        <f t="shared" ref="D836:D899" si="26">SUM(B836:C836)</f>
        <v>0</v>
      </c>
      <c r="H836">
        <v>834</v>
      </c>
      <c r="I836" s="1">
        <v>45793</v>
      </c>
      <c r="J836">
        <f t="array" ref="J836">INDEX($D$3:$D$62,MATCH(1, (YEAR(I836)=YEAR($A$3:$A$62))*(MONTH(I836)=MONTH($A$3:$A$62)),0))</f>
        <v>61368.673995489808</v>
      </c>
      <c r="K836">
        <f t="array" ref="K836">INDEX($G$3:$G$200,MATCH(1, (YEAR(I836)=YEAR($A$3:$A$2000))*(MONTH(I836)=MONTH($A$3:$A$2000)),0))</f>
        <v>89233.797483102899</v>
      </c>
      <c r="L836">
        <f t="shared" ref="L836:L899" si="27">0.000000012*H836^4-0.000070439*H836^3+0.160688168*H836^2-194.849290676*H836+144481.718306784</f>
        <v>58689.386637983975</v>
      </c>
    </row>
    <row r="837" spans="4:12" x14ac:dyDescent="0.25">
      <c r="D837">
        <f t="shared" si="26"/>
        <v>0</v>
      </c>
      <c r="H837">
        <v>835</v>
      </c>
      <c r="I837" s="1">
        <v>45794</v>
      </c>
      <c r="J837">
        <f t="array" ref="J837">INDEX($D$3:$D$62,MATCH(1, (YEAR(I837)=YEAR($A$3:$A$62))*(MONTH(I837)=MONTH($A$3:$A$62)),0))</f>
        <v>61368.673995489808</v>
      </c>
      <c r="K837">
        <f t="array" ref="K837">INDEX($G$3:$G$200,MATCH(1, (YEAR(I837)=YEAR($A$3:$A$2000))*(MONTH(I837)=MONTH($A$3:$A$2000)),0))</f>
        <v>89233.797483102899</v>
      </c>
      <c r="L837">
        <f t="shared" si="27"/>
        <v>58643.461401498964</v>
      </c>
    </row>
    <row r="838" spans="4:12" x14ac:dyDescent="0.25">
      <c r="D838">
        <f t="shared" si="26"/>
        <v>0</v>
      </c>
      <c r="H838">
        <v>836</v>
      </c>
      <c r="I838" s="1">
        <v>45795</v>
      </c>
      <c r="J838">
        <f t="array" ref="J838">INDEX($D$3:$D$62,MATCH(1, (YEAR(I838)=YEAR($A$3:$A$62))*(MONTH(I838)=MONTH($A$3:$A$62)),0))</f>
        <v>61368.673995489808</v>
      </c>
      <c r="K838">
        <f t="array" ref="K838">INDEX($G$3:$G$200,MATCH(1, (YEAR(I838)=YEAR($A$3:$A$2000))*(MONTH(I838)=MONTH($A$3:$A$2000)),0))</f>
        <v>89233.797483102899</v>
      </c>
      <c r="L838">
        <f t="shared" si="27"/>
        <v>58597.605042384006</v>
      </c>
    </row>
    <row r="839" spans="4:12" x14ac:dyDescent="0.25">
      <c r="D839">
        <f t="shared" si="26"/>
        <v>0</v>
      </c>
      <c r="H839">
        <v>837</v>
      </c>
      <c r="I839" s="1">
        <v>45796</v>
      </c>
      <c r="J839">
        <f t="array" ref="J839">INDEX($D$3:$D$62,MATCH(1, (YEAR(I839)=YEAR($A$3:$A$62))*(MONTH(I839)=MONTH($A$3:$A$62)),0))</f>
        <v>61368.673995489808</v>
      </c>
      <c r="K839">
        <f t="array" ref="K839">INDEX($G$3:$G$200,MATCH(1, (YEAR(I839)=YEAR($A$3:$A$2000))*(MONTH(I839)=MONTH($A$3:$A$2000)),0))</f>
        <v>89233.797483102899</v>
      </c>
      <c r="L839">
        <f t="shared" si="27"/>
        <v>58551.817378628999</v>
      </c>
    </row>
    <row r="840" spans="4:12" x14ac:dyDescent="0.25">
      <c r="D840">
        <f t="shared" si="26"/>
        <v>0</v>
      </c>
      <c r="H840">
        <v>838</v>
      </c>
      <c r="I840" s="1">
        <v>45797</v>
      </c>
      <c r="J840">
        <f t="array" ref="J840">INDEX($D$3:$D$62,MATCH(1, (YEAR(I840)=YEAR($A$3:$A$62))*(MONTH(I840)=MONTH($A$3:$A$62)),0))</f>
        <v>61368.673995489808</v>
      </c>
      <c r="K840">
        <f t="array" ref="K840">INDEX($G$3:$G$200,MATCH(1, (YEAR(I840)=YEAR($A$3:$A$2000))*(MONTH(I840)=MONTH($A$3:$A$2000)),0))</f>
        <v>89233.797483102899</v>
      </c>
      <c r="L840">
        <f t="shared" si="27"/>
        <v>58506.098228511983</v>
      </c>
    </row>
    <row r="841" spans="4:12" x14ac:dyDescent="0.25">
      <c r="D841">
        <f t="shared" si="26"/>
        <v>0</v>
      </c>
      <c r="H841">
        <v>839</v>
      </c>
      <c r="I841" s="1">
        <v>45798</v>
      </c>
      <c r="J841">
        <f t="array" ref="J841">INDEX($D$3:$D$62,MATCH(1, (YEAR(I841)=YEAR($A$3:$A$62))*(MONTH(I841)=MONTH($A$3:$A$62)),0))</f>
        <v>61368.673995489808</v>
      </c>
      <c r="K841">
        <f t="array" ref="K841">INDEX($G$3:$G$200,MATCH(1, (YEAR(I841)=YEAR($A$3:$A$2000))*(MONTH(I841)=MONTH($A$3:$A$2000)),0))</f>
        <v>89233.797483102899</v>
      </c>
      <c r="L841">
        <f t="shared" si="27"/>
        <v>58460.447410598979</v>
      </c>
    </row>
    <row r="842" spans="4:12" x14ac:dyDescent="0.25">
      <c r="D842">
        <f t="shared" si="26"/>
        <v>0</v>
      </c>
      <c r="H842">
        <v>840</v>
      </c>
      <c r="I842" s="1">
        <v>45799</v>
      </c>
      <c r="J842">
        <f t="array" ref="J842">INDEX($D$3:$D$62,MATCH(1, (YEAR(I842)=YEAR($A$3:$A$62))*(MONTH(I842)=MONTH($A$3:$A$62)),0))</f>
        <v>61368.673995489808</v>
      </c>
      <c r="K842">
        <f t="array" ref="K842">INDEX($G$3:$G$200,MATCH(1, (YEAR(I842)=YEAR($A$3:$A$2000))*(MONTH(I842)=MONTH($A$3:$A$2000)),0))</f>
        <v>89233.797483102899</v>
      </c>
      <c r="L842">
        <f t="shared" si="27"/>
        <v>58414.864743743994</v>
      </c>
    </row>
    <row r="843" spans="4:12" x14ac:dyDescent="0.25">
      <c r="D843">
        <f t="shared" si="26"/>
        <v>0</v>
      </c>
      <c r="H843">
        <v>841</v>
      </c>
      <c r="I843" s="1">
        <v>45800</v>
      </c>
      <c r="J843">
        <f t="array" ref="J843">INDEX($D$3:$D$62,MATCH(1, (YEAR(I843)=YEAR($A$3:$A$62))*(MONTH(I843)=MONTH($A$3:$A$62)),0))</f>
        <v>61368.673995489808</v>
      </c>
      <c r="K843">
        <f t="array" ref="K843">INDEX($G$3:$G$200,MATCH(1, (YEAR(I843)=YEAR($A$3:$A$2000))*(MONTH(I843)=MONTH($A$3:$A$2000)),0))</f>
        <v>89233.797483102899</v>
      </c>
      <c r="L843">
        <f t="shared" si="27"/>
        <v>58369.350047088985</v>
      </c>
    </row>
    <row r="844" spans="4:12" x14ac:dyDescent="0.25">
      <c r="D844">
        <f t="shared" si="26"/>
        <v>0</v>
      </c>
      <c r="H844">
        <v>842</v>
      </c>
      <c r="I844" s="1">
        <v>45801</v>
      </c>
      <c r="J844">
        <f t="array" ref="J844">INDEX($D$3:$D$62,MATCH(1, (YEAR(I844)=YEAR($A$3:$A$62))*(MONTH(I844)=MONTH($A$3:$A$62)),0))</f>
        <v>61368.673995489808</v>
      </c>
      <c r="K844">
        <f t="array" ref="K844">INDEX($G$3:$G$200,MATCH(1, (YEAR(I844)=YEAR($A$3:$A$2000))*(MONTH(I844)=MONTH($A$3:$A$2000)),0))</f>
        <v>89233.797483102899</v>
      </c>
      <c r="L844">
        <f t="shared" si="27"/>
        <v>58323.90314006398</v>
      </c>
    </row>
    <row r="845" spans="4:12" x14ac:dyDescent="0.25">
      <c r="D845">
        <f t="shared" si="26"/>
        <v>0</v>
      </c>
      <c r="H845">
        <v>843</v>
      </c>
      <c r="I845" s="1">
        <v>45802</v>
      </c>
      <c r="J845">
        <f t="array" ref="J845">INDEX($D$3:$D$62,MATCH(1, (YEAR(I845)=YEAR($A$3:$A$62))*(MONTH(I845)=MONTH($A$3:$A$62)),0))</f>
        <v>61368.673995489808</v>
      </c>
      <c r="K845">
        <f t="array" ref="K845">INDEX($G$3:$G$200,MATCH(1, (YEAR(I845)=YEAR($A$3:$A$2000))*(MONTH(I845)=MONTH($A$3:$A$2000)),0))</f>
        <v>89233.797483102899</v>
      </c>
      <c r="L845">
        <f t="shared" si="27"/>
        <v>58278.523842386989</v>
      </c>
    </row>
    <row r="846" spans="4:12" x14ac:dyDescent="0.25">
      <c r="D846">
        <f t="shared" si="26"/>
        <v>0</v>
      </c>
      <c r="H846">
        <v>844</v>
      </c>
      <c r="I846" s="1">
        <v>45803</v>
      </c>
      <c r="J846">
        <f t="array" ref="J846">INDEX($D$3:$D$62,MATCH(1, (YEAR(I846)=YEAR($A$3:$A$62))*(MONTH(I846)=MONTH($A$3:$A$62)),0))</f>
        <v>61368.673995489808</v>
      </c>
      <c r="K846">
        <f t="array" ref="K846">INDEX($G$3:$G$200,MATCH(1, (YEAR(I846)=YEAR($A$3:$A$2000))*(MONTH(I846)=MONTH($A$3:$A$2000)),0))</f>
        <v>89233.797483102899</v>
      </c>
      <c r="L846">
        <f t="shared" si="27"/>
        <v>58233.21197406399</v>
      </c>
    </row>
    <row r="847" spans="4:12" x14ac:dyDescent="0.25">
      <c r="D847">
        <f t="shared" si="26"/>
        <v>0</v>
      </c>
      <c r="H847">
        <v>845</v>
      </c>
      <c r="I847" s="1">
        <v>45804</v>
      </c>
      <c r="J847">
        <f t="array" ref="J847">INDEX($D$3:$D$62,MATCH(1, (YEAR(I847)=YEAR($A$3:$A$62))*(MONTH(I847)=MONTH($A$3:$A$62)),0))</f>
        <v>61368.673995489808</v>
      </c>
      <c r="K847">
        <f t="array" ref="K847">INDEX($G$3:$G$200,MATCH(1, (YEAR(I847)=YEAR($A$3:$A$2000))*(MONTH(I847)=MONTH($A$3:$A$2000)),0))</f>
        <v>89233.797483102899</v>
      </c>
      <c r="L847">
        <f t="shared" si="27"/>
        <v>58187.967355388973</v>
      </c>
    </row>
    <row r="848" spans="4:12" x14ac:dyDescent="0.25">
      <c r="D848">
        <f t="shared" si="26"/>
        <v>0</v>
      </c>
      <c r="H848">
        <v>846</v>
      </c>
      <c r="I848" s="1">
        <v>45805</v>
      </c>
      <c r="J848">
        <f t="array" ref="J848">INDEX($D$3:$D$62,MATCH(1, (YEAR(I848)=YEAR($A$3:$A$62))*(MONTH(I848)=MONTH($A$3:$A$62)),0))</f>
        <v>61368.673995489808</v>
      </c>
      <c r="K848">
        <f t="array" ref="K848">INDEX($G$3:$G$200,MATCH(1, (YEAR(I848)=YEAR($A$3:$A$2000))*(MONTH(I848)=MONTH($A$3:$A$2000)),0))</f>
        <v>89233.797483102899</v>
      </c>
      <c r="L848">
        <f t="shared" si="27"/>
        <v>58142.789806943983</v>
      </c>
    </row>
    <row r="849" spans="4:12" x14ac:dyDescent="0.25">
      <c r="D849">
        <f t="shared" si="26"/>
        <v>0</v>
      </c>
      <c r="H849">
        <v>847</v>
      </c>
      <c r="I849" s="1">
        <v>45806</v>
      </c>
      <c r="J849">
        <f t="array" ref="J849">INDEX($D$3:$D$62,MATCH(1, (YEAR(I849)=YEAR($A$3:$A$62))*(MONTH(I849)=MONTH($A$3:$A$62)),0))</f>
        <v>61368.673995489808</v>
      </c>
      <c r="K849">
        <f t="array" ref="K849">INDEX($G$3:$G$200,MATCH(1, (YEAR(I849)=YEAR($A$3:$A$2000))*(MONTH(I849)=MONTH($A$3:$A$2000)),0))</f>
        <v>89233.797483102899</v>
      </c>
      <c r="L849">
        <f t="shared" si="27"/>
        <v>58097.67914959896</v>
      </c>
    </row>
    <row r="850" spans="4:12" x14ac:dyDescent="0.25">
      <c r="D850">
        <f t="shared" si="26"/>
        <v>0</v>
      </c>
      <c r="H850">
        <v>848</v>
      </c>
      <c r="I850" s="1">
        <v>45807</v>
      </c>
      <c r="J850">
        <f t="array" ref="J850">INDEX($D$3:$D$62,MATCH(1, (YEAR(I850)=YEAR($A$3:$A$62))*(MONTH(I850)=MONTH($A$3:$A$62)),0))</f>
        <v>61368.673995489808</v>
      </c>
      <c r="K850">
        <f t="array" ref="K850">INDEX($G$3:$G$200,MATCH(1, (YEAR(I850)=YEAR($A$3:$A$2000))*(MONTH(I850)=MONTH($A$3:$A$2000)),0))</f>
        <v>89233.797483102899</v>
      </c>
      <c r="L850">
        <f t="shared" si="27"/>
        <v>58052.635204511986</v>
      </c>
    </row>
    <row r="851" spans="4:12" x14ac:dyDescent="0.25">
      <c r="D851">
        <f t="shared" si="26"/>
        <v>0</v>
      </c>
      <c r="H851">
        <v>849</v>
      </c>
      <c r="I851" s="1">
        <v>45808</v>
      </c>
      <c r="J851">
        <f t="array" ref="J851">INDEX($D$3:$D$62,MATCH(1, (YEAR(I851)=YEAR($A$3:$A$62))*(MONTH(I851)=MONTH($A$3:$A$62)),0))</f>
        <v>61368.673995489808</v>
      </c>
      <c r="K851">
        <f t="array" ref="K851">INDEX($G$3:$G$200,MATCH(1, (YEAR(I851)=YEAR($A$3:$A$2000))*(MONTH(I851)=MONTH($A$3:$A$2000)),0))</f>
        <v>89233.797483102899</v>
      </c>
      <c r="L851">
        <f t="shared" si="27"/>
        <v>58007.657793128979</v>
      </c>
    </row>
    <row r="852" spans="4:12" x14ac:dyDescent="0.25">
      <c r="D852">
        <f t="shared" si="26"/>
        <v>0</v>
      </c>
      <c r="H852">
        <v>850</v>
      </c>
      <c r="I852" s="1">
        <v>45809</v>
      </c>
      <c r="J852">
        <f t="array" ref="J852">INDEX($D$3:$D$62,MATCH(1, (YEAR(I852)=YEAR($A$3:$A$62))*(MONTH(I852)=MONTH($A$3:$A$62)),0))</f>
        <v>59696.959714066325</v>
      </c>
      <c r="K852">
        <f t="array" ref="K852">INDEX($G$3:$G$200,MATCH(1, (YEAR(I852)=YEAR($A$3:$A$2000))*(MONTH(I852)=MONTH($A$3:$A$2000)),0))</f>
        <v>86838.617808934199</v>
      </c>
      <c r="L852">
        <f t="shared" si="27"/>
        <v>57962.746737183974</v>
      </c>
    </row>
    <row r="853" spans="4:12" x14ac:dyDescent="0.25">
      <c r="D853">
        <f t="shared" si="26"/>
        <v>0</v>
      </c>
      <c r="H853">
        <v>851</v>
      </c>
      <c r="I853" s="1">
        <v>45810</v>
      </c>
      <c r="J853">
        <f t="array" ref="J853">INDEX($D$3:$D$62,MATCH(1, (YEAR(I853)=YEAR($A$3:$A$62))*(MONTH(I853)=MONTH($A$3:$A$62)),0))</f>
        <v>59696.959714066325</v>
      </c>
      <c r="K853">
        <f t="array" ref="K853">INDEX($G$3:$G$200,MATCH(1, (YEAR(I853)=YEAR($A$3:$A$2000))*(MONTH(I853)=MONTH($A$3:$A$2000)),0))</f>
        <v>86838.617808934199</v>
      </c>
      <c r="L853">
        <f t="shared" si="27"/>
        <v>57917.90185869897</v>
      </c>
    </row>
    <row r="854" spans="4:12" x14ac:dyDescent="0.25">
      <c r="D854">
        <f t="shared" si="26"/>
        <v>0</v>
      </c>
      <c r="H854">
        <v>852</v>
      </c>
      <c r="I854" s="1">
        <v>45811</v>
      </c>
      <c r="J854">
        <f t="array" ref="J854">INDEX($D$3:$D$62,MATCH(1, (YEAR(I854)=YEAR($A$3:$A$62))*(MONTH(I854)=MONTH($A$3:$A$62)),0))</f>
        <v>59696.959714066325</v>
      </c>
      <c r="K854">
        <f t="array" ref="K854">INDEX($G$3:$G$200,MATCH(1, (YEAR(I854)=YEAR($A$3:$A$2000))*(MONTH(I854)=MONTH($A$3:$A$2000)),0))</f>
        <v>86838.617808934199</v>
      </c>
      <c r="L854">
        <f t="shared" si="27"/>
        <v>57873.122979983993</v>
      </c>
    </row>
    <row r="855" spans="4:12" x14ac:dyDescent="0.25">
      <c r="D855">
        <f t="shared" si="26"/>
        <v>0</v>
      </c>
      <c r="H855">
        <v>853</v>
      </c>
      <c r="I855" s="1">
        <v>45812</v>
      </c>
      <c r="J855">
        <f t="array" ref="J855">INDEX($D$3:$D$62,MATCH(1, (YEAR(I855)=YEAR($A$3:$A$62))*(MONTH(I855)=MONTH($A$3:$A$62)),0))</f>
        <v>59696.959714066325</v>
      </c>
      <c r="K855">
        <f t="array" ref="K855">INDEX($G$3:$G$200,MATCH(1, (YEAR(I855)=YEAR($A$3:$A$2000))*(MONTH(I855)=MONTH($A$3:$A$2000)),0))</f>
        <v>86838.617808934199</v>
      </c>
      <c r="L855">
        <f t="shared" si="27"/>
        <v>57828.409923636995</v>
      </c>
    </row>
    <row r="856" spans="4:12" x14ac:dyDescent="0.25">
      <c r="D856">
        <f t="shared" si="26"/>
        <v>0</v>
      </c>
      <c r="H856">
        <v>854</v>
      </c>
      <c r="I856" s="1">
        <v>45813</v>
      </c>
      <c r="J856">
        <f t="array" ref="J856">INDEX($D$3:$D$62,MATCH(1, (YEAR(I856)=YEAR($A$3:$A$62))*(MONTH(I856)=MONTH($A$3:$A$62)),0))</f>
        <v>59696.959714066325</v>
      </c>
      <c r="K856">
        <f t="array" ref="K856">INDEX($G$3:$G$200,MATCH(1, (YEAR(I856)=YEAR($A$3:$A$2000))*(MONTH(I856)=MONTH($A$3:$A$2000)),0))</f>
        <v>86838.617808934199</v>
      </c>
      <c r="L856">
        <f t="shared" si="27"/>
        <v>57783.762512543981</v>
      </c>
    </row>
    <row r="857" spans="4:12" x14ac:dyDescent="0.25">
      <c r="D857">
        <f t="shared" si="26"/>
        <v>0</v>
      </c>
      <c r="H857">
        <v>855</v>
      </c>
      <c r="I857" s="1">
        <v>45814</v>
      </c>
      <c r="J857">
        <f t="array" ref="J857">INDEX($D$3:$D$62,MATCH(1, (YEAR(I857)=YEAR($A$3:$A$62))*(MONTH(I857)=MONTH($A$3:$A$62)),0))</f>
        <v>59696.959714066325</v>
      </c>
      <c r="K857">
        <f t="array" ref="K857">INDEX($G$3:$G$200,MATCH(1, (YEAR(I857)=YEAR($A$3:$A$2000))*(MONTH(I857)=MONTH($A$3:$A$2000)),0))</f>
        <v>86838.617808934199</v>
      </c>
      <c r="L857">
        <f t="shared" si="27"/>
        <v>57739.180569878969</v>
      </c>
    </row>
    <row r="858" spans="4:12" x14ac:dyDescent="0.25">
      <c r="D858">
        <f t="shared" si="26"/>
        <v>0</v>
      </c>
      <c r="H858">
        <v>856</v>
      </c>
      <c r="I858" s="1">
        <v>45815</v>
      </c>
      <c r="J858">
        <f t="array" ref="J858">INDEX($D$3:$D$62,MATCH(1, (YEAR(I858)=YEAR($A$3:$A$62))*(MONTH(I858)=MONTH($A$3:$A$62)),0))</f>
        <v>59696.959714066325</v>
      </c>
      <c r="K858">
        <f t="array" ref="K858">INDEX($G$3:$G$200,MATCH(1, (YEAR(I858)=YEAR($A$3:$A$2000))*(MONTH(I858)=MONTH($A$3:$A$2000)),0))</f>
        <v>86838.617808934199</v>
      </c>
      <c r="L858">
        <f t="shared" si="27"/>
        <v>57694.663919104001</v>
      </c>
    </row>
    <row r="859" spans="4:12" x14ac:dyDescent="0.25">
      <c r="D859">
        <f t="shared" si="26"/>
        <v>0</v>
      </c>
      <c r="H859">
        <v>857</v>
      </c>
      <c r="I859" s="1">
        <v>45816</v>
      </c>
      <c r="J859">
        <f t="array" ref="J859">INDEX($D$3:$D$62,MATCH(1, (YEAR(I859)=YEAR($A$3:$A$62))*(MONTH(I859)=MONTH($A$3:$A$62)),0))</f>
        <v>59696.959714066325</v>
      </c>
      <c r="K859">
        <f t="array" ref="K859">INDEX($G$3:$G$200,MATCH(1, (YEAR(I859)=YEAR($A$3:$A$2000))*(MONTH(I859)=MONTH($A$3:$A$2000)),0))</f>
        <v>86838.617808934199</v>
      </c>
      <c r="L859">
        <f t="shared" si="27"/>
        <v>57650.212383968988</v>
      </c>
    </row>
    <row r="860" spans="4:12" x14ac:dyDescent="0.25">
      <c r="D860">
        <f t="shared" si="26"/>
        <v>0</v>
      </c>
      <c r="H860">
        <v>858</v>
      </c>
      <c r="I860" s="1">
        <v>45817</v>
      </c>
      <c r="J860">
        <f t="array" ref="J860">INDEX($D$3:$D$62,MATCH(1, (YEAR(I860)=YEAR($A$3:$A$62))*(MONTH(I860)=MONTH($A$3:$A$62)),0))</f>
        <v>59696.959714066325</v>
      </c>
      <c r="K860">
        <f t="array" ref="K860">INDEX($G$3:$G$200,MATCH(1, (YEAR(I860)=YEAR($A$3:$A$2000))*(MONTH(I860)=MONTH($A$3:$A$2000)),0))</f>
        <v>86838.617808934199</v>
      </c>
      <c r="L860">
        <f t="shared" si="27"/>
        <v>57605.825788511982</v>
      </c>
    </row>
    <row r="861" spans="4:12" x14ac:dyDescent="0.25">
      <c r="D861">
        <f t="shared" si="26"/>
        <v>0</v>
      </c>
      <c r="H861">
        <v>859</v>
      </c>
      <c r="I861" s="1">
        <v>45818</v>
      </c>
      <c r="J861">
        <f t="array" ref="J861">INDEX($D$3:$D$62,MATCH(1, (YEAR(I861)=YEAR($A$3:$A$62))*(MONTH(I861)=MONTH($A$3:$A$62)),0))</f>
        <v>59696.959714066325</v>
      </c>
      <c r="K861">
        <f t="array" ref="K861">INDEX($G$3:$G$200,MATCH(1, (YEAR(I861)=YEAR($A$3:$A$2000))*(MONTH(I861)=MONTH($A$3:$A$2000)),0))</f>
        <v>86838.617808934199</v>
      </c>
      <c r="L861">
        <f t="shared" si="27"/>
        <v>57561.503957058972</v>
      </c>
    </row>
    <row r="862" spans="4:12" x14ac:dyDescent="0.25">
      <c r="D862">
        <f t="shared" si="26"/>
        <v>0</v>
      </c>
      <c r="H862">
        <v>860</v>
      </c>
      <c r="I862" s="1">
        <v>45819</v>
      </c>
      <c r="J862">
        <f t="array" ref="J862">INDEX($D$3:$D$62,MATCH(1, (YEAR(I862)=YEAR($A$3:$A$62))*(MONTH(I862)=MONTH($A$3:$A$62)),0))</f>
        <v>59696.959714066325</v>
      </c>
      <c r="K862">
        <f t="array" ref="K862">INDEX($G$3:$G$200,MATCH(1, (YEAR(I862)=YEAR($A$3:$A$2000))*(MONTH(I862)=MONTH($A$3:$A$2000)),0))</f>
        <v>86838.617808934199</v>
      </c>
      <c r="L862">
        <f t="shared" si="27"/>
        <v>57517.246714223991</v>
      </c>
    </row>
    <row r="863" spans="4:12" x14ac:dyDescent="0.25">
      <c r="D863">
        <f t="shared" si="26"/>
        <v>0</v>
      </c>
      <c r="H863">
        <v>861</v>
      </c>
      <c r="I863" s="1">
        <v>45820</v>
      </c>
      <c r="J863">
        <f t="array" ref="J863">INDEX($D$3:$D$62,MATCH(1, (YEAR(I863)=YEAR($A$3:$A$62))*(MONTH(I863)=MONTH($A$3:$A$62)),0))</f>
        <v>59696.959714066325</v>
      </c>
      <c r="K863">
        <f t="array" ref="K863">INDEX($G$3:$G$200,MATCH(1, (YEAR(I863)=YEAR($A$3:$A$2000))*(MONTH(I863)=MONTH($A$3:$A$2000)),0))</f>
        <v>86838.617808934199</v>
      </c>
      <c r="L863">
        <f t="shared" si="27"/>
        <v>57473.053884908979</v>
      </c>
    </row>
    <row r="864" spans="4:12" x14ac:dyDescent="0.25">
      <c r="D864">
        <f t="shared" si="26"/>
        <v>0</v>
      </c>
      <c r="H864">
        <v>862</v>
      </c>
      <c r="I864" s="1">
        <v>45821</v>
      </c>
      <c r="J864">
        <f t="array" ref="J864">INDEX($D$3:$D$62,MATCH(1, (YEAR(I864)=YEAR($A$3:$A$62))*(MONTH(I864)=MONTH($A$3:$A$62)),0))</f>
        <v>59696.959714066325</v>
      </c>
      <c r="K864">
        <f t="array" ref="K864">INDEX($G$3:$G$200,MATCH(1, (YEAR(I864)=YEAR($A$3:$A$2000))*(MONTH(I864)=MONTH($A$3:$A$2000)),0))</f>
        <v>86838.617808934199</v>
      </c>
      <c r="L864">
        <f t="shared" si="27"/>
        <v>57428.925294303976</v>
      </c>
    </row>
    <row r="865" spans="4:12" x14ac:dyDescent="0.25">
      <c r="D865">
        <f t="shared" si="26"/>
        <v>0</v>
      </c>
      <c r="H865">
        <v>863</v>
      </c>
      <c r="I865" s="1">
        <v>45822</v>
      </c>
      <c r="J865">
        <f t="array" ref="J865">INDEX($D$3:$D$62,MATCH(1, (YEAR(I865)=YEAR($A$3:$A$62))*(MONTH(I865)=MONTH($A$3:$A$62)),0))</f>
        <v>59696.959714066325</v>
      </c>
      <c r="K865">
        <f t="array" ref="K865">INDEX($G$3:$G$200,MATCH(1, (YEAR(I865)=YEAR($A$3:$A$2000))*(MONTH(I865)=MONTH($A$3:$A$2000)),0))</f>
        <v>86838.617808934199</v>
      </c>
      <c r="L865">
        <f t="shared" si="27"/>
        <v>57384.860767886974</v>
      </c>
    </row>
    <row r="866" spans="4:12" x14ac:dyDescent="0.25">
      <c r="D866">
        <f t="shared" si="26"/>
        <v>0</v>
      </c>
      <c r="H866">
        <v>864</v>
      </c>
      <c r="I866" s="1">
        <v>45823</v>
      </c>
      <c r="J866">
        <f t="array" ref="J866">INDEX($D$3:$D$62,MATCH(1, (YEAR(I866)=YEAR($A$3:$A$62))*(MONTH(I866)=MONTH($A$3:$A$62)),0))</f>
        <v>59696.959714066325</v>
      </c>
      <c r="K866">
        <f t="array" ref="K866">INDEX($G$3:$G$200,MATCH(1, (YEAR(I866)=YEAR($A$3:$A$2000))*(MONTH(I866)=MONTH($A$3:$A$2000)),0))</f>
        <v>86838.617808934199</v>
      </c>
      <c r="L866">
        <f t="shared" si="27"/>
        <v>57340.860131423979</v>
      </c>
    </row>
    <row r="867" spans="4:12" x14ac:dyDescent="0.25">
      <c r="D867">
        <f t="shared" si="26"/>
        <v>0</v>
      </c>
      <c r="H867">
        <v>865</v>
      </c>
      <c r="I867" s="1">
        <v>45824</v>
      </c>
      <c r="J867">
        <f t="array" ref="J867">INDEX($D$3:$D$62,MATCH(1, (YEAR(I867)=YEAR($A$3:$A$62))*(MONTH(I867)=MONTH($A$3:$A$62)),0))</f>
        <v>59696.959714066325</v>
      </c>
      <c r="K867">
        <f t="array" ref="K867">INDEX($G$3:$G$200,MATCH(1, (YEAR(I867)=YEAR($A$3:$A$2000))*(MONTH(I867)=MONTH($A$3:$A$2000)),0))</f>
        <v>86838.617808934199</v>
      </c>
      <c r="L867">
        <f t="shared" si="27"/>
        <v>57296.923210968976</v>
      </c>
    </row>
    <row r="868" spans="4:12" x14ac:dyDescent="0.25">
      <c r="D868">
        <f t="shared" si="26"/>
        <v>0</v>
      </c>
      <c r="H868">
        <v>866</v>
      </c>
      <c r="I868" s="1">
        <v>45825</v>
      </c>
      <c r="J868">
        <f t="array" ref="J868">INDEX($D$3:$D$62,MATCH(1, (YEAR(I868)=YEAR($A$3:$A$62))*(MONTH(I868)=MONTH($A$3:$A$62)),0))</f>
        <v>59696.959714066325</v>
      </c>
      <c r="K868">
        <f t="array" ref="K868">INDEX($G$3:$G$200,MATCH(1, (YEAR(I868)=YEAR($A$3:$A$2000))*(MONTH(I868)=MONTH($A$3:$A$2000)),0))</f>
        <v>86838.617808934199</v>
      </c>
      <c r="L868">
        <f t="shared" si="27"/>
        <v>57253.049832863981</v>
      </c>
    </row>
    <row r="869" spans="4:12" x14ac:dyDescent="0.25">
      <c r="D869">
        <f t="shared" si="26"/>
        <v>0</v>
      </c>
      <c r="H869">
        <v>867</v>
      </c>
      <c r="I869" s="1">
        <v>45826</v>
      </c>
      <c r="J869">
        <f t="array" ref="J869">INDEX($D$3:$D$62,MATCH(1, (YEAR(I869)=YEAR($A$3:$A$62))*(MONTH(I869)=MONTH($A$3:$A$62)),0))</f>
        <v>59696.959714066325</v>
      </c>
      <c r="K869">
        <f t="array" ref="K869">INDEX($G$3:$G$200,MATCH(1, (YEAR(I869)=YEAR($A$3:$A$2000))*(MONTH(I869)=MONTH($A$3:$A$2000)),0))</f>
        <v>86838.617808934199</v>
      </c>
      <c r="L869">
        <f t="shared" si="27"/>
        <v>57209.239823738986</v>
      </c>
    </row>
    <row r="870" spans="4:12" x14ac:dyDescent="0.25">
      <c r="D870">
        <f t="shared" si="26"/>
        <v>0</v>
      </c>
      <c r="H870">
        <v>868</v>
      </c>
      <c r="I870" s="1">
        <v>45827</v>
      </c>
      <c r="J870">
        <f t="array" ref="J870">INDEX($D$3:$D$62,MATCH(1, (YEAR(I870)=YEAR($A$3:$A$62))*(MONTH(I870)=MONTH($A$3:$A$62)),0))</f>
        <v>59696.959714066325</v>
      </c>
      <c r="K870">
        <f t="array" ref="K870">INDEX($G$3:$G$200,MATCH(1, (YEAR(I870)=YEAR($A$3:$A$2000))*(MONTH(I870)=MONTH($A$3:$A$2000)),0))</f>
        <v>86838.617808934199</v>
      </c>
      <c r="L870">
        <f t="shared" si="27"/>
        <v>57165.493010511986</v>
      </c>
    </row>
    <row r="871" spans="4:12" x14ac:dyDescent="0.25">
      <c r="D871">
        <f t="shared" si="26"/>
        <v>0</v>
      </c>
      <c r="H871">
        <v>869</v>
      </c>
      <c r="I871" s="1">
        <v>45828</v>
      </c>
      <c r="J871">
        <f t="array" ref="J871">INDEX($D$3:$D$62,MATCH(1, (YEAR(I871)=YEAR($A$3:$A$62))*(MONTH(I871)=MONTH($A$3:$A$62)),0))</f>
        <v>59696.959714066325</v>
      </c>
      <c r="K871">
        <f t="array" ref="K871">INDEX($G$3:$G$200,MATCH(1, (YEAR(I871)=YEAR($A$3:$A$2000))*(MONTH(I871)=MONTH($A$3:$A$2000)),0))</f>
        <v>86838.617808934199</v>
      </c>
      <c r="L871">
        <f t="shared" si="27"/>
        <v>57121.809220388968</v>
      </c>
    </row>
    <row r="872" spans="4:12" x14ac:dyDescent="0.25">
      <c r="D872">
        <f t="shared" si="26"/>
        <v>0</v>
      </c>
      <c r="H872">
        <v>870</v>
      </c>
      <c r="I872" s="1">
        <v>45829</v>
      </c>
      <c r="J872">
        <f t="array" ref="J872">INDEX($D$3:$D$62,MATCH(1, (YEAR(I872)=YEAR($A$3:$A$62))*(MONTH(I872)=MONTH($A$3:$A$62)),0))</f>
        <v>59696.959714066325</v>
      </c>
      <c r="K872">
        <f t="array" ref="K872">INDEX($G$3:$G$200,MATCH(1, (YEAR(I872)=YEAR($A$3:$A$2000))*(MONTH(I872)=MONTH($A$3:$A$2000)),0))</f>
        <v>86838.617808934199</v>
      </c>
      <c r="L872">
        <f t="shared" si="27"/>
        <v>57078.188280863978</v>
      </c>
    </row>
    <row r="873" spans="4:12" x14ac:dyDescent="0.25">
      <c r="D873">
        <f t="shared" si="26"/>
        <v>0</v>
      </c>
      <c r="H873">
        <v>871</v>
      </c>
      <c r="I873" s="1">
        <v>45830</v>
      </c>
      <c r="J873">
        <f t="array" ref="J873">INDEX($D$3:$D$62,MATCH(1, (YEAR(I873)=YEAR($A$3:$A$62))*(MONTH(I873)=MONTH($A$3:$A$62)),0))</f>
        <v>59696.959714066325</v>
      </c>
      <c r="K873">
        <f t="array" ref="K873">INDEX($G$3:$G$200,MATCH(1, (YEAR(I873)=YEAR($A$3:$A$2000))*(MONTH(I873)=MONTH($A$3:$A$2000)),0))</f>
        <v>86838.617808934199</v>
      </c>
      <c r="L873">
        <f t="shared" si="27"/>
        <v>57034.630019719014</v>
      </c>
    </row>
    <row r="874" spans="4:12" x14ac:dyDescent="0.25">
      <c r="D874">
        <f t="shared" si="26"/>
        <v>0</v>
      </c>
      <c r="H874">
        <v>872</v>
      </c>
      <c r="I874" s="1">
        <v>45831</v>
      </c>
      <c r="J874">
        <f t="array" ref="J874">INDEX($D$3:$D$62,MATCH(1, (YEAR(I874)=YEAR($A$3:$A$62))*(MONTH(I874)=MONTH($A$3:$A$62)),0))</f>
        <v>59696.959714066325</v>
      </c>
      <c r="K874">
        <f t="array" ref="K874">INDEX($G$3:$G$200,MATCH(1, (YEAR(I874)=YEAR($A$3:$A$2000))*(MONTH(I874)=MONTH($A$3:$A$2000)),0))</f>
        <v>86838.617808934199</v>
      </c>
      <c r="L874">
        <f t="shared" si="27"/>
        <v>56991.134265023982</v>
      </c>
    </row>
    <row r="875" spans="4:12" x14ac:dyDescent="0.25">
      <c r="D875">
        <f t="shared" si="26"/>
        <v>0</v>
      </c>
      <c r="H875">
        <v>873</v>
      </c>
      <c r="I875" s="1">
        <v>45832</v>
      </c>
      <c r="J875">
        <f t="array" ref="J875">INDEX($D$3:$D$62,MATCH(1, (YEAR(I875)=YEAR($A$3:$A$62))*(MONTH(I875)=MONTH($A$3:$A$62)),0))</f>
        <v>59696.959714066325</v>
      </c>
      <c r="K875">
        <f t="array" ref="K875">INDEX($G$3:$G$200,MATCH(1, (YEAR(I875)=YEAR($A$3:$A$2000))*(MONTH(I875)=MONTH($A$3:$A$2000)),0))</f>
        <v>86838.617808934199</v>
      </c>
      <c r="L875">
        <f t="shared" si="27"/>
        <v>56947.700845136991</v>
      </c>
    </row>
    <row r="876" spans="4:12" x14ac:dyDescent="0.25">
      <c r="D876">
        <f t="shared" si="26"/>
        <v>0</v>
      </c>
      <c r="H876">
        <v>874</v>
      </c>
      <c r="I876" s="1">
        <v>45833</v>
      </c>
      <c r="J876">
        <f t="array" ref="J876">INDEX($D$3:$D$62,MATCH(1, (YEAR(I876)=YEAR($A$3:$A$62))*(MONTH(I876)=MONTH($A$3:$A$62)),0))</f>
        <v>59696.959714066325</v>
      </c>
      <c r="K876">
        <f t="array" ref="K876">INDEX($G$3:$G$200,MATCH(1, (YEAR(I876)=YEAR($A$3:$A$2000))*(MONTH(I876)=MONTH($A$3:$A$2000)),0))</f>
        <v>86838.617808934199</v>
      </c>
      <c r="L876">
        <f t="shared" si="27"/>
        <v>56904.329588703971</v>
      </c>
    </row>
    <row r="877" spans="4:12" x14ac:dyDescent="0.25">
      <c r="D877">
        <f t="shared" si="26"/>
        <v>0</v>
      </c>
      <c r="H877">
        <v>875</v>
      </c>
      <c r="I877" s="1">
        <v>45834</v>
      </c>
      <c r="J877">
        <f t="array" ref="J877">INDEX($D$3:$D$62,MATCH(1, (YEAR(I877)=YEAR($A$3:$A$62))*(MONTH(I877)=MONTH($A$3:$A$62)),0))</f>
        <v>59696.959714066325</v>
      </c>
      <c r="K877">
        <f t="array" ref="K877">INDEX($G$3:$G$200,MATCH(1, (YEAR(I877)=YEAR($A$3:$A$2000))*(MONTH(I877)=MONTH($A$3:$A$2000)),0))</f>
        <v>86838.617808934199</v>
      </c>
      <c r="L877">
        <f t="shared" si="27"/>
        <v>56861.02032465901</v>
      </c>
    </row>
    <row r="878" spans="4:12" x14ac:dyDescent="0.25">
      <c r="D878">
        <f t="shared" si="26"/>
        <v>0</v>
      </c>
      <c r="H878">
        <v>876</v>
      </c>
      <c r="I878" s="1">
        <v>45835</v>
      </c>
      <c r="J878">
        <f t="array" ref="J878">INDEX($D$3:$D$62,MATCH(1, (YEAR(I878)=YEAR($A$3:$A$62))*(MONTH(I878)=MONTH($A$3:$A$62)),0))</f>
        <v>59696.959714066325</v>
      </c>
      <c r="K878">
        <f t="array" ref="K878">INDEX($G$3:$G$200,MATCH(1, (YEAR(I878)=YEAR($A$3:$A$2000))*(MONTH(I878)=MONTH($A$3:$A$2000)),0))</f>
        <v>86838.617808934199</v>
      </c>
      <c r="L878">
        <f t="shared" si="27"/>
        <v>56817.772882223988</v>
      </c>
    </row>
    <row r="879" spans="4:12" x14ac:dyDescent="0.25">
      <c r="D879">
        <f t="shared" si="26"/>
        <v>0</v>
      </c>
      <c r="H879">
        <v>877</v>
      </c>
      <c r="I879" s="1">
        <v>45836</v>
      </c>
      <c r="J879">
        <f t="array" ref="J879">INDEX($D$3:$D$62,MATCH(1, (YEAR(I879)=YEAR($A$3:$A$62))*(MONTH(I879)=MONTH($A$3:$A$62)),0))</f>
        <v>59696.959714066325</v>
      </c>
      <c r="K879">
        <f t="array" ref="K879">INDEX($G$3:$G$200,MATCH(1, (YEAR(I879)=YEAR($A$3:$A$2000))*(MONTH(I879)=MONTH($A$3:$A$2000)),0))</f>
        <v>86838.617808934199</v>
      </c>
      <c r="L879">
        <f t="shared" si="27"/>
        <v>56774.587090908986</v>
      </c>
    </row>
    <row r="880" spans="4:12" x14ac:dyDescent="0.25">
      <c r="D880">
        <f t="shared" si="26"/>
        <v>0</v>
      </c>
      <c r="H880">
        <v>878</v>
      </c>
      <c r="I880" s="1">
        <v>45837</v>
      </c>
      <c r="J880">
        <f t="array" ref="J880">INDEX($D$3:$D$62,MATCH(1, (YEAR(I880)=YEAR($A$3:$A$62))*(MONTH(I880)=MONTH($A$3:$A$62)),0))</f>
        <v>59696.959714066325</v>
      </c>
      <c r="K880">
        <f t="array" ref="K880">INDEX($G$3:$G$200,MATCH(1, (YEAR(I880)=YEAR($A$3:$A$2000))*(MONTH(I880)=MONTH($A$3:$A$2000)),0))</f>
        <v>86838.617808934199</v>
      </c>
      <c r="L880">
        <f t="shared" si="27"/>
        <v>56731.462780511967</v>
      </c>
    </row>
    <row r="881" spans="4:12" x14ac:dyDescent="0.25">
      <c r="D881">
        <f t="shared" si="26"/>
        <v>0</v>
      </c>
      <c r="H881">
        <v>879</v>
      </c>
      <c r="I881" s="1">
        <v>45838</v>
      </c>
      <c r="J881">
        <f t="array" ref="J881">INDEX($D$3:$D$62,MATCH(1, (YEAR(I881)=YEAR($A$3:$A$62))*(MONTH(I881)=MONTH($A$3:$A$62)),0))</f>
        <v>59696.959714066325</v>
      </c>
      <c r="K881">
        <f t="array" ref="K881">INDEX($G$3:$G$200,MATCH(1, (YEAR(I881)=YEAR($A$3:$A$2000))*(MONTH(I881)=MONTH($A$3:$A$2000)),0))</f>
        <v>86838.617808934199</v>
      </c>
      <c r="L881">
        <f t="shared" si="27"/>
        <v>56688.399781118991</v>
      </c>
    </row>
    <row r="882" spans="4:12" x14ac:dyDescent="0.25">
      <c r="D882">
        <f t="shared" si="26"/>
        <v>0</v>
      </c>
      <c r="H882">
        <v>880</v>
      </c>
      <c r="I882" s="1">
        <v>45839</v>
      </c>
      <c r="J882">
        <f t="array" ref="J882">INDEX($D$3:$D$62,MATCH(1, (YEAR(I882)=YEAR($A$3:$A$62))*(MONTH(I882)=MONTH($A$3:$A$62)),0))</f>
        <v>57534.731304610417</v>
      </c>
      <c r="K882">
        <f t="array" ref="K882">INDEX($G$3:$G$200,MATCH(1, (YEAR(I882)=YEAR($A$3:$A$2000))*(MONTH(I882)=MONTH($A$3:$A$2000)),0))</f>
        <v>83981.468271034639</v>
      </c>
      <c r="L882">
        <f t="shared" si="27"/>
        <v>56645.397923103985</v>
      </c>
    </row>
    <row r="883" spans="4:12" x14ac:dyDescent="0.25">
      <c r="D883">
        <f t="shared" si="26"/>
        <v>0</v>
      </c>
      <c r="H883">
        <v>881</v>
      </c>
      <c r="I883" s="1">
        <v>45840</v>
      </c>
      <c r="J883">
        <f t="array" ref="J883">INDEX($D$3:$D$62,MATCH(1, (YEAR(I883)=YEAR($A$3:$A$62))*(MONTH(I883)=MONTH($A$3:$A$62)),0))</f>
        <v>57534.731304610417</v>
      </c>
      <c r="K883">
        <f t="array" ref="K883">INDEX($G$3:$G$200,MATCH(1, (YEAR(I883)=YEAR($A$3:$A$2000))*(MONTH(I883)=MONTH($A$3:$A$2000)),0))</f>
        <v>83981.468271034639</v>
      </c>
      <c r="L883">
        <f t="shared" si="27"/>
        <v>56602.457037128974</v>
      </c>
    </row>
    <row r="884" spans="4:12" x14ac:dyDescent="0.25">
      <c r="D884">
        <f t="shared" si="26"/>
        <v>0</v>
      </c>
      <c r="H884">
        <v>882</v>
      </c>
      <c r="I884" s="1">
        <v>45841</v>
      </c>
      <c r="J884">
        <f t="array" ref="J884">INDEX($D$3:$D$62,MATCH(1, (YEAR(I884)=YEAR($A$3:$A$62))*(MONTH(I884)=MONTH($A$3:$A$62)),0))</f>
        <v>57534.731304610417</v>
      </c>
      <c r="K884">
        <f t="array" ref="K884">INDEX($G$3:$G$200,MATCH(1, (YEAR(I884)=YEAR($A$3:$A$2000))*(MONTH(I884)=MONTH($A$3:$A$2000)),0))</f>
        <v>83981.468271034639</v>
      </c>
      <c r="L884">
        <f t="shared" si="27"/>
        <v>56559.57695414398</v>
      </c>
    </row>
    <row r="885" spans="4:12" x14ac:dyDescent="0.25">
      <c r="D885">
        <f t="shared" si="26"/>
        <v>0</v>
      </c>
      <c r="H885">
        <v>883</v>
      </c>
      <c r="I885" s="1">
        <v>45842</v>
      </c>
      <c r="J885">
        <f t="array" ref="J885">INDEX($D$3:$D$62,MATCH(1, (YEAR(I885)=YEAR($A$3:$A$62))*(MONTH(I885)=MONTH($A$3:$A$62)),0))</f>
        <v>57534.731304610417</v>
      </c>
      <c r="K885">
        <f t="array" ref="K885">INDEX($G$3:$G$200,MATCH(1, (YEAR(I885)=YEAR($A$3:$A$2000))*(MONTH(I885)=MONTH($A$3:$A$2000)),0))</f>
        <v>83981.468271034639</v>
      </c>
      <c r="L885">
        <f t="shared" si="27"/>
        <v>56516.75750538698</v>
      </c>
    </row>
    <row r="886" spans="4:12" x14ac:dyDescent="0.25">
      <c r="D886">
        <f t="shared" si="26"/>
        <v>0</v>
      </c>
      <c r="H886">
        <v>884</v>
      </c>
      <c r="I886" s="1">
        <v>45843</v>
      </c>
      <c r="J886">
        <f t="array" ref="J886">INDEX($D$3:$D$62,MATCH(1, (YEAR(I886)=YEAR($A$3:$A$62))*(MONTH(I886)=MONTH($A$3:$A$62)),0))</f>
        <v>57534.731304610417</v>
      </c>
      <c r="K886">
        <f t="array" ref="K886">INDEX($G$3:$G$200,MATCH(1, (YEAR(I886)=YEAR($A$3:$A$2000))*(MONTH(I886)=MONTH($A$3:$A$2000)),0))</f>
        <v>83981.468271034639</v>
      </c>
      <c r="L886">
        <f t="shared" si="27"/>
        <v>56473.998522383976</v>
      </c>
    </row>
    <row r="887" spans="4:12" x14ac:dyDescent="0.25">
      <c r="D887">
        <f t="shared" si="26"/>
        <v>0</v>
      </c>
      <c r="H887">
        <v>885</v>
      </c>
      <c r="I887" s="1">
        <v>45844</v>
      </c>
      <c r="J887">
        <f t="array" ref="J887">INDEX($D$3:$D$62,MATCH(1, (YEAR(I887)=YEAR($A$3:$A$62))*(MONTH(I887)=MONTH($A$3:$A$62)),0))</f>
        <v>57534.731304610417</v>
      </c>
      <c r="K887">
        <f t="array" ref="K887">INDEX($G$3:$G$200,MATCH(1, (YEAR(I887)=YEAR($A$3:$A$2000))*(MONTH(I887)=MONTH($A$3:$A$2000)),0))</f>
        <v>83981.468271034639</v>
      </c>
      <c r="L887">
        <f t="shared" si="27"/>
        <v>56431.29983694898</v>
      </c>
    </row>
    <row r="888" spans="4:12" x14ac:dyDescent="0.25">
      <c r="D888">
        <f t="shared" si="26"/>
        <v>0</v>
      </c>
      <c r="H888">
        <v>886</v>
      </c>
      <c r="I888" s="1">
        <v>45845</v>
      </c>
      <c r="J888">
        <f t="array" ref="J888">INDEX($D$3:$D$62,MATCH(1, (YEAR(I888)=YEAR($A$3:$A$62))*(MONTH(I888)=MONTH($A$3:$A$62)),0))</f>
        <v>57534.731304610417</v>
      </c>
      <c r="K888">
        <f t="array" ref="K888">INDEX($G$3:$G$200,MATCH(1, (YEAR(I888)=YEAR($A$3:$A$2000))*(MONTH(I888)=MONTH($A$3:$A$2000)),0))</f>
        <v>83981.468271034639</v>
      </c>
      <c r="L888">
        <f t="shared" si="27"/>
        <v>56388.661281183973</v>
      </c>
    </row>
    <row r="889" spans="4:12" x14ac:dyDescent="0.25">
      <c r="D889">
        <f t="shared" si="26"/>
        <v>0</v>
      </c>
      <c r="H889">
        <v>887</v>
      </c>
      <c r="I889" s="1">
        <v>45846</v>
      </c>
      <c r="J889">
        <f t="array" ref="J889">INDEX($D$3:$D$62,MATCH(1, (YEAR(I889)=YEAR($A$3:$A$62))*(MONTH(I889)=MONTH($A$3:$A$62)),0))</f>
        <v>57534.731304610417</v>
      </c>
      <c r="K889">
        <f t="array" ref="K889">INDEX($G$3:$G$200,MATCH(1, (YEAR(I889)=YEAR($A$3:$A$2000))*(MONTH(I889)=MONTH($A$3:$A$2000)),0))</f>
        <v>83981.468271034639</v>
      </c>
      <c r="L889">
        <f t="shared" si="27"/>
        <v>56346.082687479007</v>
      </c>
    </row>
    <row r="890" spans="4:12" x14ac:dyDescent="0.25">
      <c r="D890">
        <f t="shared" si="26"/>
        <v>0</v>
      </c>
      <c r="H890">
        <v>888</v>
      </c>
      <c r="I890" s="1">
        <v>45847</v>
      </c>
      <c r="J890">
        <f t="array" ref="J890">INDEX($D$3:$D$62,MATCH(1, (YEAR(I890)=YEAR($A$3:$A$62))*(MONTH(I890)=MONTH($A$3:$A$62)),0))</f>
        <v>57534.731304610417</v>
      </c>
      <c r="K890">
        <f t="array" ref="K890">INDEX($G$3:$G$200,MATCH(1, (YEAR(I890)=YEAR($A$3:$A$2000))*(MONTH(I890)=MONTH($A$3:$A$2000)),0))</f>
        <v>83981.468271034639</v>
      </c>
      <c r="L890">
        <f t="shared" si="27"/>
        <v>56303.563888511999</v>
      </c>
    </row>
    <row r="891" spans="4:12" x14ac:dyDescent="0.25">
      <c r="D891">
        <f t="shared" si="26"/>
        <v>0</v>
      </c>
      <c r="H891">
        <v>889</v>
      </c>
      <c r="I891" s="1">
        <v>45848</v>
      </c>
      <c r="J891">
        <f t="array" ref="J891">INDEX($D$3:$D$62,MATCH(1, (YEAR(I891)=YEAR($A$3:$A$62))*(MONTH(I891)=MONTH($A$3:$A$62)),0))</f>
        <v>57534.731304610417</v>
      </c>
      <c r="K891">
        <f t="array" ref="K891">INDEX($G$3:$G$200,MATCH(1, (YEAR(I891)=YEAR($A$3:$A$2000))*(MONTH(I891)=MONTH($A$3:$A$2000)),0))</f>
        <v>83981.468271034639</v>
      </c>
      <c r="L891">
        <f t="shared" si="27"/>
        <v>56261.104717248978</v>
      </c>
    </row>
    <row r="892" spans="4:12" x14ac:dyDescent="0.25">
      <c r="D892">
        <f t="shared" si="26"/>
        <v>0</v>
      </c>
      <c r="H892">
        <v>890</v>
      </c>
      <c r="I892" s="1">
        <v>45849</v>
      </c>
      <c r="J892">
        <f t="array" ref="J892">INDEX($D$3:$D$62,MATCH(1, (YEAR(I892)=YEAR($A$3:$A$62))*(MONTH(I892)=MONTH($A$3:$A$62)),0))</f>
        <v>57534.731304610417</v>
      </c>
      <c r="K892">
        <f t="array" ref="K892">INDEX($G$3:$G$200,MATCH(1, (YEAR(I892)=YEAR($A$3:$A$2000))*(MONTH(I892)=MONTH($A$3:$A$2000)),0))</f>
        <v>83981.468271034639</v>
      </c>
      <c r="L892">
        <f t="shared" si="27"/>
        <v>56218.705006943957</v>
      </c>
    </row>
    <row r="893" spans="4:12" x14ac:dyDescent="0.25">
      <c r="D893">
        <f t="shared" si="26"/>
        <v>0</v>
      </c>
      <c r="H893">
        <v>891</v>
      </c>
      <c r="I893" s="1">
        <v>45850</v>
      </c>
      <c r="J893">
        <f t="array" ref="J893">INDEX($D$3:$D$62,MATCH(1, (YEAR(I893)=YEAR($A$3:$A$62))*(MONTH(I893)=MONTH($A$3:$A$62)),0))</f>
        <v>57534.731304610417</v>
      </c>
      <c r="K893">
        <f t="array" ref="K893">INDEX($G$3:$G$200,MATCH(1, (YEAR(I893)=YEAR($A$3:$A$2000))*(MONTH(I893)=MONTH($A$3:$A$2000)),0))</f>
        <v>83981.468271034639</v>
      </c>
      <c r="L893">
        <f t="shared" si="27"/>
        <v>56176.36459113899</v>
      </c>
    </row>
    <row r="894" spans="4:12" x14ac:dyDescent="0.25">
      <c r="D894">
        <f t="shared" si="26"/>
        <v>0</v>
      </c>
      <c r="H894">
        <v>892</v>
      </c>
      <c r="I894" s="1">
        <v>45851</v>
      </c>
      <c r="J894">
        <f t="array" ref="J894">INDEX($D$3:$D$62,MATCH(1, (YEAR(I894)=YEAR($A$3:$A$62))*(MONTH(I894)=MONTH($A$3:$A$62)),0))</f>
        <v>57534.731304610417</v>
      </c>
      <c r="K894">
        <f t="array" ref="K894">INDEX($G$3:$G$200,MATCH(1, (YEAR(I894)=YEAR($A$3:$A$2000))*(MONTH(I894)=MONTH($A$3:$A$2000)),0))</f>
        <v>83981.468271034639</v>
      </c>
      <c r="L894">
        <f t="shared" si="27"/>
        <v>56134.083303663996</v>
      </c>
    </row>
    <row r="895" spans="4:12" x14ac:dyDescent="0.25">
      <c r="D895">
        <f t="shared" si="26"/>
        <v>0</v>
      </c>
      <c r="H895">
        <v>893</v>
      </c>
      <c r="I895" s="1">
        <v>45852</v>
      </c>
      <c r="J895">
        <f t="array" ref="J895">INDEX($D$3:$D$62,MATCH(1, (YEAR(I895)=YEAR($A$3:$A$62))*(MONTH(I895)=MONTH($A$3:$A$62)),0))</f>
        <v>57534.731304610417</v>
      </c>
      <c r="K895">
        <f t="array" ref="K895">INDEX($G$3:$G$200,MATCH(1, (YEAR(I895)=YEAR($A$3:$A$2000))*(MONTH(I895)=MONTH($A$3:$A$2000)),0))</f>
        <v>83981.468271034639</v>
      </c>
      <c r="L895">
        <f t="shared" si="27"/>
        <v>56091.860978636978</v>
      </c>
    </row>
    <row r="896" spans="4:12" x14ac:dyDescent="0.25">
      <c r="D896">
        <f t="shared" si="26"/>
        <v>0</v>
      </c>
      <c r="H896">
        <v>894</v>
      </c>
      <c r="I896" s="1">
        <v>45853</v>
      </c>
      <c r="J896">
        <f t="array" ref="J896">INDEX($D$3:$D$62,MATCH(1, (YEAR(I896)=YEAR($A$3:$A$62))*(MONTH(I896)=MONTH($A$3:$A$62)),0))</f>
        <v>57534.731304610417</v>
      </c>
      <c r="K896">
        <f t="array" ref="K896">INDEX($G$3:$G$200,MATCH(1, (YEAR(I896)=YEAR($A$3:$A$2000))*(MONTH(I896)=MONTH($A$3:$A$2000)),0))</f>
        <v>83981.468271034639</v>
      </c>
      <c r="L896">
        <f t="shared" si="27"/>
        <v>56049.69745046398</v>
      </c>
    </row>
    <row r="897" spans="4:12" x14ac:dyDescent="0.25">
      <c r="D897">
        <f t="shared" si="26"/>
        <v>0</v>
      </c>
      <c r="H897">
        <v>895</v>
      </c>
      <c r="I897" s="1">
        <v>45854</v>
      </c>
      <c r="J897">
        <f t="array" ref="J897">INDEX($D$3:$D$62,MATCH(1, (YEAR(I897)=YEAR($A$3:$A$62))*(MONTH(I897)=MONTH($A$3:$A$62)),0))</f>
        <v>57534.731304610417</v>
      </c>
      <c r="K897">
        <f t="array" ref="K897">INDEX($G$3:$G$200,MATCH(1, (YEAR(I897)=YEAR($A$3:$A$2000))*(MONTH(I897)=MONTH($A$3:$A$2000)),0))</f>
        <v>83981.468271034639</v>
      </c>
      <c r="L897">
        <f t="shared" si="27"/>
        <v>56007.592553838986</v>
      </c>
    </row>
    <row r="898" spans="4:12" x14ac:dyDescent="0.25">
      <c r="D898">
        <f t="shared" si="26"/>
        <v>0</v>
      </c>
      <c r="H898">
        <v>896</v>
      </c>
      <c r="I898" s="1">
        <v>45855</v>
      </c>
      <c r="J898">
        <f t="array" ref="J898">INDEX($D$3:$D$62,MATCH(1, (YEAR(I898)=YEAR($A$3:$A$62))*(MONTH(I898)=MONTH($A$3:$A$62)),0))</f>
        <v>57534.731304610417</v>
      </c>
      <c r="K898">
        <f t="array" ref="K898">INDEX($G$3:$G$200,MATCH(1, (YEAR(I898)=YEAR($A$3:$A$2000))*(MONTH(I898)=MONTH($A$3:$A$2000)),0))</f>
        <v>83981.468271034639</v>
      </c>
      <c r="L898">
        <f t="shared" si="27"/>
        <v>55965.546123743974</v>
      </c>
    </row>
    <row r="899" spans="4:12" x14ac:dyDescent="0.25">
      <c r="D899">
        <f t="shared" si="26"/>
        <v>0</v>
      </c>
      <c r="H899">
        <v>897</v>
      </c>
      <c r="I899" s="1">
        <v>45856</v>
      </c>
      <c r="J899">
        <f t="array" ref="J899">INDEX($D$3:$D$62,MATCH(1, (YEAR(I899)=YEAR($A$3:$A$62))*(MONTH(I899)=MONTH($A$3:$A$62)),0))</f>
        <v>57534.731304610417</v>
      </c>
      <c r="K899">
        <f t="array" ref="K899">INDEX($G$3:$G$200,MATCH(1, (YEAR(I899)=YEAR($A$3:$A$2000))*(MONTH(I899)=MONTH($A$3:$A$2000)),0))</f>
        <v>83981.468271034639</v>
      </c>
      <c r="L899">
        <f t="shared" si="27"/>
        <v>55923.55799544898</v>
      </c>
    </row>
    <row r="900" spans="4:12" x14ac:dyDescent="0.25">
      <c r="D900">
        <f t="shared" ref="D900:D963" si="28">SUM(B900:C900)</f>
        <v>0</v>
      </c>
      <c r="H900">
        <v>898</v>
      </c>
      <c r="I900" s="1">
        <v>45857</v>
      </c>
      <c r="J900">
        <f t="array" ref="J900">INDEX($D$3:$D$62,MATCH(1, (YEAR(I900)=YEAR($A$3:$A$62))*(MONTH(I900)=MONTH($A$3:$A$62)),0))</f>
        <v>57534.731304610417</v>
      </c>
      <c r="K900">
        <f t="array" ref="K900">INDEX($G$3:$G$200,MATCH(1, (YEAR(I900)=YEAR($A$3:$A$2000))*(MONTH(I900)=MONTH($A$3:$A$2000)),0))</f>
        <v>83981.468271034639</v>
      </c>
      <c r="L900">
        <f t="shared" ref="L900:L963" si="29">0.000000012*H900^4-0.000070439*H900^3+0.160688168*H900^2-194.849290676*H900+144481.718306784</f>
        <v>55881.628004511993</v>
      </c>
    </row>
    <row r="901" spans="4:12" x14ac:dyDescent="0.25">
      <c r="D901">
        <f t="shared" si="28"/>
        <v>0</v>
      </c>
      <c r="H901">
        <v>899</v>
      </c>
      <c r="I901" s="1">
        <v>45858</v>
      </c>
      <c r="J901">
        <f t="array" ref="J901">INDEX($D$3:$D$62,MATCH(1, (YEAR(I901)=YEAR($A$3:$A$62))*(MONTH(I901)=MONTH($A$3:$A$62)),0))</f>
        <v>57534.731304610417</v>
      </c>
      <c r="K901">
        <f t="array" ref="K901">INDEX($G$3:$G$200,MATCH(1, (YEAR(I901)=YEAR($A$3:$A$2000))*(MONTH(I901)=MONTH($A$3:$A$2000)),0))</f>
        <v>83981.468271034639</v>
      </c>
      <c r="L901">
        <f t="shared" si="29"/>
        <v>55839.755986778997</v>
      </c>
    </row>
    <row r="902" spans="4:12" x14ac:dyDescent="0.25">
      <c r="D902">
        <f t="shared" si="28"/>
        <v>0</v>
      </c>
      <c r="H902">
        <v>900</v>
      </c>
      <c r="I902" s="1">
        <v>45859</v>
      </c>
      <c r="J902">
        <f t="array" ref="J902">INDEX($D$3:$D$62,MATCH(1, (YEAR(I902)=YEAR($A$3:$A$62))*(MONTH(I902)=MONTH($A$3:$A$62)),0))</f>
        <v>57534.731304610417</v>
      </c>
      <c r="K902">
        <f t="array" ref="K902">INDEX($G$3:$G$200,MATCH(1, (YEAR(I902)=YEAR($A$3:$A$2000))*(MONTH(I902)=MONTH($A$3:$A$2000)),0))</f>
        <v>83981.468271034639</v>
      </c>
      <c r="L902">
        <f t="shared" si="29"/>
        <v>55797.941778383974</v>
      </c>
    </row>
    <row r="903" spans="4:12" x14ac:dyDescent="0.25">
      <c r="D903">
        <f t="shared" si="28"/>
        <v>0</v>
      </c>
      <c r="H903">
        <v>901</v>
      </c>
      <c r="I903" s="1">
        <v>45860</v>
      </c>
      <c r="J903">
        <f t="array" ref="J903">INDEX($D$3:$D$62,MATCH(1, (YEAR(I903)=YEAR($A$3:$A$62))*(MONTH(I903)=MONTH($A$3:$A$62)),0))</f>
        <v>57534.731304610417</v>
      </c>
      <c r="K903">
        <f t="array" ref="K903">INDEX($G$3:$G$200,MATCH(1, (YEAR(I903)=YEAR($A$3:$A$2000))*(MONTH(I903)=MONTH($A$3:$A$2000)),0))</f>
        <v>83981.468271034639</v>
      </c>
      <c r="L903">
        <f t="shared" si="29"/>
        <v>55756.185215748963</v>
      </c>
    </row>
    <row r="904" spans="4:12" x14ac:dyDescent="0.25">
      <c r="D904">
        <f t="shared" si="28"/>
        <v>0</v>
      </c>
      <c r="H904">
        <v>902</v>
      </c>
      <c r="I904" s="1">
        <v>45861</v>
      </c>
      <c r="J904">
        <f t="array" ref="J904">INDEX($D$3:$D$62,MATCH(1, (YEAR(I904)=YEAR($A$3:$A$62))*(MONTH(I904)=MONTH($A$3:$A$62)),0))</f>
        <v>57534.731304610417</v>
      </c>
      <c r="K904">
        <f t="array" ref="K904">INDEX($G$3:$G$200,MATCH(1, (YEAR(I904)=YEAR($A$3:$A$2000))*(MONTH(I904)=MONTH($A$3:$A$2000)),0))</f>
        <v>83981.468271034639</v>
      </c>
      <c r="L904">
        <f t="shared" si="29"/>
        <v>55714.486135583997</v>
      </c>
    </row>
    <row r="905" spans="4:12" x14ac:dyDescent="0.25">
      <c r="D905">
        <f t="shared" si="28"/>
        <v>0</v>
      </c>
      <c r="H905">
        <v>903</v>
      </c>
      <c r="I905" s="1">
        <v>45862</v>
      </c>
      <c r="J905">
        <f t="array" ref="J905">INDEX($D$3:$D$62,MATCH(1, (YEAR(I905)=YEAR($A$3:$A$62))*(MONTH(I905)=MONTH($A$3:$A$62)),0))</f>
        <v>57534.731304610417</v>
      </c>
      <c r="K905">
        <f t="array" ref="K905">INDEX($G$3:$G$200,MATCH(1, (YEAR(I905)=YEAR($A$3:$A$2000))*(MONTH(I905)=MONTH($A$3:$A$2000)),0))</f>
        <v>83981.468271034639</v>
      </c>
      <c r="L905">
        <f t="shared" si="29"/>
        <v>55672.84437488699</v>
      </c>
    </row>
    <row r="906" spans="4:12" x14ac:dyDescent="0.25">
      <c r="D906">
        <f t="shared" si="28"/>
        <v>0</v>
      </c>
      <c r="H906">
        <v>904</v>
      </c>
      <c r="I906" s="1">
        <v>45863</v>
      </c>
      <c r="J906">
        <f t="array" ref="J906">INDEX($D$3:$D$62,MATCH(1, (YEAR(I906)=YEAR($A$3:$A$62))*(MONTH(I906)=MONTH($A$3:$A$62)),0))</f>
        <v>57534.731304610417</v>
      </c>
      <c r="K906">
        <f t="array" ref="K906">INDEX($G$3:$G$200,MATCH(1, (YEAR(I906)=YEAR($A$3:$A$2000))*(MONTH(I906)=MONTH($A$3:$A$2000)),0))</f>
        <v>83981.468271034639</v>
      </c>
      <c r="L906">
        <f t="shared" si="29"/>
        <v>55631.259770943972</v>
      </c>
    </row>
    <row r="907" spans="4:12" x14ac:dyDescent="0.25">
      <c r="D907">
        <f t="shared" si="28"/>
        <v>0</v>
      </c>
      <c r="H907">
        <v>905</v>
      </c>
      <c r="I907" s="1">
        <v>45864</v>
      </c>
      <c r="J907">
        <f t="array" ref="J907">INDEX($D$3:$D$62,MATCH(1, (YEAR(I907)=YEAR($A$3:$A$62))*(MONTH(I907)=MONTH($A$3:$A$62)),0))</f>
        <v>57534.731304610417</v>
      </c>
      <c r="K907">
        <f t="array" ref="K907">INDEX($G$3:$G$200,MATCH(1, (YEAR(I907)=YEAR($A$3:$A$2000))*(MONTH(I907)=MONTH($A$3:$A$2000)),0))</f>
        <v>83981.468271034639</v>
      </c>
      <c r="L907">
        <f t="shared" si="29"/>
        <v>55589.732161328982</v>
      </c>
    </row>
    <row r="908" spans="4:12" x14ac:dyDescent="0.25">
      <c r="D908">
        <f t="shared" si="28"/>
        <v>0</v>
      </c>
      <c r="H908">
        <v>906</v>
      </c>
      <c r="I908" s="1">
        <v>45865</v>
      </c>
      <c r="J908">
        <f t="array" ref="J908">INDEX($D$3:$D$62,MATCH(1, (YEAR(I908)=YEAR($A$3:$A$62))*(MONTH(I908)=MONTH($A$3:$A$62)),0))</f>
        <v>57534.731304610417</v>
      </c>
      <c r="K908">
        <f t="array" ref="K908">INDEX($G$3:$G$200,MATCH(1, (YEAR(I908)=YEAR($A$3:$A$2000))*(MONTH(I908)=MONTH($A$3:$A$2000)),0))</f>
        <v>83981.468271034639</v>
      </c>
      <c r="L908">
        <f t="shared" si="29"/>
        <v>55548.261383903999</v>
      </c>
    </row>
    <row r="909" spans="4:12" x14ac:dyDescent="0.25">
      <c r="D909">
        <f t="shared" si="28"/>
        <v>0</v>
      </c>
      <c r="H909">
        <v>907</v>
      </c>
      <c r="I909" s="1">
        <v>45866</v>
      </c>
      <c r="J909">
        <f t="array" ref="J909">INDEX($D$3:$D$62,MATCH(1, (YEAR(I909)=YEAR($A$3:$A$62))*(MONTH(I909)=MONTH($A$3:$A$62)),0))</f>
        <v>57534.731304610417</v>
      </c>
      <c r="K909">
        <f t="array" ref="K909">INDEX($G$3:$G$200,MATCH(1, (YEAR(I909)=YEAR($A$3:$A$2000))*(MONTH(I909)=MONTH($A$3:$A$2000)),0))</f>
        <v>83981.468271034639</v>
      </c>
      <c r="L909">
        <f t="shared" si="29"/>
        <v>55506.847276818997</v>
      </c>
    </row>
    <row r="910" spans="4:12" x14ac:dyDescent="0.25">
      <c r="D910">
        <f t="shared" si="28"/>
        <v>0</v>
      </c>
      <c r="H910">
        <v>908</v>
      </c>
      <c r="I910" s="1">
        <v>45867</v>
      </c>
      <c r="J910">
        <f t="array" ref="J910">INDEX($D$3:$D$62,MATCH(1, (YEAR(I910)=YEAR($A$3:$A$62))*(MONTH(I910)=MONTH($A$3:$A$62)),0))</f>
        <v>57534.731304610417</v>
      </c>
      <c r="K910">
        <f t="array" ref="K910">INDEX($G$3:$G$200,MATCH(1, (YEAR(I910)=YEAR($A$3:$A$2000))*(MONTH(I910)=MONTH($A$3:$A$2000)),0))</f>
        <v>83981.468271034639</v>
      </c>
      <c r="L910">
        <f t="shared" si="29"/>
        <v>55465.489678511964</v>
      </c>
    </row>
    <row r="911" spans="4:12" x14ac:dyDescent="0.25">
      <c r="D911">
        <f t="shared" si="28"/>
        <v>0</v>
      </c>
      <c r="H911">
        <v>909</v>
      </c>
      <c r="I911" s="1">
        <v>45868</v>
      </c>
      <c r="J911">
        <f t="array" ref="J911">INDEX($D$3:$D$62,MATCH(1, (YEAR(I911)=YEAR($A$3:$A$62))*(MONTH(I911)=MONTH($A$3:$A$62)),0))</f>
        <v>57534.731304610417</v>
      </c>
      <c r="K911">
        <f t="array" ref="K911">INDEX($G$3:$G$200,MATCH(1, (YEAR(I911)=YEAR($A$3:$A$2000))*(MONTH(I911)=MONTH($A$3:$A$2000)),0))</f>
        <v>83981.468271034639</v>
      </c>
      <c r="L911">
        <f t="shared" si="29"/>
        <v>55424.188427708985</v>
      </c>
    </row>
    <row r="912" spans="4:12" x14ac:dyDescent="0.25">
      <c r="D912">
        <f t="shared" si="28"/>
        <v>0</v>
      </c>
      <c r="H912">
        <v>910</v>
      </c>
      <c r="I912" s="1">
        <v>45869</v>
      </c>
      <c r="J912">
        <f t="array" ref="J912">INDEX($D$3:$D$62,MATCH(1, (YEAR(I912)=YEAR($A$3:$A$62))*(MONTH(I912)=MONTH($A$3:$A$62)),0))</f>
        <v>57534.731304610417</v>
      </c>
      <c r="K912">
        <f t="array" ref="K912">INDEX($G$3:$G$200,MATCH(1, (YEAR(I912)=YEAR($A$3:$A$2000))*(MONTH(I912)=MONTH($A$3:$A$2000)),0))</f>
        <v>83981.468271034639</v>
      </c>
      <c r="L912">
        <f t="shared" si="29"/>
        <v>55382.943363423983</v>
      </c>
    </row>
    <row r="913" spans="4:12" x14ac:dyDescent="0.25">
      <c r="D913">
        <f t="shared" si="28"/>
        <v>0</v>
      </c>
      <c r="H913">
        <v>911</v>
      </c>
      <c r="I913" s="1">
        <v>45870</v>
      </c>
      <c r="J913">
        <f t="array" ref="J913">INDEX($D$3:$D$62,MATCH(1, (YEAR(I913)=YEAR($A$3:$A$62))*(MONTH(I913)=MONTH($A$3:$A$62)),0))</f>
        <v>55724.652853714826</v>
      </c>
      <c r="K913">
        <f t="array" ref="K913">INDEX($G$3:$G$200,MATCH(1, (YEAR(I913)=YEAR($A$3:$A$2000))*(MONTH(I913)=MONTH($A$3:$A$2000)),0))</f>
        <v>81598.093359535706</v>
      </c>
      <c r="L913">
        <f t="shared" si="29"/>
        <v>55341.754324958994</v>
      </c>
    </row>
    <row r="914" spans="4:12" x14ac:dyDescent="0.25">
      <c r="D914">
        <f t="shared" si="28"/>
        <v>0</v>
      </c>
      <c r="H914">
        <v>912</v>
      </c>
      <c r="I914" s="1">
        <v>45871</v>
      </c>
      <c r="J914">
        <f t="array" ref="J914">INDEX($D$3:$D$62,MATCH(1, (YEAR(I914)=YEAR($A$3:$A$62))*(MONTH(I914)=MONTH($A$3:$A$62)),0))</f>
        <v>55724.652853714826</v>
      </c>
      <c r="K914">
        <f t="array" ref="K914">INDEX($G$3:$G$200,MATCH(1, (YEAR(I914)=YEAR($A$3:$A$2000))*(MONTH(I914)=MONTH($A$3:$A$2000)),0))</f>
        <v>81598.093359535706</v>
      </c>
      <c r="L914">
        <f t="shared" si="29"/>
        <v>55300.621151903993</v>
      </c>
    </row>
    <row r="915" spans="4:12" x14ac:dyDescent="0.25">
      <c r="D915">
        <f t="shared" si="28"/>
        <v>0</v>
      </c>
      <c r="H915">
        <v>913</v>
      </c>
      <c r="I915" s="1">
        <v>45872</v>
      </c>
      <c r="J915">
        <f t="array" ref="J915">INDEX($D$3:$D$62,MATCH(1, (YEAR(I915)=YEAR($A$3:$A$62))*(MONTH(I915)=MONTH($A$3:$A$62)),0))</f>
        <v>55724.652853714826</v>
      </c>
      <c r="K915">
        <f t="array" ref="K915">INDEX($G$3:$G$200,MATCH(1, (YEAR(I915)=YEAR($A$3:$A$2000))*(MONTH(I915)=MONTH($A$3:$A$2000)),0))</f>
        <v>81598.093359535706</v>
      </c>
      <c r="L915">
        <f t="shared" si="29"/>
        <v>55259.543684136952</v>
      </c>
    </row>
    <row r="916" spans="4:12" x14ac:dyDescent="0.25">
      <c r="D916">
        <f t="shared" si="28"/>
        <v>0</v>
      </c>
      <c r="H916">
        <v>914</v>
      </c>
      <c r="I916" s="1">
        <v>45873</v>
      </c>
      <c r="J916">
        <f t="array" ref="J916">INDEX($D$3:$D$62,MATCH(1, (YEAR(I916)=YEAR($A$3:$A$62))*(MONTH(I916)=MONTH($A$3:$A$62)),0))</f>
        <v>55724.652853714826</v>
      </c>
      <c r="K916">
        <f t="array" ref="K916">INDEX($G$3:$G$200,MATCH(1, (YEAR(I916)=YEAR($A$3:$A$2000))*(MONTH(I916)=MONTH($A$3:$A$2000)),0))</f>
        <v>81598.093359535706</v>
      </c>
      <c r="L916">
        <f t="shared" si="29"/>
        <v>55218.521761823999</v>
      </c>
    </row>
    <row r="917" spans="4:12" x14ac:dyDescent="0.25">
      <c r="D917">
        <f t="shared" si="28"/>
        <v>0</v>
      </c>
      <c r="H917">
        <v>915</v>
      </c>
      <c r="I917" s="1">
        <v>45874</v>
      </c>
      <c r="J917">
        <f t="array" ref="J917">INDEX($D$3:$D$62,MATCH(1, (YEAR(I917)=YEAR($A$3:$A$62))*(MONTH(I917)=MONTH($A$3:$A$62)),0))</f>
        <v>55724.652853714826</v>
      </c>
      <c r="K917">
        <f t="array" ref="K917">INDEX($G$3:$G$200,MATCH(1, (YEAR(I917)=YEAR($A$3:$A$2000))*(MONTH(I917)=MONTH($A$3:$A$2000)),0))</f>
        <v>81598.093359535706</v>
      </c>
      <c r="L917">
        <f t="shared" si="29"/>
        <v>55177.555225418997</v>
      </c>
    </row>
    <row r="918" spans="4:12" x14ac:dyDescent="0.25">
      <c r="D918">
        <f t="shared" si="28"/>
        <v>0</v>
      </c>
      <c r="H918">
        <v>916</v>
      </c>
      <c r="I918" s="1">
        <v>45875</v>
      </c>
      <c r="J918">
        <f t="array" ref="J918">INDEX($D$3:$D$62,MATCH(1, (YEAR(I918)=YEAR($A$3:$A$62))*(MONTH(I918)=MONTH($A$3:$A$62)),0))</f>
        <v>55724.652853714826</v>
      </c>
      <c r="K918">
        <f t="array" ref="K918">INDEX($G$3:$G$200,MATCH(1, (YEAR(I918)=YEAR($A$3:$A$2000))*(MONTH(I918)=MONTH($A$3:$A$2000)),0))</f>
        <v>81598.093359535706</v>
      </c>
      <c r="L918">
        <f t="shared" si="29"/>
        <v>55136.643915663968</v>
      </c>
    </row>
    <row r="919" spans="4:12" x14ac:dyDescent="0.25">
      <c r="D919">
        <f t="shared" si="28"/>
        <v>0</v>
      </c>
      <c r="H919">
        <v>917</v>
      </c>
      <c r="I919" s="1">
        <v>45876</v>
      </c>
      <c r="J919">
        <f t="array" ref="J919">INDEX($D$3:$D$62,MATCH(1, (YEAR(I919)=YEAR($A$3:$A$62))*(MONTH(I919)=MONTH($A$3:$A$62)),0))</f>
        <v>55724.652853714826</v>
      </c>
      <c r="K919">
        <f t="array" ref="K919">INDEX($G$3:$G$200,MATCH(1, (YEAR(I919)=YEAR($A$3:$A$2000))*(MONTH(I919)=MONTH($A$3:$A$2000)),0))</f>
        <v>81598.093359535706</v>
      </c>
      <c r="L919">
        <f t="shared" si="29"/>
        <v>55095.787673588959</v>
      </c>
    </row>
    <row r="920" spans="4:12" x14ac:dyDescent="0.25">
      <c r="D920">
        <f t="shared" si="28"/>
        <v>0</v>
      </c>
      <c r="H920">
        <v>918</v>
      </c>
      <c r="I920" s="1">
        <v>45877</v>
      </c>
      <c r="J920">
        <f t="array" ref="J920">INDEX($D$3:$D$62,MATCH(1, (YEAR(I920)=YEAR($A$3:$A$62))*(MONTH(I920)=MONTH($A$3:$A$62)),0))</f>
        <v>55724.652853714826</v>
      </c>
      <c r="K920">
        <f t="array" ref="K920">INDEX($G$3:$G$200,MATCH(1, (YEAR(I920)=YEAR($A$3:$A$2000))*(MONTH(I920)=MONTH($A$3:$A$2000)),0))</f>
        <v>81598.093359535706</v>
      </c>
      <c r="L920">
        <f t="shared" si="29"/>
        <v>55054.986340511998</v>
      </c>
    </row>
    <row r="921" spans="4:12" x14ac:dyDescent="0.25">
      <c r="D921">
        <f t="shared" si="28"/>
        <v>0</v>
      </c>
      <c r="H921">
        <v>919</v>
      </c>
      <c r="I921" s="1">
        <v>45878</v>
      </c>
      <c r="J921">
        <f t="array" ref="J921">INDEX($D$3:$D$62,MATCH(1, (YEAR(I921)=YEAR($A$3:$A$62))*(MONTH(I921)=MONTH($A$3:$A$62)),0))</f>
        <v>55724.652853714826</v>
      </c>
      <c r="K921">
        <f t="array" ref="K921">INDEX($G$3:$G$200,MATCH(1, (YEAR(I921)=YEAR($A$3:$A$2000))*(MONTH(I921)=MONTH($A$3:$A$2000)),0))</f>
        <v>81598.093359535706</v>
      </c>
      <c r="L921">
        <f t="shared" si="29"/>
        <v>55014.239758038966</v>
      </c>
    </row>
    <row r="922" spans="4:12" x14ac:dyDescent="0.25">
      <c r="D922">
        <f t="shared" si="28"/>
        <v>0</v>
      </c>
      <c r="H922">
        <v>920</v>
      </c>
      <c r="I922" s="1">
        <v>45879</v>
      </c>
      <c r="J922">
        <f t="array" ref="J922">INDEX($D$3:$D$62,MATCH(1, (YEAR(I922)=YEAR($A$3:$A$62))*(MONTH(I922)=MONTH($A$3:$A$62)),0))</f>
        <v>55724.652853714826</v>
      </c>
      <c r="K922">
        <f t="array" ref="K922">INDEX($G$3:$G$200,MATCH(1, (YEAR(I922)=YEAR($A$3:$A$2000))*(MONTH(I922)=MONTH($A$3:$A$2000)),0))</f>
        <v>81598.093359535706</v>
      </c>
      <c r="L922">
        <f t="shared" si="29"/>
        <v>54973.547768063989</v>
      </c>
    </row>
    <row r="923" spans="4:12" x14ac:dyDescent="0.25">
      <c r="D923">
        <f t="shared" si="28"/>
        <v>0</v>
      </c>
      <c r="H923">
        <v>921</v>
      </c>
      <c r="I923" s="1">
        <v>45880</v>
      </c>
      <c r="J923">
        <f t="array" ref="J923">INDEX($D$3:$D$62,MATCH(1, (YEAR(I923)=YEAR($A$3:$A$62))*(MONTH(I923)=MONTH($A$3:$A$62)),0))</f>
        <v>55724.652853714826</v>
      </c>
      <c r="K923">
        <f t="array" ref="K923">INDEX($G$3:$G$200,MATCH(1, (YEAR(I923)=YEAR($A$3:$A$2000))*(MONTH(I923)=MONTH($A$3:$A$2000)),0))</f>
        <v>81598.093359535706</v>
      </c>
      <c r="L923">
        <f t="shared" si="29"/>
        <v>54932.910212768969</v>
      </c>
    </row>
    <row r="924" spans="4:12" x14ac:dyDescent="0.25">
      <c r="D924">
        <f t="shared" si="28"/>
        <v>0</v>
      </c>
      <c r="H924">
        <v>922</v>
      </c>
      <c r="I924" s="1">
        <v>45881</v>
      </c>
      <c r="J924">
        <f t="array" ref="J924">INDEX($D$3:$D$62,MATCH(1, (YEAR(I924)=YEAR($A$3:$A$62))*(MONTH(I924)=MONTH($A$3:$A$62)),0))</f>
        <v>55724.652853714826</v>
      </c>
      <c r="K924">
        <f t="array" ref="K924">INDEX($G$3:$G$200,MATCH(1, (YEAR(I924)=YEAR($A$3:$A$2000))*(MONTH(I924)=MONTH($A$3:$A$2000)),0))</f>
        <v>81598.093359535706</v>
      </c>
      <c r="L924">
        <f t="shared" si="29"/>
        <v>54892.326934623983</v>
      </c>
    </row>
    <row r="925" spans="4:12" x14ac:dyDescent="0.25">
      <c r="D925">
        <f t="shared" si="28"/>
        <v>0</v>
      </c>
      <c r="H925">
        <v>923</v>
      </c>
      <c r="I925" s="1">
        <v>45882</v>
      </c>
      <c r="J925">
        <f t="array" ref="J925">INDEX($D$3:$D$62,MATCH(1, (YEAR(I925)=YEAR($A$3:$A$62))*(MONTH(I925)=MONTH($A$3:$A$62)),0))</f>
        <v>55724.652853714826</v>
      </c>
      <c r="K925">
        <f t="array" ref="K925">INDEX($G$3:$G$200,MATCH(1, (YEAR(I925)=YEAR($A$3:$A$2000))*(MONTH(I925)=MONTH($A$3:$A$2000)),0))</f>
        <v>81598.093359535706</v>
      </c>
      <c r="L925">
        <f t="shared" si="29"/>
        <v>54851.797776386971</v>
      </c>
    </row>
    <row r="926" spans="4:12" x14ac:dyDescent="0.25">
      <c r="D926">
        <f t="shared" si="28"/>
        <v>0</v>
      </c>
      <c r="H926">
        <v>924</v>
      </c>
      <c r="I926" s="1">
        <v>45883</v>
      </c>
      <c r="J926">
        <f t="array" ref="J926">INDEX($D$3:$D$62,MATCH(1, (YEAR(I926)=YEAR($A$3:$A$62))*(MONTH(I926)=MONTH($A$3:$A$62)),0))</f>
        <v>55724.652853714826</v>
      </c>
      <c r="K926">
        <f t="array" ref="K926">INDEX($G$3:$G$200,MATCH(1, (YEAR(I926)=YEAR($A$3:$A$2000))*(MONTH(I926)=MONTH($A$3:$A$2000)),0))</f>
        <v>81598.093359535706</v>
      </c>
      <c r="L926">
        <f t="shared" si="29"/>
        <v>54811.322581103974</v>
      </c>
    </row>
    <row r="927" spans="4:12" x14ac:dyDescent="0.25">
      <c r="D927">
        <f t="shared" si="28"/>
        <v>0</v>
      </c>
      <c r="H927">
        <v>925</v>
      </c>
      <c r="I927" s="1">
        <v>45884</v>
      </c>
      <c r="J927">
        <f t="array" ref="J927">INDEX($D$3:$D$62,MATCH(1, (YEAR(I927)=YEAR($A$3:$A$62))*(MONTH(I927)=MONTH($A$3:$A$62)),0))</f>
        <v>55724.652853714826</v>
      </c>
      <c r="K927">
        <f t="array" ref="K927">INDEX($G$3:$G$200,MATCH(1, (YEAR(I927)=YEAR($A$3:$A$2000))*(MONTH(I927)=MONTH($A$3:$A$2000)),0))</f>
        <v>81598.093359535706</v>
      </c>
      <c r="L927">
        <f t="shared" si="29"/>
        <v>54770.90119210897</v>
      </c>
    </row>
    <row r="928" spans="4:12" x14ac:dyDescent="0.25">
      <c r="D928">
        <f t="shared" si="28"/>
        <v>0</v>
      </c>
      <c r="H928">
        <v>926</v>
      </c>
      <c r="I928" s="1">
        <v>45885</v>
      </c>
      <c r="J928">
        <f t="array" ref="J928">INDEX($D$3:$D$62,MATCH(1, (YEAR(I928)=YEAR($A$3:$A$62))*(MONTH(I928)=MONTH($A$3:$A$62)),0))</f>
        <v>55724.652853714826</v>
      </c>
      <c r="K928">
        <f t="array" ref="K928">INDEX($G$3:$G$200,MATCH(1, (YEAR(I928)=YEAR($A$3:$A$2000))*(MONTH(I928)=MONTH($A$3:$A$2000)),0))</f>
        <v>81598.093359535706</v>
      </c>
      <c r="L928">
        <f t="shared" si="29"/>
        <v>54730.533453023992</v>
      </c>
    </row>
    <row r="929" spans="4:12" x14ac:dyDescent="0.25">
      <c r="D929">
        <f t="shared" si="28"/>
        <v>0</v>
      </c>
      <c r="H929">
        <v>927</v>
      </c>
      <c r="I929" s="1">
        <v>45886</v>
      </c>
      <c r="J929">
        <f t="array" ref="J929">INDEX($D$3:$D$62,MATCH(1, (YEAR(I929)=YEAR($A$3:$A$62))*(MONTH(I929)=MONTH($A$3:$A$62)),0))</f>
        <v>55724.652853714826</v>
      </c>
      <c r="K929">
        <f t="array" ref="K929">INDEX($G$3:$G$200,MATCH(1, (YEAR(I929)=YEAR($A$3:$A$2000))*(MONTH(I929)=MONTH($A$3:$A$2000)),0))</f>
        <v>81598.093359535706</v>
      </c>
      <c r="L929">
        <f t="shared" si="29"/>
        <v>54690.219207758972</v>
      </c>
    </row>
    <row r="930" spans="4:12" x14ac:dyDescent="0.25">
      <c r="D930">
        <f t="shared" si="28"/>
        <v>0</v>
      </c>
      <c r="H930">
        <v>928</v>
      </c>
      <c r="I930" s="1">
        <v>45887</v>
      </c>
      <c r="J930">
        <f t="array" ref="J930">INDEX($D$3:$D$62,MATCH(1, (YEAR(I930)=YEAR($A$3:$A$62))*(MONTH(I930)=MONTH($A$3:$A$62)),0))</f>
        <v>55724.652853714826</v>
      </c>
      <c r="K930">
        <f t="array" ref="K930">INDEX($G$3:$G$200,MATCH(1, (YEAR(I930)=YEAR($A$3:$A$2000))*(MONTH(I930)=MONTH($A$3:$A$2000)),0))</f>
        <v>81598.093359535706</v>
      </c>
      <c r="L930">
        <f t="shared" si="29"/>
        <v>54649.958300511964</v>
      </c>
    </row>
    <row r="931" spans="4:12" x14ac:dyDescent="0.25">
      <c r="D931">
        <f t="shared" si="28"/>
        <v>0</v>
      </c>
      <c r="H931">
        <v>929</v>
      </c>
      <c r="I931" s="1">
        <v>45888</v>
      </c>
      <c r="J931">
        <f t="array" ref="J931">INDEX($D$3:$D$62,MATCH(1, (YEAR(I931)=YEAR($A$3:$A$62))*(MONTH(I931)=MONTH($A$3:$A$62)),0))</f>
        <v>55724.652853714826</v>
      </c>
      <c r="K931">
        <f t="array" ref="K931">INDEX($G$3:$G$200,MATCH(1, (YEAR(I931)=YEAR($A$3:$A$2000))*(MONTH(I931)=MONTH($A$3:$A$2000)),0))</f>
        <v>81598.093359535706</v>
      </c>
      <c r="L931">
        <f t="shared" si="29"/>
        <v>54609.750575768994</v>
      </c>
    </row>
    <row r="932" spans="4:12" x14ac:dyDescent="0.25">
      <c r="D932">
        <f t="shared" si="28"/>
        <v>0</v>
      </c>
      <c r="H932">
        <v>930</v>
      </c>
      <c r="I932" s="1">
        <v>45889</v>
      </c>
      <c r="J932">
        <f t="array" ref="J932">INDEX($D$3:$D$62,MATCH(1, (YEAR(I932)=YEAR($A$3:$A$62))*(MONTH(I932)=MONTH($A$3:$A$62)),0))</f>
        <v>55724.652853714826</v>
      </c>
      <c r="K932">
        <f t="array" ref="K932">INDEX($G$3:$G$200,MATCH(1, (YEAR(I932)=YEAR($A$3:$A$2000))*(MONTH(I932)=MONTH($A$3:$A$2000)),0))</f>
        <v>81598.093359535706</v>
      </c>
      <c r="L932">
        <f t="shared" si="29"/>
        <v>54569.595878303982</v>
      </c>
    </row>
    <row r="933" spans="4:12" x14ac:dyDescent="0.25">
      <c r="D933">
        <f t="shared" si="28"/>
        <v>0</v>
      </c>
      <c r="H933">
        <v>931</v>
      </c>
      <c r="I933" s="1">
        <v>45890</v>
      </c>
      <c r="J933">
        <f t="array" ref="J933">INDEX($D$3:$D$62,MATCH(1, (YEAR(I933)=YEAR($A$3:$A$62))*(MONTH(I933)=MONTH($A$3:$A$62)),0))</f>
        <v>55724.652853714826</v>
      </c>
      <c r="K933">
        <f t="array" ref="K933">INDEX($G$3:$G$200,MATCH(1, (YEAR(I933)=YEAR($A$3:$A$2000))*(MONTH(I933)=MONTH($A$3:$A$2000)),0))</f>
        <v>81598.093359535706</v>
      </c>
      <c r="L933">
        <f t="shared" si="29"/>
        <v>54529.494053178976</v>
      </c>
    </row>
    <row r="934" spans="4:12" x14ac:dyDescent="0.25">
      <c r="D934">
        <f t="shared" si="28"/>
        <v>0</v>
      </c>
      <c r="H934">
        <v>932</v>
      </c>
      <c r="I934" s="1">
        <v>45891</v>
      </c>
      <c r="J934">
        <f t="array" ref="J934">INDEX($D$3:$D$62,MATCH(1, (YEAR(I934)=YEAR($A$3:$A$62))*(MONTH(I934)=MONTH($A$3:$A$62)),0))</f>
        <v>55724.652853714826</v>
      </c>
      <c r="K934">
        <f t="array" ref="K934">INDEX($G$3:$G$200,MATCH(1, (YEAR(I934)=YEAR($A$3:$A$2000))*(MONTH(I934)=MONTH($A$3:$A$2000)),0))</f>
        <v>81598.093359535706</v>
      </c>
      <c r="L934">
        <f t="shared" si="29"/>
        <v>54489.444945743977</v>
      </c>
    </row>
    <row r="935" spans="4:12" x14ac:dyDescent="0.25">
      <c r="D935">
        <f t="shared" si="28"/>
        <v>0</v>
      </c>
      <c r="H935">
        <v>933</v>
      </c>
      <c r="I935" s="1">
        <v>45892</v>
      </c>
      <c r="J935">
        <f t="array" ref="J935">INDEX($D$3:$D$62,MATCH(1, (YEAR(I935)=YEAR($A$3:$A$62))*(MONTH(I935)=MONTH($A$3:$A$62)),0))</f>
        <v>55724.652853714826</v>
      </c>
      <c r="K935">
        <f t="array" ref="K935">INDEX($G$3:$G$200,MATCH(1, (YEAR(I935)=YEAR($A$3:$A$2000))*(MONTH(I935)=MONTH($A$3:$A$2000)),0))</f>
        <v>81598.093359535706</v>
      </c>
      <c r="L935">
        <f t="shared" si="29"/>
        <v>54449.448401636997</v>
      </c>
    </row>
    <row r="936" spans="4:12" x14ac:dyDescent="0.25">
      <c r="D936">
        <f t="shared" si="28"/>
        <v>0</v>
      </c>
      <c r="H936">
        <v>934</v>
      </c>
      <c r="I936" s="1">
        <v>45893</v>
      </c>
      <c r="J936">
        <f t="array" ref="J936">INDEX($D$3:$D$62,MATCH(1, (YEAR(I936)=YEAR($A$3:$A$62))*(MONTH(I936)=MONTH($A$3:$A$62)),0))</f>
        <v>55724.652853714826</v>
      </c>
      <c r="K936">
        <f t="array" ref="K936">INDEX($G$3:$G$200,MATCH(1, (YEAR(I936)=YEAR($A$3:$A$2000))*(MONTH(I936)=MONTH($A$3:$A$2000)),0))</f>
        <v>81598.093359535706</v>
      </c>
      <c r="L936">
        <f t="shared" si="29"/>
        <v>54409.504266784003</v>
      </c>
    </row>
    <row r="937" spans="4:12" x14ac:dyDescent="0.25">
      <c r="D937">
        <f t="shared" si="28"/>
        <v>0</v>
      </c>
      <c r="H937">
        <v>935</v>
      </c>
      <c r="I937" s="1">
        <v>45894</v>
      </c>
      <c r="J937">
        <f t="array" ref="J937">INDEX($D$3:$D$62,MATCH(1, (YEAR(I937)=YEAR($A$3:$A$62))*(MONTH(I937)=MONTH($A$3:$A$62)),0))</f>
        <v>55724.652853714826</v>
      </c>
      <c r="K937">
        <f t="array" ref="K937">INDEX($G$3:$G$200,MATCH(1, (YEAR(I937)=YEAR($A$3:$A$2000))*(MONTH(I937)=MONTH($A$3:$A$2000)),0))</f>
        <v>81598.093359535706</v>
      </c>
      <c r="L937">
        <f t="shared" si="29"/>
        <v>54369.612387398985</v>
      </c>
    </row>
    <row r="938" spans="4:12" x14ac:dyDescent="0.25">
      <c r="D938">
        <f t="shared" si="28"/>
        <v>0</v>
      </c>
      <c r="H938">
        <v>936</v>
      </c>
      <c r="I938" s="1">
        <v>45895</v>
      </c>
      <c r="J938">
        <f t="array" ref="J938">INDEX($D$3:$D$62,MATCH(1, (YEAR(I938)=YEAR($A$3:$A$62))*(MONTH(I938)=MONTH($A$3:$A$62)),0))</f>
        <v>55724.652853714826</v>
      </c>
      <c r="K938">
        <f t="array" ref="K938">INDEX($G$3:$G$200,MATCH(1, (YEAR(I938)=YEAR($A$3:$A$2000))*(MONTH(I938)=MONTH($A$3:$A$2000)),0))</f>
        <v>81598.093359535706</v>
      </c>
      <c r="L938">
        <f t="shared" si="29"/>
        <v>54329.772609983978</v>
      </c>
    </row>
    <row r="939" spans="4:12" x14ac:dyDescent="0.25">
      <c r="D939">
        <f t="shared" si="28"/>
        <v>0</v>
      </c>
      <c r="H939">
        <v>937</v>
      </c>
      <c r="I939" s="1">
        <v>45896</v>
      </c>
      <c r="J939">
        <f t="array" ref="J939">INDEX($D$3:$D$62,MATCH(1, (YEAR(I939)=YEAR($A$3:$A$62))*(MONTH(I939)=MONTH($A$3:$A$62)),0))</f>
        <v>55724.652853714826</v>
      </c>
      <c r="K939">
        <f t="array" ref="K939">INDEX($G$3:$G$200,MATCH(1, (YEAR(I939)=YEAR($A$3:$A$2000))*(MONTH(I939)=MONTH($A$3:$A$2000)),0))</f>
        <v>81598.093359535706</v>
      </c>
      <c r="L939">
        <f t="shared" si="29"/>
        <v>54289.984781328996</v>
      </c>
    </row>
    <row r="940" spans="4:12" x14ac:dyDescent="0.25">
      <c r="D940">
        <f t="shared" si="28"/>
        <v>0</v>
      </c>
      <c r="H940">
        <v>938</v>
      </c>
      <c r="I940" s="1">
        <v>45897</v>
      </c>
      <c r="J940">
        <f t="array" ref="J940">INDEX($D$3:$D$62,MATCH(1, (YEAR(I940)=YEAR($A$3:$A$62))*(MONTH(I940)=MONTH($A$3:$A$62)),0))</f>
        <v>55724.652853714826</v>
      </c>
      <c r="K940">
        <f t="array" ref="K940">INDEX($G$3:$G$200,MATCH(1, (YEAR(I940)=YEAR($A$3:$A$2000))*(MONTH(I940)=MONTH($A$3:$A$2000)),0))</f>
        <v>81598.093359535706</v>
      </c>
      <c r="L940">
        <f t="shared" si="29"/>
        <v>54250.248748511978</v>
      </c>
    </row>
    <row r="941" spans="4:12" x14ac:dyDescent="0.25">
      <c r="D941">
        <f t="shared" si="28"/>
        <v>0</v>
      </c>
      <c r="H941">
        <v>939</v>
      </c>
      <c r="I941" s="1">
        <v>45898</v>
      </c>
      <c r="J941">
        <f t="array" ref="J941">INDEX($D$3:$D$62,MATCH(1, (YEAR(I941)=YEAR($A$3:$A$62))*(MONTH(I941)=MONTH($A$3:$A$62)),0))</f>
        <v>55724.652853714826</v>
      </c>
      <c r="K941">
        <f t="array" ref="K941">INDEX($G$3:$G$200,MATCH(1, (YEAR(I941)=YEAR($A$3:$A$2000))*(MONTH(I941)=MONTH($A$3:$A$2000)),0))</f>
        <v>81598.093359535706</v>
      </c>
      <c r="L941">
        <f t="shared" si="29"/>
        <v>54210.564358898977</v>
      </c>
    </row>
    <row r="942" spans="4:12" x14ac:dyDescent="0.25">
      <c r="D942">
        <f t="shared" si="28"/>
        <v>0</v>
      </c>
      <c r="H942">
        <v>940</v>
      </c>
      <c r="I942" s="1">
        <v>45899</v>
      </c>
      <c r="J942">
        <f t="array" ref="J942">INDEX($D$3:$D$62,MATCH(1, (YEAR(I942)=YEAR($A$3:$A$62))*(MONTH(I942)=MONTH($A$3:$A$62)),0))</f>
        <v>55724.652853714826</v>
      </c>
      <c r="K942">
        <f t="array" ref="K942">INDEX($G$3:$G$200,MATCH(1, (YEAR(I942)=YEAR($A$3:$A$2000))*(MONTH(I942)=MONTH($A$3:$A$2000)),0))</f>
        <v>81598.093359535706</v>
      </c>
      <c r="L942">
        <f t="shared" si="29"/>
        <v>54170.931460143984</v>
      </c>
    </row>
    <row r="943" spans="4:12" x14ac:dyDescent="0.25">
      <c r="D943">
        <f t="shared" si="28"/>
        <v>0</v>
      </c>
      <c r="H943">
        <v>941</v>
      </c>
      <c r="I943" s="1">
        <v>45900</v>
      </c>
      <c r="J943">
        <f t="array" ref="J943">INDEX($D$3:$D$62,MATCH(1, (YEAR(I943)=YEAR($A$3:$A$62))*(MONTH(I943)=MONTH($A$3:$A$62)),0))</f>
        <v>55724.652853714826</v>
      </c>
      <c r="K943">
        <f t="array" ref="K943">INDEX($G$3:$G$200,MATCH(1, (YEAR(I943)=YEAR($A$3:$A$2000))*(MONTH(I943)=MONTH($A$3:$A$2000)),0))</f>
        <v>81598.093359535706</v>
      </c>
      <c r="L943">
        <f t="shared" si="29"/>
        <v>54131.349900189001</v>
      </c>
    </row>
    <row r="944" spans="4:12" x14ac:dyDescent="0.25">
      <c r="D944">
        <f t="shared" si="28"/>
        <v>0</v>
      </c>
      <c r="H944">
        <v>942</v>
      </c>
      <c r="I944" s="1">
        <v>45901</v>
      </c>
      <c r="J944">
        <f t="array" ref="J944">INDEX($D$3:$D$62,MATCH(1, (YEAR(I944)=YEAR($A$3:$A$62))*(MONTH(I944)=MONTH($A$3:$A$62)),0))</f>
        <v>54355.705377197279</v>
      </c>
      <c r="K944">
        <f t="array" ref="K944">INDEX($G$3:$G$200,MATCH(1, (YEAR(I944)=YEAR($A$3:$A$2000))*(MONTH(I944)=MONTH($A$3:$A$2000)),0))</f>
        <v>79672.191680587028</v>
      </c>
      <c r="L944">
        <f t="shared" si="29"/>
        <v>54091.819527264</v>
      </c>
    </row>
    <row r="945" spans="4:12" x14ac:dyDescent="0.25">
      <c r="D945">
        <f t="shared" si="28"/>
        <v>0</v>
      </c>
      <c r="H945">
        <v>943</v>
      </c>
      <c r="I945" s="1">
        <v>45902</v>
      </c>
      <c r="J945">
        <f t="array" ref="J945">INDEX($D$3:$D$62,MATCH(1, (YEAR(I945)=YEAR($A$3:$A$62))*(MONTH(I945)=MONTH($A$3:$A$62)),0))</f>
        <v>54355.705377197279</v>
      </c>
      <c r="K945">
        <f t="array" ref="K945">INDEX($G$3:$G$200,MATCH(1, (YEAR(I945)=YEAR($A$3:$A$2000))*(MONTH(I945)=MONTH($A$3:$A$2000)),0))</f>
        <v>79672.191680587028</v>
      </c>
      <c r="L945">
        <f t="shared" si="29"/>
        <v>54052.340189886978</v>
      </c>
    </row>
    <row r="946" spans="4:12" x14ac:dyDescent="0.25">
      <c r="D946">
        <f t="shared" si="28"/>
        <v>0</v>
      </c>
      <c r="H946">
        <v>944</v>
      </c>
      <c r="I946" s="1">
        <v>45903</v>
      </c>
      <c r="J946">
        <f t="array" ref="J946">INDEX($D$3:$D$62,MATCH(1, (YEAR(I946)=YEAR($A$3:$A$62))*(MONTH(I946)=MONTH($A$3:$A$62)),0))</f>
        <v>54355.705377197279</v>
      </c>
      <c r="K946">
        <f t="array" ref="K946">INDEX($G$3:$G$200,MATCH(1, (YEAR(I946)=YEAR($A$3:$A$2000))*(MONTH(I946)=MONTH($A$3:$A$2000)),0))</f>
        <v>79672.191680587028</v>
      </c>
      <c r="L946">
        <f t="shared" si="29"/>
        <v>54012.911736863971</v>
      </c>
    </row>
    <row r="947" spans="4:12" x14ac:dyDescent="0.25">
      <c r="D947">
        <f t="shared" si="28"/>
        <v>0</v>
      </c>
      <c r="H947">
        <v>945</v>
      </c>
      <c r="I947" s="1">
        <v>45904</v>
      </c>
      <c r="J947">
        <f t="array" ref="J947">INDEX($D$3:$D$62,MATCH(1, (YEAR(I947)=YEAR($A$3:$A$62))*(MONTH(I947)=MONTH($A$3:$A$62)),0))</f>
        <v>54355.705377197279</v>
      </c>
      <c r="K947">
        <f t="array" ref="K947">INDEX($G$3:$G$200,MATCH(1, (YEAR(I947)=YEAR($A$3:$A$2000))*(MONTH(I947)=MONTH($A$3:$A$2000)),0))</f>
        <v>79672.191680587028</v>
      </c>
      <c r="L947">
        <f t="shared" si="29"/>
        <v>53973.534017288999</v>
      </c>
    </row>
    <row r="948" spans="4:12" x14ac:dyDescent="0.25">
      <c r="D948">
        <f t="shared" si="28"/>
        <v>0</v>
      </c>
      <c r="H948">
        <v>946</v>
      </c>
      <c r="I948" s="1">
        <v>45905</v>
      </c>
      <c r="J948">
        <f t="array" ref="J948">INDEX($D$3:$D$62,MATCH(1, (YEAR(I948)=YEAR($A$3:$A$62))*(MONTH(I948)=MONTH($A$3:$A$62)),0))</f>
        <v>54355.705377197279</v>
      </c>
      <c r="K948">
        <f t="array" ref="K948">INDEX($G$3:$G$200,MATCH(1, (YEAR(I948)=YEAR($A$3:$A$2000))*(MONTH(I948)=MONTH($A$3:$A$2000)),0))</f>
        <v>79672.191680587028</v>
      </c>
      <c r="L948">
        <f t="shared" si="29"/>
        <v>53934.206880543992</v>
      </c>
    </row>
    <row r="949" spans="4:12" x14ac:dyDescent="0.25">
      <c r="D949">
        <f t="shared" si="28"/>
        <v>0</v>
      </c>
      <c r="H949">
        <v>947</v>
      </c>
      <c r="I949" s="1">
        <v>45906</v>
      </c>
      <c r="J949">
        <f t="array" ref="J949">INDEX($D$3:$D$62,MATCH(1, (YEAR(I949)=YEAR($A$3:$A$62))*(MONTH(I949)=MONTH($A$3:$A$62)),0))</f>
        <v>54355.705377197279</v>
      </c>
      <c r="K949">
        <f t="array" ref="K949">INDEX($G$3:$G$200,MATCH(1, (YEAR(I949)=YEAR($A$3:$A$2000))*(MONTH(I949)=MONTH($A$3:$A$2000)),0))</f>
        <v>79672.191680587028</v>
      </c>
      <c r="L949">
        <f t="shared" si="29"/>
        <v>53894.930176298978</v>
      </c>
    </row>
    <row r="950" spans="4:12" x14ac:dyDescent="0.25">
      <c r="D950">
        <f t="shared" si="28"/>
        <v>0</v>
      </c>
      <c r="H950">
        <v>948</v>
      </c>
      <c r="I950" s="1">
        <v>45907</v>
      </c>
      <c r="J950">
        <f t="array" ref="J950">INDEX($D$3:$D$62,MATCH(1, (YEAR(I950)=YEAR($A$3:$A$62))*(MONTH(I950)=MONTH($A$3:$A$62)),0))</f>
        <v>54355.705377197279</v>
      </c>
      <c r="K950">
        <f t="array" ref="K950">INDEX($G$3:$G$200,MATCH(1, (YEAR(I950)=YEAR($A$3:$A$2000))*(MONTH(I950)=MONTH($A$3:$A$2000)),0))</f>
        <v>79672.191680587028</v>
      </c>
      <c r="L950">
        <f t="shared" si="29"/>
        <v>53855.703754511982</v>
      </c>
    </row>
    <row r="951" spans="4:12" x14ac:dyDescent="0.25">
      <c r="D951">
        <f t="shared" si="28"/>
        <v>0</v>
      </c>
      <c r="H951">
        <v>949</v>
      </c>
      <c r="I951" s="1">
        <v>45908</v>
      </c>
      <c r="J951">
        <f t="array" ref="J951">INDEX($D$3:$D$62,MATCH(1, (YEAR(I951)=YEAR($A$3:$A$62))*(MONTH(I951)=MONTH($A$3:$A$62)),0))</f>
        <v>54355.705377197279</v>
      </c>
      <c r="K951">
        <f t="array" ref="K951">INDEX($G$3:$G$200,MATCH(1, (YEAR(I951)=YEAR($A$3:$A$2000))*(MONTH(I951)=MONTH($A$3:$A$2000)),0))</f>
        <v>79672.191680587028</v>
      </c>
      <c r="L951">
        <f t="shared" si="29"/>
        <v>53816.527465428997</v>
      </c>
    </row>
    <row r="952" spans="4:12" x14ac:dyDescent="0.25">
      <c r="D952">
        <f t="shared" si="28"/>
        <v>0</v>
      </c>
      <c r="H952">
        <v>950</v>
      </c>
      <c r="I952" s="1">
        <v>45909</v>
      </c>
      <c r="J952">
        <f t="array" ref="J952">INDEX($D$3:$D$62,MATCH(1, (YEAR(I952)=YEAR($A$3:$A$62))*(MONTH(I952)=MONTH($A$3:$A$62)),0))</f>
        <v>54355.705377197279</v>
      </c>
      <c r="K952">
        <f t="array" ref="K952">INDEX($G$3:$G$200,MATCH(1, (YEAR(I952)=YEAR($A$3:$A$2000))*(MONTH(I952)=MONTH($A$3:$A$2000)),0))</f>
        <v>79672.191680587028</v>
      </c>
      <c r="L952">
        <f t="shared" si="29"/>
        <v>53777.401159583998</v>
      </c>
    </row>
    <row r="953" spans="4:12" x14ac:dyDescent="0.25">
      <c r="D953">
        <f t="shared" si="28"/>
        <v>0</v>
      </c>
      <c r="H953">
        <v>951</v>
      </c>
      <c r="I953" s="1">
        <v>45910</v>
      </c>
      <c r="J953">
        <f t="array" ref="J953">INDEX($D$3:$D$62,MATCH(1, (YEAR(I953)=YEAR($A$3:$A$62))*(MONTH(I953)=MONTH($A$3:$A$62)),0))</f>
        <v>54355.705377197279</v>
      </c>
      <c r="K953">
        <f t="array" ref="K953">INDEX($G$3:$G$200,MATCH(1, (YEAR(I953)=YEAR($A$3:$A$2000))*(MONTH(I953)=MONTH($A$3:$A$2000)),0))</f>
        <v>79672.191680587028</v>
      </c>
      <c r="L953">
        <f t="shared" si="29"/>
        <v>53738.324687798973</v>
      </c>
    </row>
    <row r="954" spans="4:12" x14ac:dyDescent="0.25">
      <c r="D954">
        <f t="shared" si="28"/>
        <v>0</v>
      </c>
      <c r="H954">
        <v>952</v>
      </c>
      <c r="I954" s="1">
        <v>45911</v>
      </c>
      <c r="J954">
        <f t="array" ref="J954">INDEX($D$3:$D$62,MATCH(1, (YEAR(I954)=YEAR($A$3:$A$62))*(MONTH(I954)=MONTH($A$3:$A$62)),0))</f>
        <v>54355.705377197279</v>
      </c>
      <c r="K954">
        <f t="array" ref="K954">INDEX($G$3:$G$200,MATCH(1, (YEAR(I954)=YEAR($A$3:$A$2000))*(MONTH(I954)=MONTH($A$3:$A$2000)),0))</f>
        <v>79672.191680587028</v>
      </c>
      <c r="L954">
        <f t="shared" si="29"/>
        <v>53699.297901183963</v>
      </c>
    </row>
    <row r="955" spans="4:12" x14ac:dyDescent="0.25">
      <c r="D955">
        <f t="shared" si="28"/>
        <v>0</v>
      </c>
      <c r="H955">
        <v>953</v>
      </c>
      <c r="I955" s="1">
        <v>45912</v>
      </c>
      <c r="J955">
        <f t="array" ref="J955">INDEX($D$3:$D$62,MATCH(1, (YEAR(I955)=YEAR($A$3:$A$62))*(MONTH(I955)=MONTH($A$3:$A$62)),0))</f>
        <v>54355.705377197279</v>
      </c>
      <c r="K955">
        <f t="array" ref="K955">INDEX($G$3:$G$200,MATCH(1, (YEAR(I955)=YEAR($A$3:$A$2000))*(MONTH(I955)=MONTH($A$3:$A$2000)),0))</f>
        <v>79672.191680587028</v>
      </c>
      <c r="L955">
        <f t="shared" si="29"/>
        <v>53660.320651136994</v>
      </c>
    </row>
    <row r="956" spans="4:12" x14ac:dyDescent="0.25">
      <c r="D956">
        <f t="shared" si="28"/>
        <v>0</v>
      </c>
      <c r="H956">
        <v>954</v>
      </c>
      <c r="I956" s="1">
        <v>45913</v>
      </c>
      <c r="J956">
        <f t="array" ref="J956">INDEX($D$3:$D$62,MATCH(1, (YEAR(I956)=YEAR($A$3:$A$62))*(MONTH(I956)=MONTH($A$3:$A$62)),0))</f>
        <v>54355.705377197279</v>
      </c>
      <c r="K956">
        <f t="array" ref="K956">INDEX($G$3:$G$200,MATCH(1, (YEAR(I956)=YEAR($A$3:$A$2000))*(MONTH(I956)=MONTH($A$3:$A$2000)),0))</f>
        <v>79672.191680587028</v>
      </c>
      <c r="L956">
        <f t="shared" si="29"/>
        <v>53621.392789343983</v>
      </c>
    </row>
    <row r="957" spans="4:12" x14ac:dyDescent="0.25">
      <c r="D957">
        <f t="shared" si="28"/>
        <v>0</v>
      </c>
      <c r="H957">
        <v>955</v>
      </c>
      <c r="I957" s="1">
        <v>45914</v>
      </c>
      <c r="J957">
        <f t="array" ref="J957">INDEX($D$3:$D$62,MATCH(1, (YEAR(I957)=YEAR($A$3:$A$62))*(MONTH(I957)=MONTH($A$3:$A$62)),0))</f>
        <v>54355.705377197279</v>
      </c>
      <c r="K957">
        <f t="array" ref="K957">INDEX($G$3:$G$200,MATCH(1, (YEAR(I957)=YEAR($A$3:$A$2000))*(MONTH(I957)=MONTH($A$3:$A$2000)),0))</f>
        <v>79672.191680587028</v>
      </c>
      <c r="L957">
        <f t="shared" si="29"/>
        <v>53582.51416777898</v>
      </c>
    </row>
    <row r="958" spans="4:12" x14ac:dyDescent="0.25">
      <c r="D958">
        <f t="shared" si="28"/>
        <v>0</v>
      </c>
      <c r="H958">
        <v>956</v>
      </c>
      <c r="I958" s="1">
        <v>45915</v>
      </c>
      <c r="J958">
        <f t="array" ref="J958">INDEX($D$3:$D$62,MATCH(1, (YEAR(I958)=YEAR($A$3:$A$62))*(MONTH(I958)=MONTH($A$3:$A$62)),0))</f>
        <v>54355.705377197279</v>
      </c>
      <c r="K958">
        <f t="array" ref="K958">INDEX($G$3:$G$200,MATCH(1, (YEAR(I958)=YEAR($A$3:$A$2000))*(MONTH(I958)=MONTH($A$3:$A$2000)),0))</f>
        <v>79672.191680587028</v>
      </c>
      <c r="L958">
        <f t="shared" si="29"/>
        <v>53543.68463870397</v>
      </c>
    </row>
    <row r="959" spans="4:12" x14ac:dyDescent="0.25">
      <c r="D959">
        <f t="shared" si="28"/>
        <v>0</v>
      </c>
      <c r="H959">
        <v>957</v>
      </c>
      <c r="I959" s="1">
        <v>45916</v>
      </c>
      <c r="J959">
        <f t="array" ref="J959">INDEX($D$3:$D$62,MATCH(1, (YEAR(I959)=YEAR($A$3:$A$62))*(MONTH(I959)=MONTH($A$3:$A$62)),0))</f>
        <v>54355.705377197279</v>
      </c>
      <c r="K959">
        <f t="array" ref="K959">INDEX($G$3:$G$200,MATCH(1, (YEAR(I959)=YEAR($A$3:$A$2000))*(MONTH(I959)=MONTH($A$3:$A$2000)),0))</f>
        <v>79672.191680587028</v>
      </c>
      <c r="L959">
        <f t="shared" si="29"/>
        <v>53504.904054668994</v>
      </c>
    </row>
    <row r="960" spans="4:12" x14ac:dyDescent="0.25">
      <c r="D960">
        <f t="shared" si="28"/>
        <v>0</v>
      </c>
      <c r="H960">
        <v>958</v>
      </c>
      <c r="I960" s="1">
        <v>45917</v>
      </c>
      <c r="J960">
        <f t="array" ref="J960">INDEX($D$3:$D$62,MATCH(1, (YEAR(I960)=YEAR($A$3:$A$62))*(MONTH(I960)=MONTH($A$3:$A$62)),0))</f>
        <v>54355.705377197279</v>
      </c>
      <c r="K960">
        <f t="array" ref="K960">INDEX($G$3:$G$200,MATCH(1, (YEAR(I960)=YEAR($A$3:$A$2000))*(MONTH(I960)=MONTH($A$3:$A$2000)),0))</f>
        <v>79672.191680587028</v>
      </c>
      <c r="L960">
        <f t="shared" si="29"/>
        <v>53466.172268511989</v>
      </c>
    </row>
    <row r="961" spans="4:12" x14ac:dyDescent="0.25">
      <c r="D961">
        <f t="shared" si="28"/>
        <v>0</v>
      </c>
      <c r="H961">
        <v>959</v>
      </c>
      <c r="I961" s="1">
        <v>45918</v>
      </c>
      <c r="J961">
        <f t="array" ref="J961">INDEX($D$3:$D$62,MATCH(1, (YEAR(I961)=YEAR($A$3:$A$62))*(MONTH(I961)=MONTH($A$3:$A$62)),0))</f>
        <v>54355.705377197279</v>
      </c>
      <c r="K961">
        <f t="array" ref="K961">INDEX($G$3:$G$200,MATCH(1, (YEAR(I961)=YEAR($A$3:$A$2000))*(MONTH(I961)=MONTH($A$3:$A$2000)),0))</f>
        <v>79672.191680587028</v>
      </c>
      <c r="L961">
        <f t="shared" si="29"/>
        <v>53427.489133358962</v>
      </c>
    </row>
    <row r="962" spans="4:12" x14ac:dyDescent="0.25">
      <c r="D962">
        <f t="shared" si="28"/>
        <v>0</v>
      </c>
      <c r="H962">
        <v>960</v>
      </c>
      <c r="I962" s="1">
        <v>45919</v>
      </c>
      <c r="J962">
        <f t="array" ref="J962">INDEX($D$3:$D$62,MATCH(1, (YEAR(I962)=YEAR($A$3:$A$62))*(MONTH(I962)=MONTH($A$3:$A$62)),0))</f>
        <v>54355.705377197279</v>
      </c>
      <c r="K962">
        <f t="array" ref="K962">INDEX($G$3:$G$200,MATCH(1, (YEAR(I962)=YEAR($A$3:$A$2000))*(MONTH(I962)=MONTH($A$3:$A$2000)),0))</f>
        <v>79672.191680587028</v>
      </c>
      <c r="L962">
        <f t="shared" si="29"/>
        <v>53388.854502623988</v>
      </c>
    </row>
    <row r="963" spans="4:12" x14ac:dyDescent="0.25">
      <c r="D963">
        <f t="shared" si="28"/>
        <v>0</v>
      </c>
      <c r="H963">
        <v>961</v>
      </c>
      <c r="I963" s="1">
        <v>45920</v>
      </c>
      <c r="J963">
        <f t="array" ref="J963">INDEX($D$3:$D$62,MATCH(1, (YEAR(I963)=YEAR($A$3:$A$62))*(MONTH(I963)=MONTH($A$3:$A$62)),0))</f>
        <v>54355.705377197279</v>
      </c>
      <c r="K963">
        <f t="array" ref="K963">INDEX($G$3:$G$200,MATCH(1, (YEAR(I963)=YEAR($A$3:$A$2000))*(MONTH(I963)=MONTH($A$3:$A$2000)),0))</f>
        <v>79672.191680587028</v>
      </c>
      <c r="L963">
        <f t="shared" si="29"/>
        <v>53350.26823000898</v>
      </c>
    </row>
    <row r="964" spans="4:12" x14ac:dyDescent="0.25">
      <c r="D964">
        <f t="shared" ref="D964:D1027" si="30">SUM(B964:C964)</f>
        <v>0</v>
      </c>
      <c r="H964">
        <v>962</v>
      </c>
      <c r="I964" s="1">
        <v>45921</v>
      </c>
      <c r="J964">
        <f t="array" ref="J964">INDEX($D$3:$D$62,MATCH(1, (YEAR(I964)=YEAR($A$3:$A$62))*(MONTH(I964)=MONTH($A$3:$A$62)),0))</f>
        <v>54355.705377197279</v>
      </c>
      <c r="K964">
        <f t="array" ref="K964">INDEX($G$3:$G$200,MATCH(1, (YEAR(I964)=YEAR($A$3:$A$2000))*(MONTH(I964)=MONTH($A$3:$A$2000)),0))</f>
        <v>79672.191680587028</v>
      </c>
      <c r="L964">
        <f t="shared" ref="L964:L1027" si="31">0.000000012*H964^4-0.000070439*H964^3+0.160688168*H964^2-194.849290676*H964+144481.718306784</f>
        <v>53311.730169503979</v>
      </c>
    </row>
    <row r="965" spans="4:12" x14ac:dyDescent="0.25">
      <c r="D965">
        <f t="shared" si="30"/>
        <v>0</v>
      </c>
      <c r="H965">
        <v>963</v>
      </c>
      <c r="I965" s="1">
        <v>45922</v>
      </c>
      <c r="J965">
        <f t="array" ref="J965">INDEX($D$3:$D$62,MATCH(1, (YEAR(I965)=YEAR($A$3:$A$62))*(MONTH(I965)=MONTH($A$3:$A$62)),0))</f>
        <v>54355.705377197279</v>
      </c>
      <c r="K965">
        <f t="array" ref="K965">INDEX($G$3:$G$200,MATCH(1, (YEAR(I965)=YEAR($A$3:$A$2000))*(MONTH(I965)=MONTH($A$3:$A$2000)),0))</f>
        <v>79672.191680587028</v>
      </c>
      <c r="L965">
        <f t="shared" si="31"/>
        <v>53273.240175386964</v>
      </c>
    </row>
    <row r="966" spans="4:12" x14ac:dyDescent="0.25">
      <c r="D966">
        <f t="shared" si="30"/>
        <v>0</v>
      </c>
      <c r="H966">
        <v>964</v>
      </c>
      <c r="I966" s="1">
        <v>45923</v>
      </c>
      <c r="J966">
        <f t="array" ref="J966">INDEX($D$3:$D$62,MATCH(1, (YEAR(I966)=YEAR($A$3:$A$62))*(MONTH(I966)=MONTH($A$3:$A$62)),0))</f>
        <v>54355.705377197279</v>
      </c>
      <c r="K966">
        <f t="array" ref="K966">INDEX($G$3:$G$200,MATCH(1, (YEAR(I966)=YEAR($A$3:$A$2000))*(MONTH(I966)=MONTH($A$3:$A$2000)),0))</f>
        <v>79672.191680587028</v>
      </c>
      <c r="L966">
        <f t="shared" si="31"/>
        <v>53234.798102223998</v>
      </c>
    </row>
    <row r="967" spans="4:12" x14ac:dyDescent="0.25">
      <c r="D967">
        <f t="shared" si="30"/>
        <v>0</v>
      </c>
      <c r="H967">
        <v>965</v>
      </c>
      <c r="I967" s="1">
        <v>45924</v>
      </c>
      <c r="J967">
        <f t="array" ref="J967">INDEX($D$3:$D$62,MATCH(1, (YEAR(I967)=YEAR($A$3:$A$62))*(MONTH(I967)=MONTH($A$3:$A$62)),0))</f>
        <v>54355.705377197279</v>
      </c>
      <c r="K967">
        <f t="array" ref="K967">INDEX($G$3:$G$200,MATCH(1, (YEAR(I967)=YEAR($A$3:$A$2000))*(MONTH(I967)=MONTH($A$3:$A$2000)),0))</f>
        <v>79672.191680587028</v>
      </c>
      <c r="L967">
        <f t="shared" si="31"/>
        <v>53196.403804868984</v>
      </c>
    </row>
    <row r="968" spans="4:12" x14ac:dyDescent="0.25">
      <c r="D968">
        <f t="shared" si="30"/>
        <v>0</v>
      </c>
      <c r="H968">
        <v>966</v>
      </c>
      <c r="I968" s="1">
        <v>45925</v>
      </c>
      <c r="J968">
        <f t="array" ref="J968">INDEX($D$3:$D$62,MATCH(1, (YEAR(I968)=YEAR($A$3:$A$62))*(MONTH(I968)=MONTH($A$3:$A$62)),0))</f>
        <v>54355.705377197279</v>
      </c>
      <c r="K968">
        <f t="array" ref="K968">INDEX($G$3:$G$200,MATCH(1, (YEAR(I968)=YEAR($A$3:$A$2000))*(MONTH(I968)=MONTH($A$3:$A$2000)),0))</f>
        <v>79672.191680587028</v>
      </c>
      <c r="L968">
        <f t="shared" si="31"/>
        <v>53158.057138463977</v>
      </c>
    </row>
    <row r="969" spans="4:12" x14ac:dyDescent="0.25">
      <c r="D969">
        <f t="shared" si="30"/>
        <v>0</v>
      </c>
      <c r="H969">
        <v>967</v>
      </c>
      <c r="I969" s="1">
        <v>45926</v>
      </c>
      <c r="J969">
        <f t="array" ref="J969">INDEX($D$3:$D$62,MATCH(1, (YEAR(I969)=YEAR($A$3:$A$62))*(MONTH(I969)=MONTH($A$3:$A$62)),0))</f>
        <v>54355.705377197279</v>
      </c>
      <c r="K969">
        <f t="array" ref="K969">INDEX($G$3:$G$200,MATCH(1, (YEAR(I969)=YEAR($A$3:$A$2000))*(MONTH(I969)=MONTH($A$3:$A$2000)),0))</f>
        <v>79672.191680587028</v>
      </c>
      <c r="L969">
        <f t="shared" si="31"/>
        <v>53119.75795843899</v>
      </c>
    </row>
    <row r="970" spans="4:12" x14ac:dyDescent="0.25">
      <c r="D970">
        <f t="shared" si="30"/>
        <v>0</v>
      </c>
      <c r="H970">
        <v>968</v>
      </c>
      <c r="I970" s="1">
        <v>45927</v>
      </c>
      <c r="J970">
        <f t="array" ref="J970">INDEX($D$3:$D$62,MATCH(1, (YEAR(I970)=YEAR($A$3:$A$62))*(MONTH(I970)=MONTH($A$3:$A$62)),0))</f>
        <v>54355.705377197279</v>
      </c>
      <c r="K970">
        <f t="array" ref="K970">INDEX($G$3:$G$200,MATCH(1, (YEAR(I970)=YEAR($A$3:$A$2000))*(MONTH(I970)=MONTH($A$3:$A$2000)),0))</f>
        <v>79672.191680587028</v>
      </c>
      <c r="L970">
        <f t="shared" si="31"/>
        <v>53081.506120512</v>
      </c>
    </row>
    <row r="971" spans="4:12" x14ac:dyDescent="0.25">
      <c r="D971">
        <f t="shared" si="30"/>
        <v>0</v>
      </c>
      <c r="H971">
        <v>969</v>
      </c>
      <c r="I971" s="1">
        <v>45928</v>
      </c>
      <c r="J971">
        <f t="array" ref="J971">INDEX($D$3:$D$62,MATCH(1, (YEAR(I971)=YEAR($A$3:$A$62))*(MONTH(I971)=MONTH($A$3:$A$62)),0))</f>
        <v>54355.705377197279</v>
      </c>
      <c r="K971">
        <f t="array" ref="K971">INDEX($G$3:$G$200,MATCH(1, (YEAR(I971)=YEAR($A$3:$A$2000))*(MONTH(I971)=MONTH($A$3:$A$2000)),0))</f>
        <v>79672.191680587028</v>
      </c>
      <c r="L971">
        <f t="shared" si="31"/>
        <v>53043.30148068897</v>
      </c>
    </row>
    <row r="972" spans="4:12" x14ac:dyDescent="0.25">
      <c r="D972">
        <f t="shared" si="30"/>
        <v>0</v>
      </c>
      <c r="H972">
        <v>970</v>
      </c>
      <c r="I972" s="1">
        <v>45929</v>
      </c>
      <c r="J972">
        <f t="array" ref="J972">INDEX($D$3:$D$62,MATCH(1, (YEAR(I972)=YEAR($A$3:$A$62))*(MONTH(I972)=MONTH($A$3:$A$62)),0))</f>
        <v>54355.705377197279</v>
      </c>
      <c r="K972">
        <f t="array" ref="K972">INDEX($G$3:$G$200,MATCH(1, (YEAR(I972)=YEAR($A$3:$A$2000))*(MONTH(I972)=MONTH($A$3:$A$2000)),0))</f>
        <v>79672.191680587028</v>
      </c>
      <c r="L972">
        <f t="shared" si="31"/>
        <v>53005.143895263987</v>
      </c>
    </row>
    <row r="973" spans="4:12" x14ac:dyDescent="0.25">
      <c r="D973">
        <f t="shared" si="30"/>
        <v>0</v>
      </c>
      <c r="H973">
        <v>971</v>
      </c>
      <c r="I973" s="1">
        <v>45930</v>
      </c>
      <c r="J973">
        <f t="array" ref="J973">INDEX($D$3:$D$62,MATCH(1, (YEAR(I973)=YEAR($A$3:$A$62))*(MONTH(I973)=MONTH($A$3:$A$62)),0))</f>
        <v>54355.705377197279</v>
      </c>
      <c r="K973">
        <f t="array" ref="K973">INDEX($G$3:$G$200,MATCH(1, (YEAR(I973)=YEAR($A$3:$A$2000))*(MONTH(I973)=MONTH($A$3:$A$2000)),0))</f>
        <v>79672.191680587028</v>
      </c>
      <c r="L973">
        <f t="shared" si="31"/>
        <v>52967.033220818979</v>
      </c>
    </row>
    <row r="974" spans="4:12" x14ac:dyDescent="0.25">
      <c r="D974">
        <f t="shared" si="30"/>
        <v>0</v>
      </c>
      <c r="H974">
        <v>972</v>
      </c>
      <c r="I974" s="1">
        <v>45931</v>
      </c>
      <c r="J974">
        <f t="array" ref="J974">INDEX($D$3:$D$62,MATCH(1, (YEAR(I974)=YEAR($A$3:$A$62))*(MONTH(I974)=MONTH($A$3:$A$62)),0))</f>
        <v>53084.449717471478</v>
      </c>
      <c r="K974">
        <f t="array" ref="K974">INDEX($G$3:$G$200,MATCH(1, (YEAR(I974)=YEAR($A$3:$A$2000))*(MONTH(I974)=MONTH($A$3:$A$2000)),0))</f>
        <v>77859.781789036759</v>
      </c>
      <c r="L974">
        <f t="shared" si="31"/>
        <v>52928.969314223985</v>
      </c>
    </row>
    <row r="975" spans="4:12" x14ac:dyDescent="0.25">
      <c r="D975">
        <f t="shared" si="30"/>
        <v>0</v>
      </c>
      <c r="H975">
        <v>973</v>
      </c>
      <c r="I975" s="1">
        <v>45932</v>
      </c>
      <c r="J975">
        <f t="array" ref="J975">INDEX($D$3:$D$62,MATCH(1, (YEAR(I975)=YEAR($A$3:$A$62))*(MONTH(I975)=MONTH($A$3:$A$62)),0))</f>
        <v>53084.449717471478</v>
      </c>
      <c r="K975">
        <f t="array" ref="K975">INDEX($G$3:$G$200,MATCH(1, (YEAR(I975)=YEAR($A$3:$A$2000))*(MONTH(I975)=MONTH($A$3:$A$2000)),0))</f>
        <v>77859.781789036759</v>
      </c>
      <c r="L975">
        <f t="shared" si="31"/>
        <v>52890.952032636997</v>
      </c>
    </row>
    <row r="976" spans="4:12" x14ac:dyDescent="0.25">
      <c r="D976">
        <f t="shared" si="30"/>
        <v>0</v>
      </c>
      <c r="H976">
        <v>974</v>
      </c>
      <c r="I976" s="1">
        <v>45933</v>
      </c>
      <c r="J976">
        <f t="array" ref="J976">INDEX($D$3:$D$62,MATCH(1, (YEAR(I976)=YEAR($A$3:$A$62))*(MONTH(I976)=MONTH($A$3:$A$62)),0))</f>
        <v>53084.449717471478</v>
      </c>
      <c r="K976">
        <f t="array" ref="K976">INDEX($G$3:$G$200,MATCH(1, (YEAR(I976)=YEAR($A$3:$A$2000))*(MONTH(I976)=MONTH($A$3:$A$2000)),0))</f>
        <v>77859.781789036759</v>
      </c>
      <c r="L976">
        <f t="shared" si="31"/>
        <v>52852.981233503961</v>
      </c>
    </row>
    <row r="977" spans="4:12" x14ac:dyDescent="0.25">
      <c r="D977">
        <f t="shared" si="30"/>
        <v>0</v>
      </c>
      <c r="H977">
        <v>975</v>
      </c>
      <c r="I977" s="1">
        <v>45934</v>
      </c>
      <c r="J977">
        <f t="array" ref="J977">INDEX($D$3:$D$62,MATCH(1, (YEAR(I977)=YEAR($A$3:$A$62))*(MONTH(I977)=MONTH($A$3:$A$62)),0))</f>
        <v>53084.449717471478</v>
      </c>
      <c r="K977">
        <f t="array" ref="K977">INDEX($G$3:$G$200,MATCH(1, (YEAR(I977)=YEAR($A$3:$A$2000))*(MONTH(I977)=MONTH($A$3:$A$2000)),0))</f>
        <v>77859.781789036759</v>
      </c>
      <c r="L977">
        <f t="shared" si="31"/>
        <v>52815.05677455898</v>
      </c>
    </row>
    <row r="978" spans="4:12" x14ac:dyDescent="0.25">
      <c r="D978">
        <f t="shared" si="30"/>
        <v>0</v>
      </c>
      <c r="H978">
        <v>976</v>
      </c>
      <c r="I978" s="1">
        <v>45935</v>
      </c>
      <c r="J978">
        <f t="array" ref="J978">INDEX($D$3:$D$62,MATCH(1, (YEAR(I978)=YEAR($A$3:$A$62))*(MONTH(I978)=MONTH($A$3:$A$62)),0))</f>
        <v>53084.449717471478</v>
      </c>
      <c r="K978">
        <f t="array" ref="K978">INDEX($G$3:$G$200,MATCH(1, (YEAR(I978)=YEAR($A$3:$A$2000))*(MONTH(I978)=MONTH($A$3:$A$2000)),0))</f>
        <v>77859.781789036759</v>
      </c>
      <c r="L978">
        <f t="shared" si="31"/>
        <v>52777.178513823994</v>
      </c>
    </row>
    <row r="979" spans="4:12" x14ac:dyDescent="0.25">
      <c r="D979">
        <f t="shared" si="30"/>
        <v>0</v>
      </c>
      <c r="H979">
        <v>977</v>
      </c>
      <c r="I979" s="1">
        <v>45936</v>
      </c>
      <c r="J979">
        <f t="array" ref="J979">INDEX($D$3:$D$62,MATCH(1, (YEAR(I979)=YEAR($A$3:$A$62))*(MONTH(I979)=MONTH($A$3:$A$62)),0))</f>
        <v>53084.449717471478</v>
      </c>
      <c r="K979">
        <f t="array" ref="K979">INDEX($G$3:$G$200,MATCH(1, (YEAR(I979)=YEAR($A$3:$A$2000))*(MONTH(I979)=MONTH($A$3:$A$2000)),0))</f>
        <v>77859.781789036759</v>
      </c>
      <c r="L979">
        <f t="shared" si="31"/>
        <v>52739.346309608984</v>
      </c>
    </row>
    <row r="980" spans="4:12" x14ac:dyDescent="0.25">
      <c r="D980">
        <f t="shared" si="30"/>
        <v>0</v>
      </c>
      <c r="H980">
        <v>978</v>
      </c>
      <c r="I980" s="1">
        <v>45937</v>
      </c>
      <c r="J980">
        <f t="array" ref="J980">INDEX($D$3:$D$62,MATCH(1, (YEAR(I980)=YEAR($A$3:$A$62))*(MONTH(I980)=MONTH($A$3:$A$62)),0))</f>
        <v>53084.449717471478</v>
      </c>
      <c r="K980">
        <f t="array" ref="K980">INDEX($G$3:$G$200,MATCH(1, (YEAR(I980)=YEAR($A$3:$A$2000))*(MONTH(I980)=MONTH($A$3:$A$2000)),0))</f>
        <v>77859.781789036759</v>
      </c>
      <c r="L980">
        <f t="shared" si="31"/>
        <v>52701.56002051197</v>
      </c>
    </row>
    <row r="981" spans="4:12" x14ac:dyDescent="0.25">
      <c r="D981">
        <f t="shared" si="30"/>
        <v>0</v>
      </c>
      <c r="H981">
        <v>979</v>
      </c>
      <c r="I981" s="1">
        <v>45938</v>
      </c>
      <c r="J981">
        <f t="array" ref="J981">INDEX($D$3:$D$62,MATCH(1, (YEAR(I981)=YEAR($A$3:$A$62))*(MONTH(I981)=MONTH($A$3:$A$62)),0))</f>
        <v>53084.449717471478</v>
      </c>
      <c r="K981">
        <f t="array" ref="K981">INDEX($G$3:$G$200,MATCH(1, (YEAR(I981)=YEAR($A$3:$A$2000))*(MONTH(I981)=MONTH($A$3:$A$2000)),0))</f>
        <v>77859.781789036759</v>
      </c>
      <c r="L981">
        <f t="shared" si="31"/>
        <v>52663.819505418971</v>
      </c>
    </row>
    <row r="982" spans="4:12" x14ac:dyDescent="0.25">
      <c r="D982">
        <f t="shared" si="30"/>
        <v>0</v>
      </c>
      <c r="H982">
        <v>980</v>
      </c>
      <c r="I982" s="1">
        <v>45939</v>
      </c>
      <c r="J982">
        <f t="array" ref="J982">INDEX($D$3:$D$62,MATCH(1, (YEAR(I982)=YEAR($A$3:$A$62))*(MONTH(I982)=MONTH($A$3:$A$62)),0))</f>
        <v>53084.449717471478</v>
      </c>
      <c r="K982">
        <f t="array" ref="K982">INDEX($G$3:$G$200,MATCH(1, (YEAR(I982)=YEAR($A$3:$A$2000))*(MONTH(I982)=MONTH($A$3:$A$2000)),0))</f>
        <v>77859.781789036759</v>
      </c>
      <c r="L982">
        <f t="shared" si="31"/>
        <v>52626.124623504002</v>
      </c>
    </row>
    <row r="983" spans="4:12" x14ac:dyDescent="0.25">
      <c r="D983">
        <f t="shared" si="30"/>
        <v>0</v>
      </c>
      <c r="H983">
        <v>981</v>
      </c>
      <c r="I983" s="1">
        <v>45940</v>
      </c>
      <c r="J983">
        <f t="array" ref="J983">INDEX($D$3:$D$62,MATCH(1, (YEAR(I983)=YEAR($A$3:$A$62))*(MONTH(I983)=MONTH($A$3:$A$62)),0))</f>
        <v>53084.449717471478</v>
      </c>
      <c r="K983">
        <f t="array" ref="K983">INDEX($G$3:$G$200,MATCH(1, (YEAR(I983)=YEAR($A$3:$A$2000))*(MONTH(I983)=MONTH($A$3:$A$2000)),0))</f>
        <v>77859.781789036759</v>
      </c>
      <c r="L983">
        <f t="shared" si="31"/>
        <v>52588.475234229001</v>
      </c>
    </row>
    <row r="984" spans="4:12" x14ac:dyDescent="0.25">
      <c r="D984">
        <f t="shared" si="30"/>
        <v>0</v>
      </c>
      <c r="H984">
        <v>982</v>
      </c>
      <c r="I984" s="1">
        <v>45941</v>
      </c>
      <c r="J984">
        <f t="array" ref="J984">INDEX($D$3:$D$62,MATCH(1, (YEAR(I984)=YEAR($A$3:$A$62))*(MONTH(I984)=MONTH($A$3:$A$62)),0))</f>
        <v>53084.449717471478</v>
      </c>
      <c r="K984">
        <f t="array" ref="K984">INDEX($G$3:$G$200,MATCH(1, (YEAR(I984)=YEAR($A$3:$A$2000))*(MONTH(I984)=MONTH($A$3:$A$2000)),0))</f>
        <v>77859.781789036759</v>
      </c>
      <c r="L984">
        <f t="shared" si="31"/>
        <v>52550.871197343979</v>
      </c>
    </row>
    <row r="985" spans="4:12" x14ac:dyDescent="0.25">
      <c r="D985">
        <f t="shared" si="30"/>
        <v>0</v>
      </c>
      <c r="H985">
        <v>983</v>
      </c>
      <c r="I985" s="1">
        <v>45942</v>
      </c>
      <c r="J985">
        <f t="array" ref="J985">INDEX($D$3:$D$62,MATCH(1, (YEAR(I985)=YEAR($A$3:$A$62))*(MONTH(I985)=MONTH($A$3:$A$62)),0))</f>
        <v>53084.449717471478</v>
      </c>
      <c r="K985">
        <f t="array" ref="K985">INDEX($G$3:$G$200,MATCH(1, (YEAR(I985)=YEAR($A$3:$A$2000))*(MONTH(I985)=MONTH($A$3:$A$2000)),0))</f>
        <v>77859.781789036759</v>
      </c>
      <c r="L985">
        <f t="shared" si="31"/>
        <v>52513.312372886969</v>
      </c>
    </row>
    <row r="986" spans="4:12" x14ac:dyDescent="0.25">
      <c r="D986">
        <f t="shared" si="30"/>
        <v>0</v>
      </c>
      <c r="H986">
        <v>984</v>
      </c>
      <c r="I986" s="1">
        <v>45943</v>
      </c>
      <c r="J986">
        <f t="array" ref="J986">INDEX($D$3:$D$62,MATCH(1, (YEAR(I986)=YEAR($A$3:$A$62))*(MONTH(I986)=MONTH($A$3:$A$62)),0))</f>
        <v>53084.449717471478</v>
      </c>
      <c r="K986">
        <f t="array" ref="K986">INDEX($G$3:$G$200,MATCH(1, (YEAR(I986)=YEAR($A$3:$A$2000))*(MONTH(I986)=MONTH($A$3:$A$2000)),0))</f>
        <v>77859.781789036759</v>
      </c>
      <c r="L986">
        <f t="shared" si="31"/>
        <v>52475.798621183989</v>
      </c>
    </row>
    <row r="987" spans="4:12" x14ac:dyDescent="0.25">
      <c r="D987">
        <f t="shared" si="30"/>
        <v>0</v>
      </c>
      <c r="H987">
        <v>985</v>
      </c>
      <c r="I987" s="1">
        <v>45944</v>
      </c>
      <c r="J987">
        <f t="array" ref="J987">INDEX($D$3:$D$62,MATCH(1, (YEAR(I987)=YEAR($A$3:$A$62))*(MONTH(I987)=MONTH($A$3:$A$62)),0))</f>
        <v>53084.449717471478</v>
      </c>
      <c r="K987">
        <f t="array" ref="K987">INDEX($G$3:$G$200,MATCH(1, (YEAR(I987)=YEAR($A$3:$A$2000))*(MONTH(I987)=MONTH($A$3:$A$2000)),0))</f>
        <v>77859.781789036759</v>
      </c>
      <c r="L987">
        <f t="shared" si="31"/>
        <v>52438.329802848981</v>
      </c>
    </row>
    <row r="988" spans="4:12" x14ac:dyDescent="0.25">
      <c r="D988">
        <f t="shared" si="30"/>
        <v>0</v>
      </c>
      <c r="H988">
        <v>986</v>
      </c>
      <c r="I988" s="1">
        <v>45945</v>
      </c>
      <c r="J988">
        <f t="array" ref="J988">INDEX($D$3:$D$62,MATCH(1, (YEAR(I988)=YEAR($A$3:$A$62))*(MONTH(I988)=MONTH($A$3:$A$62)),0))</f>
        <v>53084.449717471478</v>
      </c>
      <c r="K988">
        <f t="array" ref="K988">INDEX($G$3:$G$200,MATCH(1, (YEAR(I988)=YEAR($A$3:$A$2000))*(MONTH(I988)=MONTH($A$3:$A$2000)),0))</f>
        <v>77859.781789036759</v>
      </c>
      <c r="L988">
        <f t="shared" si="31"/>
        <v>52400.905778783985</v>
      </c>
    </row>
    <row r="989" spans="4:12" x14ac:dyDescent="0.25">
      <c r="D989">
        <f t="shared" si="30"/>
        <v>0</v>
      </c>
      <c r="H989">
        <v>987</v>
      </c>
      <c r="I989" s="1">
        <v>45946</v>
      </c>
      <c r="J989">
        <f t="array" ref="J989">INDEX($D$3:$D$62,MATCH(1, (YEAR(I989)=YEAR($A$3:$A$62))*(MONTH(I989)=MONTH($A$3:$A$62)),0))</f>
        <v>53084.449717471478</v>
      </c>
      <c r="K989">
        <f t="array" ref="K989">INDEX($G$3:$G$200,MATCH(1, (YEAR(I989)=YEAR($A$3:$A$2000))*(MONTH(I989)=MONTH($A$3:$A$2000)),0))</f>
        <v>77859.781789036759</v>
      </c>
      <c r="L989">
        <f t="shared" si="31"/>
        <v>52363.52641017898</v>
      </c>
    </row>
    <row r="990" spans="4:12" x14ac:dyDescent="0.25">
      <c r="D990">
        <f t="shared" si="30"/>
        <v>0</v>
      </c>
      <c r="H990">
        <v>988</v>
      </c>
      <c r="I990" s="1">
        <v>45947</v>
      </c>
      <c r="J990">
        <f t="array" ref="J990">INDEX($D$3:$D$62,MATCH(1, (YEAR(I990)=YEAR($A$3:$A$62))*(MONTH(I990)=MONTH($A$3:$A$62)),0))</f>
        <v>53084.449717471478</v>
      </c>
      <c r="K990">
        <f t="array" ref="K990">INDEX($G$3:$G$200,MATCH(1, (YEAR(I990)=YEAR($A$3:$A$2000))*(MONTH(I990)=MONTH($A$3:$A$2000)),0))</f>
        <v>77859.781789036759</v>
      </c>
      <c r="L990">
        <f t="shared" si="31"/>
        <v>52326.191558511986</v>
      </c>
    </row>
    <row r="991" spans="4:12" x14ac:dyDescent="0.25">
      <c r="D991">
        <f t="shared" si="30"/>
        <v>0</v>
      </c>
      <c r="H991">
        <v>989</v>
      </c>
      <c r="I991" s="1">
        <v>45948</v>
      </c>
      <c r="J991">
        <f t="array" ref="J991">INDEX($D$3:$D$62,MATCH(1, (YEAR(I991)=YEAR($A$3:$A$62))*(MONTH(I991)=MONTH($A$3:$A$62)),0))</f>
        <v>53084.449717471478</v>
      </c>
      <c r="K991">
        <f t="array" ref="K991">INDEX($G$3:$G$200,MATCH(1, (YEAR(I991)=YEAR($A$3:$A$2000))*(MONTH(I991)=MONTH($A$3:$A$2000)),0))</f>
        <v>77859.781789036759</v>
      </c>
      <c r="L991">
        <f t="shared" si="31"/>
        <v>52288.901085548976</v>
      </c>
    </row>
    <row r="992" spans="4:12" x14ac:dyDescent="0.25">
      <c r="D992">
        <f t="shared" si="30"/>
        <v>0</v>
      </c>
      <c r="H992">
        <v>990</v>
      </c>
      <c r="I992" s="1">
        <v>45949</v>
      </c>
      <c r="J992">
        <f t="array" ref="J992">INDEX($D$3:$D$62,MATCH(1, (YEAR(I992)=YEAR($A$3:$A$62))*(MONTH(I992)=MONTH($A$3:$A$62)),0))</f>
        <v>53084.449717471478</v>
      </c>
      <c r="K992">
        <f t="array" ref="K992">INDEX($G$3:$G$200,MATCH(1, (YEAR(I992)=YEAR($A$3:$A$2000))*(MONTH(I992)=MONTH($A$3:$A$2000)),0))</f>
        <v>77859.781789036759</v>
      </c>
      <c r="L992">
        <f t="shared" si="31"/>
        <v>52251.654853343964</v>
      </c>
    </row>
    <row r="993" spans="4:12" x14ac:dyDescent="0.25">
      <c r="D993">
        <f t="shared" si="30"/>
        <v>0</v>
      </c>
      <c r="H993">
        <v>991</v>
      </c>
      <c r="I993" s="1">
        <v>45950</v>
      </c>
      <c r="J993">
        <f t="array" ref="J993">INDEX($D$3:$D$62,MATCH(1, (YEAR(I993)=YEAR($A$3:$A$62))*(MONTH(I993)=MONTH($A$3:$A$62)),0))</f>
        <v>53084.449717471478</v>
      </c>
      <c r="K993">
        <f t="array" ref="K993">INDEX($G$3:$G$200,MATCH(1, (YEAR(I993)=YEAR($A$3:$A$2000))*(MONTH(I993)=MONTH($A$3:$A$2000)),0))</f>
        <v>77859.781789036759</v>
      </c>
      <c r="L993">
        <f t="shared" si="31"/>
        <v>52214.452724238974</v>
      </c>
    </row>
    <row r="994" spans="4:12" x14ac:dyDescent="0.25">
      <c r="D994">
        <f t="shared" si="30"/>
        <v>0</v>
      </c>
      <c r="H994">
        <v>992</v>
      </c>
      <c r="I994" s="1">
        <v>45951</v>
      </c>
      <c r="J994">
        <f t="array" ref="J994">INDEX($D$3:$D$62,MATCH(1, (YEAR(I994)=YEAR($A$3:$A$62))*(MONTH(I994)=MONTH($A$3:$A$62)),0))</f>
        <v>53084.449717471478</v>
      </c>
      <c r="K994">
        <f t="array" ref="K994">INDEX($G$3:$G$200,MATCH(1, (YEAR(I994)=YEAR($A$3:$A$2000))*(MONTH(I994)=MONTH($A$3:$A$2000)),0))</f>
        <v>77859.781789036759</v>
      </c>
      <c r="L994">
        <f t="shared" si="31"/>
        <v>52177.294560863986</v>
      </c>
    </row>
    <row r="995" spans="4:12" x14ac:dyDescent="0.25">
      <c r="D995">
        <f t="shared" si="30"/>
        <v>0</v>
      </c>
      <c r="H995">
        <v>993</v>
      </c>
      <c r="I995" s="1">
        <v>45952</v>
      </c>
      <c r="J995">
        <f t="array" ref="J995">INDEX($D$3:$D$62,MATCH(1, (YEAR(I995)=YEAR($A$3:$A$62))*(MONTH(I995)=MONTH($A$3:$A$62)),0))</f>
        <v>53084.449717471478</v>
      </c>
      <c r="K995">
        <f t="array" ref="K995">INDEX($G$3:$G$200,MATCH(1, (YEAR(I995)=YEAR($A$3:$A$2000))*(MONTH(I995)=MONTH($A$3:$A$2000)),0))</f>
        <v>77859.781789036759</v>
      </c>
      <c r="L995">
        <f t="shared" si="31"/>
        <v>52140.180226136988</v>
      </c>
    </row>
    <row r="996" spans="4:12" x14ac:dyDescent="0.25">
      <c r="D996">
        <f t="shared" si="30"/>
        <v>0</v>
      </c>
      <c r="H996">
        <v>994</v>
      </c>
      <c r="I996" s="1">
        <v>45953</v>
      </c>
      <c r="J996">
        <f t="array" ref="J996">INDEX($D$3:$D$62,MATCH(1, (YEAR(I996)=YEAR($A$3:$A$62))*(MONTH(I996)=MONTH($A$3:$A$62)),0))</f>
        <v>53084.449717471478</v>
      </c>
      <c r="K996">
        <f t="array" ref="K996">INDEX($G$3:$G$200,MATCH(1, (YEAR(I996)=YEAR($A$3:$A$2000))*(MONTH(I996)=MONTH($A$3:$A$2000)),0))</f>
        <v>77859.781789036759</v>
      </c>
      <c r="L996">
        <f t="shared" si="31"/>
        <v>52103.109583263969</v>
      </c>
    </row>
    <row r="997" spans="4:12" x14ac:dyDescent="0.25">
      <c r="D997">
        <f t="shared" si="30"/>
        <v>0</v>
      </c>
      <c r="H997">
        <v>995</v>
      </c>
      <c r="I997" s="1">
        <v>45954</v>
      </c>
      <c r="J997">
        <f t="array" ref="J997">INDEX($D$3:$D$62,MATCH(1, (YEAR(I997)=YEAR($A$3:$A$62))*(MONTH(I997)=MONTH($A$3:$A$62)),0))</f>
        <v>53084.449717471478</v>
      </c>
      <c r="K997">
        <f t="array" ref="K997">INDEX($G$3:$G$200,MATCH(1, (YEAR(I997)=YEAR($A$3:$A$2000))*(MONTH(I997)=MONTH($A$3:$A$2000)),0))</f>
        <v>77859.781789036759</v>
      </c>
      <c r="L997">
        <f t="shared" si="31"/>
        <v>52066.082495738985</v>
      </c>
    </row>
    <row r="998" spans="4:12" x14ac:dyDescent="0.25">
      <c r="D998">
        <f t="shared" si="30"/>
        <v>0</v>
      </c>
      <c r="H998">
        <v>996</v>
      </c>
      <c r="I998" s="1">
        <v>45955</v>
      </c>
      <c r="J998">
        <f t="array" ref="J998">INDEX($D$3:$D$62,MATCH(1, (YEAR(I998)=YEAR($A$3:$A$62))*(MONTH(I998)=MONTH($A$3:$A$62)),0))</f>
        <v>53084.449717471478</v>
      </c>
      <c r="K998">
        <f t="array" ref="K998">INDEX($G$3:$G$200,MATCH(1, (YEAR(I998)=YEAR($A$3:$A$2000))*(MONTH(I998)=MONTH($A$3:$A$2000)),0))</f>
        <v>77859.781789036759</v>
      </c>
      <c r="L998">
        <f t="shared" si="31"/>
        <v>52029.098827343987</v>
      </c>
    </row>
    <row r="999" spans="4:12" x14ac:dyDescent="0.25">
      <c r="D999">
        <f t="shared" si="30"/>
        <v>0</v>
      </c>
      <c r="H999">
        <v>997</v>
      </c>
      <c r="I999" s="1">
        <v>45956</v>
      </c>
      <c r="J999">
        <f t="array" ref="J999">INDEX($D$3:$D$62,MATCH(1, (YEAR(I999)=YEAR($A$3:$A$62))*(MONTH(I999)=MONTH($A$3:$A$62)),0))</f>
        <v>53084.449717471478</v>
      </c>
      <c r="K999">
        <f t="array" ref="K999">INDEX($G$3:$G$200,MATCH(1, (YEAR(I999)=YEAR($A$3:$A$2000))*(MONTH(I999)=MONTH($A$3:$A$2000)),0))</f>
        <v>77859.781789036759</v>
      </c>
      <c r="L999">
        <f t="shared" si="31"/>
        <v>51992.158442148997</v>
      </c>
    </row>
    <row r="1000" spans="4:12" x14ac:dyDescent="0.25">
      <c r="D1000">
        <f t="shared" si="30"/>
        <v>0</v>
      </c>
      <c r="H1000">
        <v>998</v>
      </c>
      <c r="I1000" s="1">
        <v>45957</v>
      </c>
      <c r="J1000">
        <f t="array" ref="J1000">INDEX($D$3:$D$62,MATCH(1, (YEAR(I1000)=YEAR($A$3:$A$62))*(MONTH(I1000)=MONTH($A$3:$A$62)),0))</f>
        <v>53084.449717471478</v>
      </c>
      <c r="K1000">
        <f t="array" ref="K1000">INDEX($G$3:$G$200,MATCH(1, (YEAR(I1000)=YEAR($A$3:$A$2000))*(MONTH(I1000)=MONTH($A$3:$A$2000)),0))</f>
        <v>77859.781789036759</v>
      </c>
      <c r="L1000">
        <f t="shared" si="31"/>
        <v>51955.261204511975</v>
      </c>
    </row>
    <row r="1001" spans="4:12" x14ac:dyDescent="0.25">
      <c r="D1001">
        <f t="shared" si="30"/>
        <v>0</v>
      </c>
      <c r="H1001">
        <v>999</v>
      </c>
      <c r="I1001" s="1">
        <v>45958</v>
      </c>
      <c r="J1001">
        <f t="array" ref="J1001">INDEX($D$3:$D$62,MATCH(1, (YEAR(I1001)=YEAR($A$3:$A$62))*(MONTH(I1001)=MONTH($A$3:$A$62)),0))</f>
        <v>53084.449717471478</v>
      </c>
      <c r="K1001">
        <f t="array" ref="K1001">INDEX($G$3:$G$200,MATCH(1, (YEAR(I1001)=YEAR($A$3:$A$2000))*(MONTH(I1001)=MONTH($A$3:$A$2000)),0))</f>
        <v>77859.781789036759</v>
      </c>
      <c r="L1001">
        <f t="shared" si="31"/>
        <v>51918.406979078994</v>
      </c>
    </row>
    <row r="1002" spans="4:12" x14ac:dyDescent="0.25">
      <c r="D1002">
        <f t="shared" si="30"/>
        <v>0</v>
      </c>
      <c r="H1002">
        <v>1000</v>
      </c>
      <c r="I1002" s="1">
        <v>45959</v>
      </c>
      <c r="J1002">
        <f t="array" ref="J1002">INDEX($D$3:$D$62,MATCH(1, (YEAR(I1002)=YEAR($A$3:$A$62))*(MONTH(I1002)=MONTH($A$3:$A$62)),0))</f>
        <v>53084.449717471478</v>
      </c>
      <c r="K1002">
        <f t="array" ref="K1002">INDEX($G$3:$G$200,MATCH(1, (YEAR(I1002)=YEAR($A$3:$A$2000))*(MONTH(I1002)=MONTH($A$3:$A$2000)),0))</f>
        <v>77859.781789036759</v>
      </c>
      <c r="L1002">
        <f t="shared" si="31"/>
        <v>51881.595630783995</v>
      </c>
    </row>
    <row r="1003" spans="4:12" x14ac:dyDescent="0.25">
      <c r="D1003">
        <f t="shared" si="30"/>
        <v>0</v>
      </c>
      <c r="H1003">
        <v>1001</v>
      </c>
      <c r="I1003" s="1">
        <v>45960</v>
      </c>
      <c r="J1003">
        <f t="array" ref="J1003">INDEX($D$3:$D$62,MATCH(1, (YEAR(I1003)=YEAR($A$3:$A$62))*(MONTH(I1003)=MONTH($A$3:$A$62)),0))</f>
        <v>53084.449717471478</v>
      </c>
      <c r="K1003">
        <f t="array" ref="K1003">INDEX($G$3:$G$200,MATCH(1, (YEAR(I1003)=YEAR($A$3:$A$2000))*(MONTH(I1003)=MONTH($A$3:$A$2000)),0))</f>
        <v>77859.781789036759</v>
      </c>
      <c r="L1003">
        <f t="shared" si="31"/>
        <v>51844.827024848957</v>
      </c>
    </row>
    <row r="1004" spans="4:12" x14ac:dyDescent="0.25">
      <c r="D1004">
        <f t="shared" si="30"/>
        <v>0</v>
      </c>
      <c r="H1004">
        <v>1002</v>
      </c>
      <c r="I1004" s="1">
        <v>45961</v>
      </c>
      <c r="J1004">
        <f t="array" ref="J1004">INDEX($D$3:$D$62,MATCH(1, (YEAR(I1004)=YEAR($A$3:$A$62))*(MONTH(I1004)=MONTH($A$3:$A$62)),0))</f>
        <v>53084.449717471478</v>
      </c>
      <c r="K1004">
        <f t="array" ref="K1004">INDEX($G$3:$G$200,MATCH(1, (YEAR(I1004)=YEAR($A$3:$A$2000))*(MONTH(I1004)=MONTH($A$3:$A$2000)),0))</f>
        <v>77859.781789036759</v>
      </c>
      <c r="L1004">
        <f t="shared" si="31"/>
        <v>51808.101026783974</v>
      </c>
    </row>
    <row r="1005" spans="4:12" x14ac:dyDescent="0.25">
      <c r="D1005">
        <f t="shared" si="30"/>
        <v>0</v>
      </c>
      <c r="H1005">
        <v>1003</v>
      </c>
      <c r="I1005" s="1">
        <v>45962</v>
      </c>
      <c r="J1005">
        <f t="array" ref="J1005">INDEX($D$3:$D$62,MATCH(1, (YEAR(I1005)=YEAR($A$3:$A$62))*(MONTH(I1005)=MONTH($A$3:$A$62)),0))</f>
        <v>52002.385006553261</v>
      </c>
      <c r="K1005">
        <f t="array" ref="K1005">INDEX($G$3:$G$200,MATCH(1, (YEAR(I1005)=YEAR($A$3:$A$2000))*(MONTH(I1005)=MONTH($A$3:$A$2000)),0))</f>
        <v>76251.840383268733</v>
      </c>
      <c r="L1005">
        <f t="shared" si="31"/>
        <v>51771.417502387005</v>
      </c>
    </row>
    <row r="1006" spans="4:12" x14ac:dyDescent="0.25">
      <c r="D1006">
        <f t="shared" si="30"/>
        <v>0</v>
      </c>
      <c r="H1006">
        <v>1004</v>
      </c>
      <c r="I1006" s="1">
        <v>45963</v>
      </c>
      <c r="J1006">
        <f t="array" ref="J1006">INDEX($D$3:$D$62,MATCH(1, (YEAR(I1006)=YEAR($A$3:$A$62))*(MONTH(I1006)=MONTH($A$3:$A$62)),0))</f>
        <v>52002.385006553261</v>
      </c>
      <c r="K1006">
        <f t="array" ref="K1006">INDEX($G$3:$G$200,MATCH(1, (YEAR(I1006)=YEAR($A$3:$A$2000))*(MONTH(I1006)=MONTH($A$3:$A$2000)),0))</f>
        <v>76251.840383268733</v>
      </c>
      <c r="L1006">
        <f t="shared" si="31"/>
        <v>51734.776317743963</v>
      </c>
    </row>
    <row r="1007" spans="4:12" x14ac:dyDescent="0.25">
      <c r="D1007">
        <f t="shared" si="30"/>
        <v>0</v>
      </c>
      <c r="H1007">
        <v>1005</v>
      </c>
      <c r="I1007" s="1">
        <v>45964</v>
      </c>
      <c r="J1007">
        <f t="array" ref="J1007">INDEX($D$3:$D$62,MATCH(1, (YEAR(I1007)=YEAR($A$3:$A$62))*(MONTH(I1007)=MONTH($A$3:$A$62)),0))</f>
        <v>52002.385006553261</v>
      </c>
      <c r="K1007">
        <f t="array" ref="K1007">INDEX($G$3:$G$200,MATCH(1, (YEAR(I1007)=YEAR($A$3:$A$2000))*(MONTH(I1007)=MONTH($A$3:$A$2000)),0))</f>
        <v>76251.840383268733</v>
      </c>
      <c r="L1007">
        <f t="shared" si="31"/>
        <v>51698.177339228991</v>
      </c>
    </row>
    <row r="1008" spans="4:12" x14ac:dyDescent="0.25">
      <c r="D1008">
        <f t="shared" si="30"/>
        <v>0</v>
      </c>
      <c r="H1008">
        <v>1006</v>
      </c>
      <c r="I1008" s="1">
        <v>45965</v>
      </c>
      <c r="J1008">
        <f t="array" ref="J1008">INDEX($D$3:$D$62,MATCH(1, (YEAR(I1008)=YEAR($A$3:$A$62))*(MONTH(I1008)=MONTH($A$3:$A$62)),0))</f>
        <v>52002.385006553261</v>
      </c>
      <c r="K1008">
        <f t="array" ref="K1008">INDEX($G$3:$G$200,MATCH(1, (YEAR(I1008)=YEAR($A$3:$A$2000))*(MONTH(I1008)=MONTH($A$3:$A$2000)),0))</f>
        <v>76251.840383268733</v>
      </c>
      <c r="L1008">
        <f t="shared" si="31"/>
        <v>51661.62043350398</v>
      </c>
    </row>
    <row r="1009" spans="4:12" x14ac:dyDescent="0.25">
      <c r="D1009">
        <f t="shared" si="30"/>
        <v>0</v>
      </c>
      <c r="H1009">
        <v>1007</v>
      </c>
      <c r="I1009" s="1">
        <v>45966</v>
      </c>
      <c r="J1009">
        <f t="array" ref="J1009">INDEX($D$3:$D$62,MATCH(1, (YEAR(I1009)=YEAR($A$3:$A$62))*(MONTH(I1009)=MONTH($A$3:$A$62)),0))</f>
        <v>52002.385006553261</v>
      </c>
      <c r="K1009">
        <f t="array" ref="K1009">INDEX($G$3:$G$200,MATCH(1, (YEAR(I1009)=YEAR($A$3:$A$2000))*(MONTH(I1009)=MONTH($A$3:$A$2000)),0))</f>
        <v>76251.840383268733</v>
      </c>
      <c r="L1009">
        <f t="shared" si="31"/>
        <v>51625.105467518981</v>
      </c>
    </row>
    <row r="1010" spans="4:12" x14ac:dyDescent="0.25">
      <c r="D1010">
        <f t="shared" si="30"/>
        <v>0</v>
      </c>
      <c r="H1010">
        <v>1008</v>
      </c>
      <c r="I1010" s="1">
        <v>45967</v>
      </c>
      <c r="J1010">
        <f t="array" ref="J1010">INDEX($D$3:$D$62,MATCH(1, (YEAR(I1010)=YEAR($A$3:$A$62))*(MONTH(I1010)=MONTH($A$3:$A$62)),0))</f>
        <v>52002.385006553261</v>
      </c>
      <c r="K1010">
        <f t="array" ref="K1010">INDEX($G$3:$G$200,MATCH(1, (YEAR(I1010)=YEAR($A$3:$A$2000))*(MONTH(I1010)=MONTH($A$3:$A$2000)),0))</f>
        <v>76251.840383268733</v>
      </c>
      <c r="L1010">
        <f t="shared" si="31"/>
        <v>51588.632308511966</v>
      </c>
    </row>
    <row r="1011" spans="4:12" x14ac:dyDescent="0.25">
      <c r="D1011">
        <f t="shared" si="30"/>
        <v>0</v>
      </c>
      <c r="H1011">
        <v>1009</v>
      </c>
      <c r="I1011" s="1">
        <v>45968</v>
      </c>
      <c r="J1011">
        <f t="array" ref="J1011">INDEX($D$3:$D$62,MATCH(1, (YEAR(I1011)=YEAR($A$3:$A$62))*(MONTH(I1011)=MONTH($A$3:$A$62)),0))</f>
        <v>52002.385006553261</v>
      </c>
      <c r="K1011">
        <f t="array" ref="K1011">INDEX($G$3:$G$200,MATCH(1, (YEAR(I1011)=YEAR($A$3:$A$2000))*(MONTH(I1011)=MONTH($A$3:$A$2000)),0))</f>
        <v>76251.840383268733</v>
      </c>
      <c r="L1011">
        <f t="shared" si="31"/>
        <v>51552.200824008978</v>
      </c>
    </row>
    <row r="1012" spans="4:12" x14ac:dyDescent="0.25">
      <c r="D1012">
        <f t="shared" si="30"/>
        <v>0</v>
      </c>
      <c r="H1012">
        <v>1010</v>
      </c>
      <c r="I1012" s="1">
        <v>45969</v>
      </c>
      <c r="J1012">
        <f t="array" ref="J1012">INDEX($D$3:$D$62,MATCH(1, (YEAR(I1012)=YEAR($A$3:$A$62))*(MONTH(I1012)=MONTH($A$3:$A$62)),0))</f>
        <v>52002.385006553261</v>
      </c>
      <c r="K1012">
        <f t="array" ref="K1012">INDEX($G$3:$G$200,MATCH(1, (YEAR(I1012)=YEAR($A$3:$A$2000))*(MONTH(I1012)=MONTH($A$3:$A$2000)),0))</f>
        <v>76251.840383268733</v>
      </c>
      <c r="L1012">
        <f t="shared" si="31"/>
        <v>51515.810881823956</v>
      </c>
    </row>
    <row r="1013" spans="4:12" x14ac:dyDescent="0.25">
      <c r="D1013">
        <f t="shared" si="30"/>
        <v>0</v>
      </c>
      <c r="H1013">
        <v>1011</v>
      </c>
      <c r="I1013" s="1">
        <v>45970</v>
      </c>
      <c r="J1013">
        <f t="array" ref="J1013">INDEX($D$3:$D$62,MATCH(1, (YEAR(I1013)=YEAR($A$3:$A$62))*(MONTH(I1013)=MONTH($A$3:$A$62)),0))</f>
        <v>52002.385006553261</v>
      </c>
      <c r="K1013">
        <f t="array" ref="K1013">INDEX($G$3:$G$200,MATCH(1, (YEAR(I1013)=YEAR($A$3:$A$2000))*(MONTH(I1013)=MONTH($A$3:$A$2000)),0))</f>
        <v>76251.840383268733</v>
      </c>
      <c r="L1013">
        <f t="shared" si="31"/>
        <v>51479.46235005901</v>
      </c>
    </row>
    <row r="1014" spans="4:12" x14ac:dyDescent="0.25">
      <c r="D1014">
        <f t="shared" si="30"/>
        <v>0</v>
      </c>
      <c r="H1014">
        <v>1012</v>
      </c>
      <c r="I1014" s="1">
        <v>45971</v>
      </c>
      <c r="J1014">
        <f t="array" ref="J1014">INDEX($D$3:$D$62,MATCH(1, (YEAR(I1014)=YEAR($A$3:$A$62))*(MONTH(I1014)=MONTH($A$3:$A$62)),0))</f>
        <v>52002.385006553261</v>
      </c>
      <c r="K1014">
        <f t="array" ref="K1014">INDEX($G$3:$G$200,MATCH(1, (YEAR(I1014)=YEAR($A$3:$A$2000))*(MONTH(I1014)=MONTH($A$3:$A$2000)),0))</f>
        <v>76251.840383268733</v>
      </c>
      <c r="L1014">
        <f t="shared" si="31"/>
        <v>51443.155097103983</v>
      </c>
    </row>
    <row r="1015" spans="4:12" x14ac:dyDescent="0.25">
      <c r="D1015">
        <f t="shared" si="30"/>
        <v>0</v>
      </c>
      <c r="H1015">
        <v>1013</v>
      </c>
      <c r="I1015" s="1">
        <v>45972</v>
      </c>
      <c r="J1015">
        <f t="array" ref="J1015">INDEX($D$3:$D$62,MATCH(1, (YEAR(I1015)=YEAR($A$3:$A$62))*(MONTH(I1015)=MONTH($A$3:$A$62)),0))</f>
        <v>52002.385006553261</v>
      </c>
      <c r="K1015">
        <f t="array" ref="K1015">INDEX($G$3:$G$200,MATCH(1, (YEAR(I1015)=YEAR($A$3:$A$2000))*(MONTH(I1015)=MONTH($A$3:$A$2000)),0))</f>
        <v>76251.840383268733</v>
      </c>
      <c r="L1015">
        <f t="shared" si="31"/>
        <v>51406.888991636966</v>
      </c>
    </row>
    <row r="1016" spans="4:12" x14ac:dyDescent="0.25">
      <c r="D1016">
        <f t="shared" si="30"/>
        <v>0</v>
      </c>
      <c r="H1016">
        <v>1014</v>
      </c>
      <c r="I1016" s="1">
        <v>45973</v>
      </c>
      <c r="J1016">
        <f t="array" ref="J1016">INDEX($D$3:$D$62,MATCH(1, (YEAR(I1016)=YEAR($A$3:$A$62))*(MONTH(I1016)=MONTH($A$3:$A$62)),0))</f>
        <v>52002.385006553261</v>
      </c>
      <c r="K1016">
        <f t="array" ref="K1016">INDEX($G$3:$G$200,MATCH(1, (YEAR(I1016)=YEAR($A$3:$A$2000))*(MONTH(I1016)=MONTH($A$3:$A$2000)),0))</f>
        <v>76251.840383268733</v>
      </c>
      <c r="L1016">
        <f t="shared" si="31"/>
        <v>51370.663902623957</v>
      </c>
    </row>
    <row r="1017" spans="4:12" x14ac:dyDescent="0.25">
      <c r="D1017">
        <f t="shared" si="30"/>
        <v>0</v>
      </c>
      <c r="H1017">
        <v>1015</v>
      </c>
      <c r="I1017" s="1">
        <v>45974</v>
      </c>
      <c r="J1017">
        <f t="array" ref="J1017">INDEX($D$3:$D$62,MATCH(1, (YEAR(I1017)=YEAR($A$3:$A$62))*(MONTH(I1017)=MONTH($A$3:$A$62)),0))</f>
        <v>52002.385006553261</v>
      </c>
      <c r="K1017">
        <f t="array" ref="K1017">INDEX($G$3:$G$200,MATCH(1, (YEAR(I1017)=YEAR($A$3:$A$2000))*(MONTH(I1017)=MONTH($A$3:$A$2000)),0))</f>
        <v>76251.840383268733</v>
      </c>
      <c r="L1017">
        <f t="shared" si="31"/>
        <v>51334.479699318996</v>
      </c>
    </row>
    <row r="1018" spans="4:12" x14ac:dyDescent="0.25">
      <c r="D1018">
        <f t="shared" si="30"/>
        <v>0</v>
      </c>
      <c r="H1018">
        <v>1016</v>
      </c>
      <c r="I1018" s="1">
        <v>45975</v>
      </c>
      <c r="J1018">
        <f t="array" ref="J1018">INDEX($D$3:$D$62,MATCH(1, (YEAR(I1018)=YEAR($A$3:$A$62))*(MONTH(I1018)=MONTH($A$3:$A$62)),0))</f>
        <v>52002.385006553261</v>
      </c>
      <c r="K1018">
        <f t="array" ref="K1018">INDEX($G$3:$G$200,MATCH(1, (YEAR(I1018)=YEAR($A$3:$A$2000))*(MONTH(I1018)=MONTH($A$3:$A$2000)),0))</f>
        <v>76251.840383268733</v>
      </c>
      <c r="L1018">
        <f t="shared" si="31"/>
        <v>51298.336251263972</v>
      </c>
    </row>
    <row r="1019" spans="4:12" x14ac:dyDescent="0.25">
      <c r="D1019">
        <f t="shared" si="30"/>
        <v>0</v>
      </c>
      <c r="H1019">
        <v>1017</v>
      </c>
      <c r="I1019" s="1">
        <v>45976</v>
      </c>
      <c r="J1019">
        <f t="array" ref="J1019">INDEX($D$3:$D$62,MATCH(1, (YEAR(I1019)=YEAR($A$3:$A$62))*(MONTH(I1019)=MONTH($A$3:$A$62)),0))</f>
        <v>52002.385006553261</v>
      </c>
      <c r="K1019">
        <f t="array" ref="K1019">INDEX($G$3:$G$200,MATCH(1, (YEAR(I1019)=YEAR($A$3:$A$2000))*(MONTH(I1019)=MONTH($A$3:$A$2000)),0))</f>
        <v>76251.840383268733</v>
      </c>
      <c r="L1019">
        <f t="shared" si="31"/>
        <v>51262.233428288979</v>
      </c>
    </row>
    <row r="1020" spans="4:12" x14ac:dyDescent="0.25">
      <c r="D1020">
        <f t="shared" si="30"/>
        <v>0</v>
      </c>
      <c r="H1020">
        <v>1018</v>
      </c>
      <c r="I1020" s="1">
        <v>45977</v>
      </c>
      <c r="J1020">
        <f t="array" ref="J1020">INDEX($D$3:$D$62,MATCH(1, (YEAR(I1020)=YEAR($A$3:$A$62))*(MONTH(I1020)=MONTH($A$3:$A$62)),0))</f>
        <v>52002.385006553261</v>
      </c>
      <c r="K1020">
        <f t="array" ref="K1020">INDEX($G$3:$G$200,MATCH(1, (YEAR(I1020)=YEAR($A$3:$A$2000))*(MONTH(I1020)=MONTH($A$3:$A$2000)),0))</f>
        <v>76251.840383268733</v>
      </c>
      <c r="L1020">
        <f t="shared" si="31"/>
        <v>51226.171100511972</v>
      </c>
    </row>
    <row r="1021" spans="4:12" x14ac:dyDescent="0.25">
      <c r="D1021">
        <f t="shared" si="30"/>
        <v>0</v>
      </c>
      <c r="H1021">
        <v>1019</v>
      </c>
      <c r="I1021" s="1">
        <v>45978</v>
      </c>
      <c r="J1021">
        <f t="array" ref="J1021">INDEX($D$3:$D$62,MATCH(1, (YEAR(I1021)=YEAR($A$3:$A$62))*(MONTH(I1021)=MONTH($A$3:$A$62)),0))</f>
        <v>52002.385006553261</v>
      </c>
      <c r="K1021">
        <f t="array" ref="K1021">INDEX($G$3:$G$200,MATCH(1, (YEAR(I1021)=YEAR($A$3:$A$2000))*(MONTH(I1021)=MONTH($A$3:$A$2000)),0))</f>
        <v>76251.840383268733</v>
      </c>
      <c r="L1021">
        <f t="shared" si="31"/>
        <v>51190.14913833898</v>
      </c>
    </row>
    <row r="1022" spans="4:12" x14ac:dyDescent="0.25">
      <c r="D1022">
        <f t="shared" si="30"/>
        <v>0</v>
      </c>
      <c r="H1022">
        <v>1020</v>
      </c>
      <c r="I1022" s="1">
        <v>45979</v>
      </c>
      <c r="J1022">
        <f t="array" ref="J1022">INDEX($D$3:$D$62,MATCH(1, (YEAR(I1022)=YEAR($A$3:$A$62))*(MONTH(I1022)=MONTH($A$3:$A$62)),0))</f>
        <v>52002.385006553261</v>
      </c>
      <c r="K1022">
        <f t="array" ref="K1022">INDEX($G$3:$G$200,MATCH(1, (YEAR(I1022)=YEAR($A$3:$A$2000))*(MONTH(I1022)=MONTH($A$3:$A$2000)),0))</f>
        <v>76251.840383268733</v>
      </c>
      <c r="L1022">
        <f t="shared" si="31"/>
        <v>51154.167412463983</v>
      </c>
    </row>
    <row r="1023" spans="4:12" x14ac:dyDescent="0.25">
      <c r="D1023">
        <f t="shared" si="30"/>
        <v>0</v>
      </c>
      <c r="H1023">
        <v>1021</v>
      </c>
      <c r="I1023" s="1">
        <v>45980</v>
      </c>
      <c r="J1023">
        <f t="array" ref="J1023">INDEX($D$3:$D$62,MATCH(1, (YEAR(I1023)=YEAR($A$3:$A$62))*(MONTH(I1023)=MONTH($A$3:$A$62)),0))</f>
        <v>52002.385006553261</v>
      </c>
      <c r="K1023">
        <f t="array" ref="K1023">INDEX($G$3:$G$200,MATCH(1, (YEAR(I1023)=YEAR($A$3:$A$2000))*(MONTH(I1023)=MONTH($A$3:$A$2000)),0))</f>
        <v>76251.840383268733</v>
      </c>
      <c r="L1023">
        <f t="shared" si="31"/>
        <v>51118.225793868973</v>
      </c>
    </row>
    <row r="1024" spans="4:12" x14ac:dyDescent="0.25">
      <c r="D1024">
        <f t="shared" si="30"/>
        <v>0</v>
      </c>
      <c r="H1024">
        <v>1022</v>
      </c>
      <c r="I1024" s="1">
        <v>45981</v>
      </c>
      <c r="J1024">
        <f t="array" ref="J1024">INDEX($D$3:$D$62,MATCH(1, (YEAR(I1024)=YEAR($A$3:$A$62))*(MONTH(I1024)=MONTH($A$3:$A$62)),0))</f>
        <v>52002.385006553261</v>
      </c>
      <c r="K1024">
        <f t="array" ref="K1024">INDEX($G$3:$G$200,MATCH(1, (YEAR(I1024)=YEAR($A$3:$A$2000))*(MONTH(I1024)=MONTH($A$3:$A$2000)),0))</f>
        <v>76251.840383268733</v>
      </c>
      <c r="L1024">
        <f t="shared" si="31"/>
        <v>51082.324153823967</v>
      </c>
    </row>
    <row r="1025" spans="4:12" x14ac:dyDescent="0.25">
      <c r="D1025">
        <f t="shared" si="30"/>
        <v>0</v>
      </c>
      <c r="H1025">
        <v>1023</v>
      </c>
      <c r="I1025" s="1">
        <v>45982</v>
      </c>
      <c r="J1025">
        <f t="array" ref="J1025">INDEX($D$3:$D$62,MATCH(1, (YEAR(I1025)=YEAR($A$3:$A$62))*(MONTH(I1025)=MONTH($A$3:$A$62)),0))</f>
        <v>52002.385006553261</v>
      </c>
      <c r="K1025">
        <f t="array" ref="K1025">INDEX($G$3:$G$200,MATCH(1, (YEAR(I1025)=YEAR($A$3:$A$2000))*(MONTH(I1025)=MONTH($A$3:$A$2000)),0))</f>
        <v>76251.840383268733</v>
      </c>
      <c r="L1025">
        <f t="shared" si="31"/>
        <v>51046.462363886996</v>
      </c>
    </row>
    <row r="1026" spans="4:12" x14ac:dyDescent="0.25">
      <c r="D1026">
        <f t="shared" si="30"/>
        <v>0</v>
      </c>
      <c r="H1026">
        <v>1024</v>
      </c>
      <c r="I1026" s="1">
        <v>45983</v>
      </c>
      <c r="J1026">
        <f t="array" ref="J1026">INDEX($D$3:$D$62,MATCH(1, (YEAR(I1026)=YEAR($A$3:$A$62))*(MONTH(I1026)=MONTH($A$3:$A$62)),0))</f>
        <v>52002.385006553261</v>
      </c>
      <c r="K1026">
        <f t="array" ref="K1026">INDEX($G$3:$G$200,MATCH(1, (YEAR(I1026)=YEAR($A$3:$A$2000))*(MONTH(I1026)=MONTH($A$3:$A$2000)),0))</f>
        <v>76251.840383268733</v>
      </c>
      <c r="L1026">
        <f t="shared" si="31"/>
        <v>51010.640295903984</v>
      </c>
    </row>
    <row r="1027" spans="4:12" x14ac:dyDescent="0.25">
      <c r="D1027">
        <f t="shared" si="30"/>
        <v>0</v>
      </c>
      <c r="H1027">
        <v>1025</v>
      </c>
      <c r="I1027" s="1">
        <v>45984</v>
      </c>
      <c r="J1027">
        <f t="array" ref="J1027">INDEX($D$3:$D$62,MATCH(1, (YEAR(I1027)=YEAR($A$3:$A$62))*(MONTH(I1027)=MONTH($A$3:$A$62)),0))</f>
        <v>52002.385006553261</v>
      </c>
      <c r="K1027">
        <f t="array" ref="K1027">INDEX($G$3:$G$200,MATCH(1, (YEAR(I1027)=YEAR($A$3:$A$2000))*(MONTH(I1027)=MONTH($A$3:$A$2000)),0))</f>
        <v>76251.840383268733</v>
      </c>
      <c r="L1027">
        <f t="shared" si="31"/>
        <v>50974.857822008984</v>
      </c>
    </row>
    <row r="1028" spans="4:12" x14ac:dyDescent="0.25">
      <c r="D1028">
        <f t="shared" ref="D1028:D1091" si="32">SUM(B1028:C1028)</f>
        <v>0</v>
      </c>
      <c r="H1028">
        <v>1026</v>
      </c>
      <c r="I1028" s="1">
        <v>45985</v>
      </c>
      <c r="J1028">
        <f t="array" ref="J1028">INDEX($D$3:$D$62,MATCH(1, (YEAR(I1028)=YEAR($A$3:$A$62))*(MONTH(I1028)=MONTH($A$3:$A$62)),0))</f>
        <v>52002.385006553261</v>
      </c>
      <c r="K1028">
        <f t="array" ref="K1028">INDEX($G$3:$G$200,MATCH(1, (YEAR(I1028)=YEAR($A$3:$A$2000))*(MONTH(I1028)=MONTH($A$3:$A$2000)),0))</f>
        <v>76251.840383268733</v>
      </c>
      <c r="L1028">
        <f t="shared" ref="L1028:L1091" si="33">0.000000012*H1028^4-0.000070439*H1028^3+0.160688168*H1028^2-194.849290676*H1028+144481.718306784</f>
        <v>50939.114814623987</v>
      </c>
    </row>
    <row r="1029" spans="4:12" x14ac:dyDescent="0.25">
      <c r="D1029">
        <f t="shared" si="32"/>
        <v>0</v>
      </c>
      <c r="H1029">
        <v>1027</v>
      </c>
      <c r="I1029" s="1">
        <v>45986</v>
      </c>
      <c r="J1029">
        <f t="array" ref="J1029">INDEX($D$3:$D$62,MATCH(1, (YEAR(I1029)=YEAR($A$3:$A$62))*(MONTH(I1029)=MONTH($A$3:$A$62)),0))</f>
        <v>52002.385006553261</v>
      </c>
      <c r="K1029">
        <f t="array" ref="K1029">INDEX($G$3:$G$200,MATCH(1, (YEAR(I1029)=YEAR($A$3:$A$2000))*(MONTH(I1029)=MONTH($A$3:$A$2000)),0))</f>
        <v>76251.840383268733</v>
      </c>
      <c r="L1029">
        <f t="shared" si="33"/>
        <v>50903.411146458981</v>
      </c>
    </row>
    <row r="1030" spans="4:12" x14ac:dyDescent="0.25">
      <c r="D1030">
        <f t="shared" si="32"/>
        <v>0</v>
      </c>
      <c r="H1030">
        <v>1028</v>
      </c>
      <c r="I1030" s="1">
        <v>45987</v>
      </c>
      <c r="J1030">
        <f t="array" ref="J1030">INDEX($D$3:$D$62,MATCH(1, (YEAR(I1030)=YEAR($A$3:$A$62))*(MONTH(I1030)=MONTH($A$3:$A$62)),0))</f>
        <v>52002.385006553261</v>
      </c>
      <c r="K1030">
        <f t="array" ref="K1030">INDEX($G$3:$G$200,MATCH(1, (YEAR(I1030)=YEAR($A$3:$A$2000))*(MONTH(I1030)=MONTH($A$3:$A$2000)),0))</f>
        <v>76251.840383268733</v>
      </c>
      <c r="L1030">
        <f t="shared" si="33"/>
        <v>50867.74669051198</v>
      </c>
    </row>
    <row r="1031" spans="4:12" x14ac:dyDescent="0.25">
      <c r="D1031">
        <f t="shared" si="32"/>
        <v>0</v>
      </c>
      <c r="H1031">
        <v>1029</v>
      </c>
      <c r="I1031" s="1">
        <v>45988</v>
      </c>
      <c r="J1031">
        <f t="array" ref="J1031">INDEX($D$3:$D$62,MATCH(1, (YEAR(I1031)=YEAR($A$3:$A$62))*(MONTH(I1031)=MONTH($A$3:$A$62)),0))</f>
        <v>52002.385006553261</v>
      </c>
      <c r="K1031">
        <f t="array" ref="K1031">INDEX($G$3:$G$200,MATCH(1, (YEAR(I1031)=YEAR($A$3:$A$2000))*(MONTH(I1031)=MONTH($A$3:$A$2000)),0))</f>
        <v>76251.840383268733</v>
      </c>
      <c r="L1031">
        <f t="shared" si="33"/>
        <v>50832.121320068953</v>
      </c>
    </row>
    <row r="1032" spans="4:12" x14ac:dyDescent="0.25">
      <c r="D1032">
        <f t="shared" si="32"/>
        <v>0</v>
      </c>
      <c r="H1032">
        <v>1030</v>
      </c>
      <c r="I1032" s="1">
        <v>45989</v>
      </c>
      <c r="J1032">
        <f t="array" ref="J1032">INDEX($D$3:$D$62,MATCH(1, (YEAR(I1032)=YEAR($A$3:$A$62))*(MONTH(I1032)=MONTH($A$3:$A$62)),0))</f>
        <v>52002.385006553261</v>
      </c>
      <c r="K1032">
        <f t="array" ref="K1032">INDEX($G$3:$G$200,MATCH(1, (YEAR(I1032)=YEAR($A$3:$A$2000))*(MONTH(I1032)=MONTH($A$3:$A$2000)),0))</f>
        <v>76251.840383268733</v>
      </c>
      <c r="L1032">
        <f t="shared" si="33"/>
        <v>50796.534908703994</v>
      </c>
    </row>
    <row r="1033" spans="4:12" x14ac:dyDescent="0.25">
      <c r="D1033">
        <f t="shared" si="32"/>
        <v>0</v>
      </c>
      <c r="H1033">
        <v>1031</v>
      </c>
      <c r="I1033" s="1">
        <v>45990</v>
      </c>
      <c r="J1033">
        <f t="array" ref="J1033">INDEX($D$3:$D$62,MATCH(1, (YEAR(I1033)=YEAR($A$3:$A$62))*(MONTH(I1033)=MONTH($A$3:$A$62)),0))</f>
        <v>52002.385006553261</v>
      </c>
      <c r="K1033">
        <f t="array" ref="K1033">INDEX($G$3:$G$200,MATCH(1, (YEAR(I1033)=YEAR($A$3:$A$2000))*(MONTH(I1033)=MONTH($A$3:$A$2000)),0))</f>
        <v>76251.840383268733</v>
      </c>
      <c r="L1033">
        <f t="shared" si="33"/>
        <v>50760.987330278993</v>
      </c>
    </row>
    <row r="1034" spans="4:12" x14ac:dyDescent="0.25">
      <c r="D1034">
        <f t="shared" si="32"/>
        <v>0</v>
      </c>
      <c r="H1034">
        <v>1032</v>
      </c>
      <c r="I1034" s="1">
        <v>45991</v>
      </c>
      <c r="J1034">
        <f t="array" ref="J1034">INDEX($D$3:$D$62,MATCH(1, (YEAR(I1034)=YEAR($A$3:$A$62))*(MONTH(I1034)=MONTH($A$3:$A$62)),0))</f>
        <v>52002.385006553261</v>
      </c>
      <c r="K1034">
        <f t="array" ref="K1034">INDEX($G$3:$G$200,MATCH(1, (YEAR(I1034)=YEAR($A$3:$A$2000))*(MONTH(I1034)=MONTH($A$3:$A$2000)),0))</f>
        <v>76251.840383268733</v>
      </c>
      <c r="L1034">
        <f t="shared" si="33"/>
        <v>50725.478458943981</v>
      </c>
    </row>
    <row r="1035" spans="4:12" x14ac:dyDescent="0.25">
      <c r="D1035">
        <f t="shared" si="32"/>
        <v>0</v>
      </c>
      <c r="H1035">
        <v>1033</v>
      </c>
      <c r="I1035" s="1">
        <v>45992</v>
      </c>
      <c r="J1035">
        <f t="array" ref="J1035">INDEX($D$3:$D$62,MATCH(1, (YEAR(I1035)=YEAR($A$3:$A$62))*(MONTH(I1035)=MONTH($A$3:$A$62)),0))</f>
        <v>50080.612527305202</v>
      </c>
      <c r="K1035">
        <f t="array" ref="K1035">INDEX($G$3:$G$200,MATCH(1, (YEAR(I1035)=YEAR($A$3:$A$2000))*(MONTH(I1035)=MONTH($A$3:$A$2000)),0))</f>
        <v>73818.965405915937</v>
      </c>
      <c r="L1035">
        <f t="shared" si="33"/>
        <v>50690.008169136971</v>
      </c>
    </row>
    <row r="1036" spans="4:12" x14ac:dyDescent="0.25">
      <c r="D1036">
        <f t="shared" si="32"/>
        <v>0</v>
      </c>
      <c r="H1036">
        <v>1034</v>
      </c>
      <c r="I1036" s="1">
        <v>45993</v>
      </c>
      <c r="J1036">
        <f t="array" ref="J1036">INDEX($D$3:$D$62,MATCH(1, (YEAR(I1036)=YEAR($A$3:$A$62))*(MONTH(I1036)=MONTH($A$3:$A$62)),0))</f>
        <v>50080.612527305202</v>
      </c>
      <c r="K1036">
        <f t="array" ref="K1036">INDEX($G$3:$G$200,MATCH(1, (YEAR(I1036)=YEAR($A$3:$A$2000))*(MONTH(I1036)=MONTH($A$3:$A$2000)),0))</f>
        <v>73818.965405915937</v>
      </c>
      <c r="L1036">
        <f t="shared" si="33"/>
        <v>50654.576335583988</v>
      </c>
    </row>
    <row r="1037" spans="4:12" x14ac:dyDescent="0.25">
      <c r="D1037">
        <f t="shared" si="32"/>
        <v>0</v>
      </c>
      <c r="H1037">
        <v>1035</v>
      </c>
      <c r="I1037" s="1">
        <v>45994</v>
      </c>
      <c r="J1037">
        <f t="array" ref="J1037">INDEX($D$3:$D$62,MATCH(1, (YEAR(I1037)=YEAR($A$3:$A$62))*(MONTH(I1037)=MONTH($A$3:$A$62)),0))</f>
        <v>50080.612527305202</v>
      </c>
      <c r="K1037">
        <f t="array" ref="K1037">INDEX($G$3:$G$200,MATCH(1, (YEAR(I1037)=YEAR($A$3:$A$2000))*(MONTH(I1037)=MONTH($A$3:$A$2000)),0))</f>
        <v>73818.965405915937</v>
      </c>
      <c r="L1037">
        <f t="shared" si="33"/>
        <v>50619.182833298968</v>
      </c>
    </row>
    <row r="1038" spans="4:12" x14ac:dyDescent="0.25">
      <c r="D1038">
        <f t="shared" si="32"/>
        <v>0</v>
      </c>
      <c r="H1038">
        <v>1036</v>
      </c>
      <c r="I1038" s="1">
        <v>45995</v>
      </c>
      <c r="J1038">
        <f t="array" ref="J1038">INDEX($D$3:$D$62,MATCH(1, (YEAR(I1038)=YEAR($A$3:$A$62))*(MONTH(I1038)=MONTH($A$3:$A$62)),0))</f>
        <v>50080.612527305202</v>
      </c>
      <c r="K1038">
        <f t="array" ref="K1038">INDEX($G$3:$G$200,MATCH(1, (YEAR(I1038)=YEAR($A$3:$A$2000))*(MONTH(I1038)=MONTH($A$3:$A$2000)),0))</f>
        <v>73818.965405915937</v>
      </c>
      <c r="L1038">
        <f t="shared" si="33"/>
        <v>50583.827537583988</v>
      </c>
    </row>
    <row r="1039" spans="4:12" x14ac:dyDescent="0.25">
      <c r="D1039">
        <f t="shared" si="32"/>
        <v>0</v>
      </c>
      <c r="H1039">
        <v>1037</v>
      </c>
      <c r="I1039" s="1">
        <v>45996</v>
      </c>
      <c r="J1039">
        <f t="array" ref="J1039">INDEX($D$3:$D$62,MATCH(1, (YEAR(I1039)=YEAR($A$3:$A$62))*(MONTH(I1039)=MONTH($A$3:$A$62)),0))</f>
        <v>50080.612527305202</v>
      </c>
      <c r="K1039">
        <f t="array" ref="K1039">INDEX($G$3:$G$200,MATCH(1, (YEAR(I1039)=YEAR($A$3:$A$2000))*(MONTH(I1039)=MONTH($A$3:$A$2000)),0))</f>
        <v>73818.965405915937</v>
      </c>
      <c r="L1039">
        <f t="shared" si="33"/>
        <v>50548.510324028961</v>
      </c>
    </row>
    <row r="1040" spans="4:12" x14ac:dyDescent="0.25">
      <c r="D1040">
        <f t="shared" si="32"/>
        <v>0</v>
      </c>
      <c r="H1040">
        <v>1038</v>
      </c>
      <c r="I1040" s="1">
        <v>45997</v>
      </c>
      <c r="J1040">
        <f t="array" ref="J1040">INDEX($D$3:$D$62,MATCH(1, (YEAR(I1040)=YEAR($A$3:$A$62))*(MONTH(I1040)=MONTH($A$3:$A$62)),0))</f>
        <v>50080.612527305202</v>
      </c>
      <c r="K1040">
        <f t="array" ref="K1040">INDEX($G$3:$G$200,MATCH(1, (YEAR(I1040)=YEAR($A$3:$A$2000))*(MONTH(I1040)=MONTH($A$3:$A$2000)),0))</f>
        <v>73818.965405915937</v>
      </c>
      <c r="L1040">
        <f t="shared" si="33"/>
        <v>50513.231068511988</v>
      </c>
    </row>
    <row r="1041" spans="4:12" x14ac:dyDescent="0.25">
      <c r="D1041">
        <f t="shared" si="32"/>
        <v>0</v>
      </c>
      <c r="H1041">
        <v>1039</v>
      </c>
      <c r="I1041" s="1">
        <v>45998</v>
      </c>
      <c r="J1041">
        <f t="array" ref="J1041">INDEX($D$3:$D$62,MATCH(1, (YEAR(I1041)=YEAR($A$3:$A$62))*(MONTH(I1041)=MONTH($A$3:$A$62)),0))</f>
        <v>50080.612527305202</v>
      </c>
      <c r="K1041">
        <f t="array" ref="K1041">INDEX($G$3:$G$200,MATCH(1, (YEAR(I1041)=YEAR($A$3:$A$2000))*(MONTH(I1041)=MONTH($A$3:$A$2000)),0))</f>
        <v>73818.965405915937</v>
      </c>
      <c r="L1041">
        <f t="shared" si="33"/>
        <v>50477.989647198992</v>
      </c>
    </row>
    <row r="1042" spans="4:12" x14ac:dyDescent="0.25">
      <c r="D1042">
        <f t="shared" si="32"/>
        <v>0</v>
      </c>
      <c r="H1042">
        <v>1040</v>
      </c>
      <c r="I1042" s="1">
        <v>45999</v>
      </c>
      <c r="J1042">
        <f t="array" ref="J1042">INDEX($D$3:$D$62,MATCH(1, (YEAR(I1042)=YEAR($A$3:$A$62))*(MONTH(I1042)=MONTH($A$3:$A$62)),0))</f>
        <v>50080.612527305202</v>
      </c>
      <c r="K1042">
        <f t="array" ref="K1042">INDEX($G$3:$G$200,MATCH(1, (YEAR(I1042)=YEAR($A$3:$A$2000))*(MONTH(I1042)=MONTH($A$3:$A$2000)),0))</f>
        <v>73818.965405915937</v>
      </c>
      <c r="L1042">
        <f t="shared" si="33"/>
        <v>50442.78593654398</v>
      </c>
    </row>
    <row r="1043" spans="4:12" x14ac:dyDescent="0.25">
      <c r="D1043">
        <f t="shared" si="32"/>
        <v>0</v>
      </c>
      <c r="H1043">
        <v>1041</v>
      </c>
      <c r="I1043" s="1">
        <v>46000</v>
      </c>
      <c r="J1043">
        <f t="array" ref="J1043">INDEX($D$3:$D$62,MATCH(1, (YEAR(I1043)=YEAR($A$3:$A$62))*(MONTH(I1043)=MONTH($A$3:$A$62)),0))</f>
        <v>50080.612527305202</v>
      </c>
      <c r="K1043">
        <f t="array" ref="K1043">INDEX($G$3:$G$200,MATCH(1, (YEAR(I1043)=YEAR($A$3:$A$2000))*(MONTH(I1043)=MONTH($A$3:$A$2000)),0))</f>
        <v>73818.965405915937</v>
      </c>
      <c r="L1043">
        <f t="shared" si="33"/>
        <v>50407.619813288969</v>
      </c>
    </row>
    <row r="1044" spans="4:12" x14ac:dyDescent="0.25">
      <c r="D1044">
        <f t="shared" si="32"/>
        <v>0</v>
      </c>
      <c r="H1044">
        <v>1042</v>
      </c>
      <c r="I1044" s="1">
        <v>46001</v>
      </c>
      <c r="J1044">
        <f t="array" ref="J1044">INDEX($D$3:$D$62,MATCH(1, (YEAR(I1044)=YEAR($A$3:$A$62))*(MONTH(I1044)=MONTH($A$3:$A$62)),0))</f>
        <v>50080.612527305202</v>
      </c>
      <c r="K1044">
        <f t="array" ref="K1044">INDEX($G$3:$G$200,MATCH(1, (YEAR(I1044)=YEAR($A$3:$A$2000))*(MONTH(I1044)=MONTH($A$3:$A$2000)),0))</f>
        <v>73818.965405915937</v>
      </c>
      <c r="L1044">
        <f t="shared" si="33"/>
        <v>50372.491154463991</v>
      </c>
    </row>
    <row r="1045" spans="4:12" x14ac:dyDescent="0.25">
      <c r="D1045">
        <f t="shared" si="32"/>
        <v>0</v>
      </c>
      <c r="H1045">
        <v>1043</v>
      </c>
      <c r="I1045" s="1">
        <v>46002</v>
      </c>
      <c r="J1045">
        <f t="array" ref="J1045">INDEX($D$3:$D$62,MATCH(1, (YEAR(I1045)=YEAR($A$3:$A$62))*(MONTH(I1045)=MONTH($A$3:$A$62)),0))</f>
        <v>50080.612527305202</v>
      </c>
      <c r="K1045">
        <f t="array" ref="K1045">INDEX($G$3:$G$200,MATCH(1, (YEAR(I1045)=YEAR($A$3:$A$2000))*(MONTH(I1045)=MONTH($A$3:$A$2000)),0))</f>
        <v>73818.965405915937</v>
      </c>
      <c r="L1045">
        <f t="shared" si="33"/>
        <v>50337.399837386969</v>
      </c>
    </row>
    <row r="1046" spans="4:12" x14ac:dyDescent="0.25">
      <c r="D1046">
        <f t="shared" si="32"/>
        <v>0</v>
      </c>
      <c r="H1046">
        <v>1044</v>
      </c>
      <c r="I1046" s="1">
        <v>46003</v>
      </c>
      <c r="J1046">
        <f t="array" ref="J1046">INDEX($D$3:$D$62,MATCH(1, (YEAR(I1046)=YEAR($A$3:$A$62))*(MONTH(I1046)=MONTH($A$3:$A$62)),0))</f>
        <v>50080.612527305202</v>
      </c>
      <c r="K1046">
        <f t="array" ref="K1046">INDEX($G$3:$G$200,MATCH(1, (YEAR(I1046)=YEAR($A$3:$A$2000))*(MONTH(I1046)=MONTH($A$3:$A$2000)),0))</f>
        <v>73818.965405915937</v>
      </c>
      <c r="L1046">
        <f t="shared" si="33"/>
        <v>50302.345739663971</v>
      </c>
    </row>
    <row r="1047" spans="4:12" x14ac:dyDescent="0.25">
      <c r="D1047">
        <f t="shared" si="32"/>
        <v>0</v>
      </c>
      <c r="H1047">
        <v>1045</v>
      </c>
      <c r="I1047" s="1">
        <v>46004</v>
      </c>
      <c r="J1047">
        <f t="array" ref="J1047">INDEX($D$3:$D$62,MATCH(1, (YEAR(I1047)=YEAR($A$3:$A$62))*(MONTH(I1047)=MONTH($A$3:$A$62)),0))</f>
        <v>50080.612527305202</v>
      </c>
      <c r="K1047">
        <f t="array" ref="K1047">INDEX($G$3:$G$200,MATCH(1, (YEAR(I1047)=YEAR($A$3:$A$2000))*(MONTH(I1047)=MONTH($A$3:$A$2000)),0))</f>
        <v>73818.965405915937</v>
      </c>
      <c r="L1047">
        <f t="shared" si="33"/>
        <v>50267.32873918899</v>
      </c>
    </row>
    <row r="1048" spans="4:12" x14ac:dyDescent="0.25">
      <c r="D1048">
        <f t="shared" si="32"/>
        <v>0</v>
      </c>
      <c r="H1048">
        <v>1046</v>
      </c>
      <c r="I1048" s="1">
        <v>46005</v>
      </c>
      <c r="J1048">
        <f t="array" ref="J1048">INDEX($D$3:$D$62,MATCH(1, (YEAR(I1048)=YEAR($A$3:$A$62))*(MONTH(I1048)=MONTH($A$3:$A$62)),0))</f>
        <v>50080.612527305202</v>
      </c>
      <c r="K1048">
        <f t="array" ref="K1048">INDEX($G$3:$G$200,MATCH(1, (YEAR(I1048)=YEAR($A$3:$A$2000))*(MONTH(I1048)=MONTH($A$3:$A$2000)),0))</f>
        <v>73818.965405915937</v>
      </c>
      <c r="L1048">
        <f t="shared" si="33"/>
        <v>50232.348714143984</v>
      </c>
    </row>
    <row r="1049" spans="4:12" x14ac:dyDescent="0.25">
      <c r="D1049">
        <f t="shared" si="32"/>
        <v>0</v>
      </c>
      <c r="H1049">
        <v>1047</v>
      </c>
      <c r="I1049" s="1">
        <v>46006</v>
      </c>
      <c r="J1049">
        <f t="array" ref="J1049">INDEX($D$3:$D$62,MATCH(1, (YEAR(I1049)=YEAR($A$3:$A$62))*(MONTH(I1049)=MONTH($A$3:$A$62)),0))</f>
        <v>50080.612527305202</v>
      </c>
      <c r="K1049">
        <f t="array" ref="K1049">INDEX($G$3:$G$200,MATCH(1, (YEAR(I1049)=YEAR($A$3:$A$2000))*(MONTH(I1049)=MONTH($A$3:$A$2000)),0))</f>
        <v>73818.965405915937</v>
      </c>
      <c r="L1049">
        <f t="shared" si="33"/>
        <v>50197.405542998982</v>
      </c>
    </row>
    <row r="1050" spans="4:12" x14ac:dyDescent="0.25">
      <c r="D1050">
        <f t="shared" si="32"/>
        <v>0</v>
      </c>
      <c r="H1050">
        <v>1048</v>
      </c>
      <c r="I1050" s="1">
        <v>46007</v>
      </c>
      <c r="J1050">
        <f t="array" ref="J1050">INDEX($D$3:$D$62,MATCH(1, (YEAR(I1050)=YEAR($A$3:$A$62))*(MONTH(I1050)=MONTH($A$3:$A$62)),0))</f>
        <v>50080.612527305202</v>
      </c>
      <c r="K1050">
        <f t="array" ref="K1050">INDEX($G$3:$G$200,MATCH(1, (YEAR(I1050)=YEAR($A$3:$A$2000))*(MONTH(I1050)=MONTH($A$3:$A$2000)),0))</f>
        <v>73818.965405915937</v>
      </c>
      <c r="L1050">
        <f t="shared" si="33"/>
        <v>50162.499104511968</v>
      </c>
    </row>
    <row r="1051" spans="4:12" x14ac:dyDescent="0.25">
      <c r="D1051">
        <f t="shared" si="32"/>
        <v>0</v>
      </c>
      <c r="H1051">
        <v>1049</v>
      </c>
      <c r="I1051" s="1">
        <v>46008</v>
      </c>
      <c r="J1051">
        <f t="array" ref="J1051">INDEX($D$3:$D$62,MATCH(1, (YEAR(I1051)=YEAR($A$3:$A$62))*(MONTH(I1051)=MONTH($A$3:$A$62)),0))</f>
        <v>50080.612527305202</v>
      </c>
      <c r="K1051">
        <f t="array" ref="K1051">INDEX($G$3:$G$200,MATCH(1, (YEAR(I1051)=YEAR($A$3:$A$2000))*(MONTH(I1051)=MONTH($A$3:$A$2000)),0))</f>
        <v>73818.965405915937</v>
      </c>
      <c r="L1051">
        <f t="shared" si="33"/>
        <v>50127.629277728964</v>
      </c>
    </row>
    <row r="1052" spans="4:12" x14ac:dyDescent="0.25">
      <c r="D1052">
        <f t="shared" si="32"/>
        <v>0</v>
      </c>
      <c r="H1052">
        <v>1050</v>
      </c>
      <c r="I1052" s="1">
        <v>46009</v>
      </c>
      <c r="J1052">
        <f t="array" ref="J1052">INDEX($D$3:$D$62,MATCH(1, (YEAR(I1052)=YEAR($A$3:$A$62))*(MONTH(I1052)=MONTH($A$3:$A$62)),0))</f>
        <v>50080.612527305202</v>
      </c>
      <c r="K1052">
        <f t="array" ref="K1052">INDEX($G$3:$G$200,MATCH(1, (YEAR(I1052)=YEAR($A$3:$A$2000))*(MONTH(I1052)=MONTH($A$3:$A$2000)),0))</f>
        <v>73818.965405915937</v>
      </c>
      <c r="L1052">
        <f t="shared" si="33"/>
        <v>50092.795941984004</v>
      </c>
    </row>
    <row r="1053" spans="4:12" x14ac:dyDescent="0.25">
      <c r="D1053">
        <f t="shared" si="32"/>
        <v>0</v>
      </c>
      <c r="H1053">
        <v>1051</v>
      </c>
      <c r="I1053" s="1">
        <v>46010</v>
      </c>
      <c r="J1053">
        <f t="array" ref="J1053">INDEX($D$3:$D$62,MATCH(1, (YEAR(I1053)=YEAR($A$3:$A$62))*(MONTH(I1053)=MONTH($A$3:$A$62)),0))</f>
        <v>50080.612527305202</v>
      </c>
      <c r="K1053">
        <f t="array" ref="K1053">INDEX($G$3:$G$200,MATCH(1, (YEAR(I1053)=YEAR($A$3:$A$2000))*(MONTH(I1053)=MONTH($A$3:$A$2000)),0))</f>
        <v>73818.965405915937</v>
      </c>
      <c r="L1053">
        <f t="shared" si="33"/>
        <v>50057.998976898991</v>
      </c>
    </row>
    <row r="1054" spans="4:12" x14ac:dyDescent="0.25">
      <c r="D1054">
        <f t="shared" si="32"/>
        <v>0</v>
      </c>
      <c r="H1054">
        <v>1052</v>
      </c>
      <c r="I1054" s="1">
        <v>46011</v>
      </c>
      <c r="J1054">
        <f t="array" ref="J1054">INDEX($D$3:$D$62,MATCH(1, (YEAR(I1054)=YEAR($A$3:$A$62))*(MONTH(I1054)=MONTH($A$3:$A$62)),0))</f>
        <v>50080.612527305202</v>
      </c>
      <c r="K1054">
        <f t="array" ref="K1054">INDEX($G$3:$G$200,MATCH(1, (YEAR(I1054)=YEAR($A$3:$A$2000))*(MONTH(I1054)=MONTH($A$3:$A$2000)),0))</f>
        <v>73818.965405915937</v>
      </c>
      <c r="L1054">
        <f t="shared" si="33"/>
        <v>50023.238262383966</v>
      </c>
    </row>
    <row r="1055" spans="4:12" x14ac:dyDescent="0.25">
      <c r="D1055">
        <f t="shared" si="32"/>
        <v>0</v>
      </c>
      <c r="H1055">
        <v>1053</v>
      </c>
      <c r="I1055" s="1">
        <v>46012</v>
      </c>
      <c r="J1055">
        <f t="array" ref="J1055">INDEX($D$3:$D$62,MATCH(1, (YEAR(I1055)=YEAR($A$3:$A$62))*(MONTH(I1055)=MONTH($A$3:$A$62)),0))</f>
        <v>50080.612527305202</v>
      </c>
      <c r="K1055">
        <f t="array" ref="K1055">INDEX($G$3:$G$200,MATCH(1, (YEAR(I1055)=YEAR($A$3:$A$2000))*(MONTH(I1055)=MONTH($A$3:$A$2000)),0))</f>
        <v>73818.965405915937</v>
      </c>
      <c r="L1055">
        <f t="shared" si="33"/>
        <v>49988.513678636969</v>
      </c>
    </row>
    <row r="1056" spans="4:12" x14ac:dyDescent="0.25">
      <c r="D1056">
        <f t="shared" si="32"/>
        <v>0</v>
      </c>
      <c r="H1056">
        <v>1054</v>
      </c>
      <c r="I1056" s="1">
        <v>46013</v>
      </c>
      <c r="J1056">
        <f t="array" ref="J1056">INDEX($D$3:$D$62,MATCH(1, (YEAR(I1056)=YEAR($A$3:$A$62))*(MONTH(I1056)=MONTH($A$3:$A$62)),0))</f>
        <v>50080.612527305202</v>
      </c>
      <c r="K1056">
        <f t="array" ref="K1056">INDEX($G$3:$G$200,MATCH(1, (YEAR(I1056)=YEAR($A$3:$A$2000))*(MONTH(I1056)=MONTH($A$3:$A$2000)),0))</f>
        <v>73818.965405915937</v>
      </c>
      <c r="L1056">
        <f t="shared" si="33"/>
        <v>49953.825106143995</v>
      </c>
    </row>
    <row r="1057" spans="4:12" x14ac:dyDescent="0.25">
      <c r="D1057">
        <f t="shared" si="32"/>
        <v>0</v>
      </c>
      <c r="H1057">
        <v>1055</v>
      </c>
      <c r="I1057" s="1">
        <v>46014</v>
      </c>
      <c r="J1057">
        <f t="array" ref="J1057">INDEX($D$3:$D$62,MATCH(1, (YEAR(I1057)=YEAR($A$3:$A$62))*(MONTH(I1057)=MONTH($A$3:$A$62)),0))</f>
        <v>50080.612527305202</v>
      </c>
      <c r="K1057">
        <f t="array" ref="K1057">INDEX($G$3:$G$200,MATCH(1, (YEAR(I1057)=YEAR($A$3:$A$2000))*(MONTH(I1057)=MONTH($A$3:$A$2000)),0))</f>
        <v>73818.965405915937</v>
      </c>
      <c r="L1057">
        <f t="shared" si="33"/>
        <v>49919.172425678975</v>
      </c>
    </row>
    <row r="1058" spans="4:12" x14ac:dyDescent="0.25">
      <c r="D1058">
        <f t="shared" si="32"/>
        <v>0</v>
      </c>
      <c r="H1058">
        <v>1056</v>
      </c>
      <c r="I1058" s="1">
        <v>46015</v>
      </c>
      <c r="J1058">
        <f t="array" ref="J1058">INDEX($D$3:$D$62,MATCH(1, (YEAR(I1058)=YEAR($A$3:$A$62))*(MONTH(I1058)=MONTH($A$3:$A$62)),0))</f>
        <v>50080.612527305202</v>
      </c>
      <c r="K1058">
        <f t="array" ref="K1058">INDEX($G$3:$G$200,MATCH(1, (YEAR(I1058)=YEAR($A$3:$A$2000))*(MONTH(I1058)=MONTH($A$3:$A$2000)),0))</f>
        <v>73818.965405915937</v>
      </c>
      <c r="L1058">
        <f t="shared" si="33"/>
        <v>49884.555518303983</v>
      </c>
    </row>
    <row r="1059" spans="4:12" x14ac:dyDescent="0.25">
      <c r="D1059">
        <f t="shared" si="32"/>
        <v>0</v>
      </c>
      <c r="H1059">
        <v>1057</v>
      </c>
      <c r="I1059" s="1">
        <v>46016</v>
      </c>
      <c r="J1059">
        <f t="array" ref="J1059">INDEX($D$3:$D$62,MATCH(1, (YEAR(I1059)=YEAR($A$3:$A$62))*(MONTH(I1059)=MONTH($A$3:$A$62)),0))</f>
        <v>50080.612527305202</v>
      </c>
      <c r="K1059">
        <f t="array" ref="K1059">INDEX($G$3:$G$200,MATCH(1, (YEAR(I1059)=YEAR($A$3:$A$2000))*(MONTH(I1059)=MONTH($A$3:$A$2000)),0))</f>
        <v>73818.965405915937</v>
      </c>
      <c r="L1059">
        <f t="shared" si="33"/>
        <v>49849.97426536899</v>
      </c>
    </row>
    <row r="1060" spans="4:12" x14ac:dyDescent="0.25">
      <c r="D1060">
        <f t="shared" si="32"/>
        <v>0</v>
      </c>
      <c r="H1060">
        <v>1058</v>
      </c>
      <c r="I1060" s="1">
        <v>46017</v>
      </c>
      <c r="J1060">
        <f t="array" ref="J1060">INDEX($D$3:$D$62,MATCH(1, (YEAR(I1060)=YEAR($A$3:$A$62))*(MONTH(I1060)=MONTH($A$3:$A$62)),0))</f>
        <v>50080.612527305202</v>
      </c>
      <c r="K1060">
        <f t="array" ref="K1060">INDEX($G$3:$G$200,MATCH(1, (YEAR(I1060)=YEAR($A$3:$A$2000))*(MONTH(I1060)=MONTH($A$3:$A$2000)),0))</f>
        <v>73818.965405915937</v>
      </c>
      <c r="L1060">
        <f t="shared" si="33"/>
        <v>49815.428548511991</v>
      </c>
    </row>
    <row r="1061" spans="4:12" x14ac:dyDescent="0.25">
      <c r="D1061">
        <f t="shared" si="32"/>
        <v>0</v>
      </c>
      <c r="H1061">
        <v>1059</v>
      </c>
      <c r="I1061" s="1">
        <v>46018</v>
      </c>
      <c r="J1061">
        <f t="array" ref="J1061">INDEX($D$3:$D$62,MATCH(1, (YEAR(I1061)=YEAR($A$3:$A$62))*(MONTH(I1061)=MONTH($A$3:$A$62)),0))</f>
        <v>50080.612527305202</v>
      </c>
      <c r="K1061">
        <f t="array" ref="K1061">INDEX($G$3:$G$200,MATCH(1, (YEAR(I1061)=YEAR($A$3:$A$2000))*(MONTH(I1061)=MONTH($A$3:$A$2000)),0))</f>
        <v>73818.965405915937</v>
      </c>
      <c r="L1061">
        <f t="shared" si="33"/>
        <v>49780.918249658978</v>
      </c>
    </row>
    <row r="1062" spans="4:12" x14ac:dyDescent="0.25">
      <c r="D1062">
        <f t="shared" si="32"/>
        <v>0</v>
      </c>
      <c r="H1062">
        <v>1060</v>
      </c>
      <c r="I1062" s="1">
        <v>46019</v>
      </c>
      <c r="J1062">
        <f t="array" ref="J1062">INDEX($D$3:$D$62,MATCH(1, (YEAR(I1062)=YEAR($A$3:$A$62))*(MONTH(I1062)=MONTH($A$3:$A$62)),0))</f>
        <v>50080.612527305202</v>
      </c>
      <c r="K1062">
        <f t="array" ref="K1062">INDEX($G$3:$G$200,MATCH(1, (YEAR(I1062)=YEAR($A$3:$A$2000))*(MONTH(I1062)=MONTH($A$3:$A$2000)),0))</f>
        <v>73818.965405915937</v>
      </c>
      <c r="L1062">
        <f t="shared" si="33"/>
        <v>49746.443251023986</v>
      </c>
    </row>
    <row r="1063" spans="4:12" x14ac:dyDescent="0.25">
      <c r="D1063">
        <f t="shared" si="32"/>
        <v>0</v>
      </c>
      <c r="H1063">
        <v>1061</v>
      </c>
      <c r="I1063" s="1">
        <v>46020</v>
      </c>
      <c r="J1063">
        <f t="array" ref="J1063">INDEX($D$3:$D$62,MATCH(1, (YEAR(I1063)=YEAR($A$3:$A$62))*(MONTH(I1063)=MONTH($A$3:$A$62)),0))</f>
        <v>50080.612527305202</v>
      </c>
      <c r="K1063">
        <f t="array" ref="K1063">INDEX($G$3:$G$200,MATCH(1, (YEAR(I1063)=YEAR($A$3:$A$2000))*(MONTH(I1063)=MONTH($A$3:$A$2000)),0))</f>
        <v>73818.965405915937</v>
      </c>
      <c r="L1063">
        <f t="shared" si="33"/>
        <v>49712.003435109</v>
      </c>
    </row>
    <row r="1064" spans="4:12" x14ac:dyDescent="0.25">
      <c r="D1064">
        <f t="shared" si="32"/>
        <v>0</v>
      </c>
      <c r="H1064">
        <v>1062</v>
      </c>
      <c r="I1064" s="1">
        <v>46021</v>
      </c>
      <c r="J1064">
        <f t="array" ref="J1064">INDEX($D$3:$D$62,MATCH(1, (YEAR(I1064)=YEAR($A$3:$A$62))*(MONTH(I1064)=MONTH($A$3:$A$62)),0))</f>
        <v>50080.612527305202</v>
      </c>
      <c r="K1064">
        <f t="array" ref="K1064">INDEX($G$3:$G$200,MATCH(1, (YEAR(I1064)=YEAR($A$3:$A$2000))*(MONTH(I1064)=MONTH($A$3:$A$2000)),0))</f>
        <v>73818.965405915937</v>
      </c>
      <c r="L1064">
        <f t="shared" si="33"/>
        <v>49677.598684703989</v>
      </c>
    </row>
    <row r="1065" spans="4:12" x14ac:dyDescent="0.25">
      <c r="D1065">
        <f t="shared" si="32"/>
        <v>0</v>
      </c>
      <c r="H1065">
        <v>1063</v>
      </c>
      <c r="I1065" s="1">
        <v>46022</v>
      </c>
      <c r="J1065">
        <f t="array" ref="J1065">INDEX($D$3:$D$62,MATCH(1, (YEAR(I1065)=YEAR($A$3:$A$62))*(MONTH(I1065)=MONTH($A$3:$A$62)),0))</f>
        <v>50080.612527305202</v>
      </c>
      <c r="K1065">
        <f t="array" ref="K1065">INDEX($G$3:$G$200,MATCH(1, (YEAR(I1065)=YEAR($A$3:$A$2000))*(MONTH(I1065)=MONTH($A$3:$A$2000)),0))</f>
        <v>73818.965405915937</v>
      </c>
      <c r="L1065">
        <f t="shared" si="33"/>
        <v>49643.228882886979</v>
      </c>
    </row>
    <row r="1066" spans="4:12" x14ac:dyDescent="0.25">
      <c r="D1066">
        <f t="shared" si="32"/>
        <v>0</v>
      </c>
      <c r="H1066">
        <v>1064</v>
      </c>
      <c r="I1066" s="1">
        <v>46023</v>
      </c>
      <c r="J1066">
        <f t="array" ref="J1066">INDEX($D$3:$D$62,MATCH(1, (YEAR(I1066)=YEAR($A$3:$A$62))*(MONTH(I1066)=MONTH($A$3:$A$62)),0))</f>
        <v>49078.913405247717</v>
      </c>
      <c r="K1066">
        <f t="array" ref="K1066">INDEX($G$3:$G$200,MATCH(1, (YEAR(I1066)=YEAR($A$3:$A$2000))*(MONTH(I1066)=MONTH($A$3:$A$2000)),0))</f>
        <v>72320.453661145672</v>
      </c>
      <c r="L1066">
        <f t="shared" si="33"/>
        <v>49608.893913023974</v>
      </c>
    </row>
    <row r="1067" spans="4:12" x14ac:dyDescent="0.25">
      <c r="D1067">
        <f t="shared" si="32"/>
        <v>0</v>
      </c>
      <c r="H1067">
        <v>1065</v>
      </c>
      <c r="I1067" s="1">
        <v>46024</v>
      </c>
      <c r="J1067">
        <f t="array" ref="J1067">INDEX($D$3:$D$62,MATCH(1, (YEAR(I1067)=YEAR($A$3:$A$62))*(MONTH(I1067)=MONTH($A$3:$A$62)),0))</f>
        <v>49078.913405247717</v>
      </c>
      <c r="K1067">
        <f t="array" ref="K1067">INDEX($G$3:$G$200,MATCH(1, (YEAR(I1067)=YEAR($A$3:$A$2000))*(MONTH(I1067)=MONTH($A$3:$A$2000)),0))</f>
        <v>72320.453661145672</v>
      </c>
      <c r="L1067">
        <f t="shared" si="33"/>
        <v>49574.593658768994</v>
      </c>
    </row>
    <row r="1068" spans="4:12" x14ac:dyDescent="0.25">
      <c r="D1068">
        <f t="shared" si="32"/>
        <v>0</v>
      </c>
      <c r="H1068">
        <v>1066</v>
      </c>
      <c r="I1068" s="1">
        <v>46025</v>
      </c>
      <c r="J1068">
        <f t="array" ref="J1068">INDEX($D$3:$D$62,MATCH(1, (YEAR(I1068)=YEAR($A$3:$A$62))*(MONTH(I1068)=MONTH($A$3:$A$62)),0))</f>
        <v>49078.913405247717</v>
      </c>
      <c r="K1068">
        <f t="array" ref="K1068">INDEX($G$3:$G$200,MATCH(1, (YEAR(I1068)=YEAR($A$3:$A$2000))*(MONTH(I1068)=MONTH($A$3:$A$2000)),0))</f>
        <v>72320.453661145672</v>
      </c>
      <c r="L1068">
        <f t="shared" si="33"/>
        <v>49540.32800406398</v>
      </c>
    </row>
    <row r="1069" spans="4:12" x14ac:dyDescent="0.25">
      <c r="D1069">
        <f t="shared" si="32"/>
        <v>0</v>
      </c>
      <c r="H1069">
        <v>1067</v>
      </c>
      <c r="I1069" s="1">
        <v>46026</v>
      </c>
      <c r="J1069">
        <f t="array" ref="J1069">INDEX($D$3:$D$62,MATCH(1, (YEAR(I1069)=YEAR($A$3:$A$62))*(MONTH(I1069)=MONTH($A$3:$A$62)),0))</f>
        <v>49078.913405247717</v>
      </c>
      <c r="K1069">
        <f t="array" ref="K1069">INDEX($G$3:$G$200,MATCH(1, (YEAR(I1069)=YEAR($A$3:$A$2000))*(MONTH(I1069)=MONTH($A$3:$A$2000)),0))</f>
        <v>72320.453661145672</v>
      </c>
      <c r="L1069">
        <f t="shared" si="33"/>
        <v>49506.096833138974</v>
      </c>
    </row>
    <row r="1070" spans="4:12" x14ac:dyDescent="0.25">
      <c r="D1070">
        <f t="shared" si="32"/>
        <v>0</v>
      </c>
      <c r="H1070">
        <v>1068</v>
      </c>
      <c r="I1070" s="1">
        <v>46027</v>
      </c>
      <c r="J1070">
        <f t="array" ref="J1070">INDEX($D$3:$D$62,MATCH(1, (YEAR(I1070)=YEAR($A$3:$A$62))*(MONTH(I1070)=MONTH($A$3:$A$62)),0))</f>
        <v>49078.913405247717</v>
      </c>
      <c r="K1070">
        <f t="array" ref="K1070">INDEX($G$3:$G$200,MATCH(1, (YEAR(I1070)=YEAR($A$3:$A$2000))*(MONTH(I1070)=MONTH($A$3:$A$2000)),0))</f>
        <v>72320.453661145672</v>
      </c>
      <c r="L1070">
        <f t="shared" si="33"/>
        <v>49471.90003051197</v>
      </c>
    </row>
    <row r="1071" spans="4:12" x14ac:dyDescent="0.25">
      <c r="D1071">
        <f t="shared" si="32"/>
        <v>0</v>
      </c>
      <c r="H1071">
        <v>1069</v>
      </c>
      <c r="I1071" s="1">
        <v>46028</v>
      </c>
      <c r="J1071">
        <f t="array" ref="J1071">INDEX($D$3:$D$62,MATCH(1, (YEAR(I1071)=YEAR($A$3:$A$62))*(MONTH(I1071)=MONTH($A$3:$A$62)),0))</f>
        <v>49078.913405247717</v>
      </c>
      <c r="K1071">
        <f t="array" ref="K1071">INDEX($G$3:$G$200,MATCH(1, (YEAR(I1071)=YEAR($A$3:$A$2000))*(MONTH(I1071)=MONTH($A$3:$A$2000)),0))</f>
        <v>72320.453661145672</v>
      </c>
      <c r="L1071">
        <f t="shared" si="33"/>
        <v>49437.737480989003</v>
      </c>
    </row>
    <row r="1072" spans="4:12" x14ac:dyDescent="0.25">
      <c r="D1072">
        <f t="shared" si="32"/>
        <v>0</v>
      </c>
      <c r="H1072">
        <v>1070</v>
      </c>
      <c r="I1072" s="1">
        <v>46029</v>
      </c>
      <c r="J1072">
        <f t="array" ref="J1072">INDEX($D$3:$D$62,MATCH(1, (YEAR(I1072)=YEAR($A$3:$A$62))*(MONTH(I1072)=MONTH($A$3:$A$62)),0))</f>
        <v>49078.913405247717</v>
      </c>
      <c r="K1072">
        <f t="array" ref="K1072">INDEX($G$3:$G$200,MATCH(1, (YEAR(I1072)=YEAR($A$3:$A$2000))*(MONTH(I1072)=MONTH($A$3:$A$2000)),0))</f>
        <v>72320.453661145672</v>
      </c>
      <c r="L1072">
        <f t="shared" si="33"/>
        <v>49403.609069664002</v>
      </c>
    </row>
    <row r="1073" spans="4:12" x14ac:dyDescent="0.25">
      <c r="D1073">
        <f t="shared" si="32"/>
        <v>0</v>
      </c>
      <c r="H1073">
        <v>1071</v>
      </c>
      <c r="I1073" s="1">
        <v>46030</v>
      </c>
      <c r="J1073">
        <f t="array" ref="J1073">INDEX($D$3:$D$62,MATCH(1, (YEAR(I1073)=YEAR($A$3:$A$62))*(MONTH(I1073)=MONTH($A$3:$A$62)),0))</f>
        <v>49078.913405247717</v>
      </c>
      <c r="K1073">
        <f t="array" ref="K1073">INDEX($G$3:$G$200,MATCH(1, (YEAR(I1073)=YEAR($A$3:$A$2000))*(MONTH(I1073)=MONTH($A$3:$A$2000)),0))</f>
        <v>72320.453661145672</v>
      </c>
      <c r="L1073">
        <f t="shared" si="33"/>
        <v>49369.514681918969</v>
      </c>
    </row>
    <row r="1074" spans="4:12" x14ac:dyDescent="0.25">
      <c r="D1074">
        <f t="shared" si="32"/>
        <v>0</v>
      </c>
      <c r="H1074">
        <v>1072</v>
      </c>
      <c r="I1074" s="1">
        <v>46031</v>
      </c>
      <c r="J1074">
        <f t="array" ref="J1074">INDEX($D$3:$D$62,MATCH(1, (YEAR(I1074)=YEAR($A$3:$A$62))*(MONTH(I1074)=MONTH($A$3:$A$62)),0))</f>
        <v>49078.913405247717</v>
      </c>
      <c r="K1074">
        <f t="array" ref="K1074">INDEX($G$3:$G$200,MATCH(1, (YEAR(I1074)=YEAR($A$3:$A$2000))*(MONTH(I1074)=MONTH($A$3:$A$2000)),0))</f>
        <v>72320.453661145672</v>
      </c>
      <c r="L1074">
        <f t="shared" si="33"/>
        <v>49335.454203423957</v>
      </c>
    </row>
    <row r="1075" spans="4:12" x14ac:dyDescent="0.25">
      <c r="D1075">
        <f t="shared" si="32"/>
        <v>0</v>
      </c>
      <c r="H1075">
        <v>1073</v>
      </c>
      <c r="I1075" s="1">
        <v>46032</v>
      </c>
      <c r="J1075">
        <f t="array" ref="J1075">INDEX($D$3:$D$62,MATCH(1, (YEAR(I1075)=YEAR($A$3:$A$62))*(MONTH(I1075)=MONTH($A$3:$A$62)),0))</f>
        <v>49078.913405247717</v>
      </c>
      <c r="K1075">
        <f t="array" ref="K1075">INDEX($G$3:$G$200,MATCH(1, (YEAR(I1075)=YEAR($A$3:$A$2000))*(MONTH(I1075)=MONTH($A$3:$A$2000)),0))</f>
        <v>72320.453661145672</v>
      </c>
      <c r="L1075">
        <f t="shared" si="33"/>
        <v>49301.427520136989</v>
      </c>
    </row>
    <row r="1076" spans="4:12" x14ac:dyDescent="0.25">
      <c r="D1076">
        <f t="shared" si="32"/>
        <v>0</v>
      </c>
      <c r="H1076">
        <v>1074</v>
      </c>
      <c r="I1076" s="1">
        <v>46033</v>
      </c>
      <c r="J1076">
        <f t="array" ref="J1076">INDEX($D$3:$D$62,MATCH(1, (YEAR(I1076)=YEAR($A$3:$A$62))*(MONTH(I1076)=MONTH($A$3:$A$62)),0))</f>
        <v>49078.913405247717</v>
      </c>
      <c r="K1076">
        <f t="array" ref="K1076">INDEX($G$3:$G$200,MATCH(1, (YEAR(I1076)=YEAR($A$3:$A$2000))*(MONTH(I1076)=MONTH($A$3:$A$2000)),0))</f>
        <v>72320.453661145672</v>
      </c>
      <c r="L1076">
        <f t="shared" si="33"/>
        <v>49267.434518303999</v>
      </c>
    </row>
    <row r="1077" spans="4:12" x14ac:dyDescent="0.25">
      <c r="D1077">
        <f t="shared" si="32"/>
        <v>0</v>
      </c>
      <c r="H1077">
        <v>1075</v>
      </c>
      <c r="I1077" s="1">
        <v>46034</v>
      </c>
      <c r="J1077">
        <f t="array" ref="J1077">INDEX($D$3:$D$62,MATCH(1, (YEAR(I1077)=YEAR($A$3:$A$62))*(MONTH(I1077)=MONTH($A$3:$A$62)),0))</f>
        <v>49078.913405247717</v>
      </c>
      <c r="K1077">
        <f t="array" ref="K1077">INDEX($G$3:$G$200,MATCH(1, (YEAR(I1077)=YEAR($A$3:$A$2000))*(MONTH(I1077)=MONTH($A$3:$A$2000)),0))</f>
        <v>72320.453661145672</v>
      </c>
      <c r="L1077">
        <f t="shared" si="33"/>
        <v>49233.475084458973</v>
      </c>
    </row>
    <row r="1078" spans="4:12" x14ac:dyDescent="0.25">
      <c r="D1078">
        <f t="shared" si="32"/>
        <v>0</v>
      </c>
      <c r="H1078">
        <v>1076</v>
      </c>
      <c r="I1078" s="1">
        <v>46035</v>
      </c>
      <c r="J1078">
        <f t="array" ref="J1078">INDEX($D$3:$D$62,MATCH(1, (YEAR(I1078)=YEAR($A$3:$A$62))*(MONTH(I1078)=MONTH($A$3:$A$62)),0))</f>
        <v>49078.913405247717</v>
      </c>
      <c r="K1078">
        <f t="array" ref="K1078">INDEX($G$3:$G$200,MATCH(1, (YEAR(I1078)=YEAR($A$3:$A$2000))*(MONTH(I1078)=MONTH($A$3:$A$2000)),0))</f>
        <v>72320.453661145672</v>
      </c>
      <c r="L1078">
        <f t="shared" si="33"/>
        <v>49199.549105423968</v>
      </c>
    </row>
    <row r="1079" spans="4:12" x14ac:dyDescent="0.25">
      <c r="D1079">
        <f t="shared" si="32"/>
        <v>0</v>
      </c>
      <c r="H1079">
        <v>1077</v>
      </c>
      <c r="I1079" s="1">
        <v>46036</v>
      </c>
      <c r="J1079">
        <f t="array" ref="J1079">INDEX($D$3:$D$62,MATCH(1, (YEAR(I1079)=YEAR($A$3:$A$62))*(MONTH(I1079)=MONTH($A$3:$A$62)),0))</f>
        <v>49078.913405247717</v>
      </c>
      <c r="K1079">
        <f t="array" ref="K1079">INDEX($G$3:$G$200,MATCH(1, (YEAR(I1079)=YEAR($A$3:$A$2000))*(MONTH(I1079)=MONTH($A$3:$A$2000)),0))</f>
        <v>72320.453661145672</v>
      </c>
      <c r="L1079">
        <f t="shared" si="33"/>
        <v>49165.656468308982</v>
      </c>
    </row>
    <row r="1080" spans="4:12" x14ac:dyDescent="0.25">
      <c r="D1080">
        <f t="shared" si="32"/>
        <v>0</v>
      </c>
      <c r="H1080">
        <v>1078</v>
      </c>
      <c r="I1080" s="1">
        <v>46037</v>
      </c>
      <c r="J1080">
        <f t="array" ref="J1080">INDEX($D$3:$D$62,MATCH(1, (YEAR(I1080)=YEAR($A$3:$A$62))*(MONTH(I1080)=MONTH($A$3:$A$62)),0))</f>
        <v>49078.913405247717</v>
      </c>
      <c r="K1080">
        <f t="array" ref="K1080">INDEX($G$3:$G$200,MATCH(1, (YEAR(I1080)=YEAR($A$3:$A$2000))*(MONTH(I1080)=MONTH($A$3:$A$2000)),0))</f>
        <v>72320.453661145672</v>
      </c>
      <c r="L1080">
        <f t="shared" si="33"/>
        <v>49131.797060511977</v>
      </c>
    </row>
    <row r="1081" spans="4:12" x14ac:dyDescent="0.25">
      <c r="D1081">
        <f t="shared" si="32"/>
        <v>0</v>
      </c>
      <c r="H1081">
        <v>1079</v>
      </c>
      <c r="I1081" s="1">
        <v>46038</v>
      </c>
      <c r="J1081">
        <f t="array" ref="J1081">INDEX($D$3:$D$62,MATCH(1, (YEAR(I1081)=YEAR($A$3:$A$62))*(MONTH(I1081)=MONTH($A$3:$A$62)),0))</f>
        <v>49078.913405247717</v>
      </c>
      <c r="K1081">
        <f t="array" ref="K1081">INDEX($G$3:$G$200,MATCH(1, (YEAR(I1081)=YEAR($A$3:$A$2000))*(MONTH(I1081)=MONTH($A$3:$A$2000)),0))</f>
        <v>72320.453661145672</v>
      </c>
      <c r="L1081">
        <f t="shared" si="33"/>
        <v>49097.970769718988</v>
      </c>
    </row>
    <row r="1082" spans="4:12" x14ac:dyDescent="0.25">
      <c r="D1082">
        <f t="shared" si="32"/>
        <v>0</v>
      </c>
      <c r="H1082">
        <v>1080</v>
      </c>
      <c r="I1082" s="1">
        <v>46039</v>
      </c>
      <c r="J1082">
        <f t="array" ref="J1082">INDEX($D$3:$D$62,MATCH(1, (YEAR(I1082)=YEAR($A$3:$A$62))*(MONTH(I1082)=MONTH($A$3:$A$62)),0))</f>
        <v>49078.913405247717</v>
      </c>
      <c r="K1082">
        <f t="array" ref="K1082">INDEX($G$3:$G$200,MATCH(1, (YEAR(I1082)=YEAR($A$3:$A$2000))*(MONTH(I1082)=MONTH($A$3:$A$2000)),0))</f>
        <v>72320.453661145672</v>
      </c>
      <c r="L1082">
        <f t="shared" si="33"/>
        <v>49064.177483903972</v>
      </c>
    </row>
    <row r="1083" spans="4:12" x14ac:dyDescent="0.25">
      <c r="D1083">
        <f t="shared" si="32"/>
        <v>0</v>
      </c>
      <c r="H1083">
        <v>1081</v>
      </c>
      <c r="I1083" s="1">
        <v>46040</v>
      </c>
      <c r="J1083">
        <f t="array" ref="J1083">INDEX($D$3:$D$62,MATCH(1, (YEAR(I1083)=YEAR($A$3:$A$62))*(MONTH(I1083)=MONTH($A$3:$A$62)),0))</f>
        <v>49078.913405247717</v>
      </c>
      <c r="K1083">
        <f t="array" ref="K1083">INDEX($G$3:$G$200,MATCH(1, (YEAR(I1083)=YEAR($A$3:$A$2000))*(MONTH(I1083)=MONTH($A$3:$A$2000)),0))</f>
        <v>72320.453661145672</v>
      </c>
      <c r="L1083">
        <f t="shared" si="33"/>
        <v>49030.417091329</v>
      </c>
    </row>
    <row r="1084" spans="4:12" x14ac:dyDescent="0.25">
      <c r="D1084">
        <f t="shared" si="32"/>
        <v>0</v>
      </c>
      <c r="H1084">
        <v>1082</v>
      </c>
      <c r="I1084" s="1">
        <v>46041</v>
      </c>
      <c r="J1084">
        <f t="array" ref="J1084">INDEX($D$3:$D$62,MATCH(1, (YEAR(I1084)=YEAR($A$3:$A$62))*(MONTH(I1084)=MONTH($A$3:$A$62)),0))</f>
        <v>49078.913405247717</v>
      </c>
      <c r="K1084">
        <f t="array" ref="K1084">INDEX($G$3:$G$200,MATCH(1, (YEAR(I1084)=YEAR($A$3:$A$2000))*(MONTH(I1084)=MONTH($A$3:$A$2000)),0))</f>
        <v>72320.453661145672</v>
      </c>
      <c r="L1084">
        <f t="shared" si="33"/>
        <v>48996.689480543981</v>
      </c>
    </row>
    <row r="1085" spans="4:12" x14ac:dyDescent="0.25">
      <c r="D1085">
        <f t="shared" si="32"/>
        <v>0</v>
      </c>
      <c r="H1085">
        <v>1083</v>
      </c>
      <c r="I1085" s="1">
        <v>46042</v>
      </c>
      <c r="J1085">
        <f t="array" ref="J1085">INDEX($D$3:$D$62,MATCH(1, (YEAR(I1085)=YEAR($A$3:$A$62))*(MONTH(I1085)=MONTH($A$3:$A$62)),0))</f>
        <v>49078.913405247717</v>
      </c>
      <c r="K1085">
        <f t="array" ref="K1085">INDEX($G$3:$G$200,MATCH(1, (YEAR(I1085)=YEAR($A$3:$A$2000))*(MONTH(I1085)=MONTH($A$3:$A$2000)),0))</f>
        <v>72320.453661145672</v>
      </c>
      <c r="L1085">
        <f t="shared" si="33"/>
        <v>48962.994540386993</v>
      </c>
    </row>
    <row r="1086" spans="4:12" x14ac:dyDescent="0.25">
      <c r="D1086">
        <f t="shared" si="32"/>
        <v>0</v>
      </c>
      <c r="H1086">
        <v>1084</v>
      </c>
      <c r="I1086" s="1">
        <v>46043</v>
      </c>
      <c r="J1086">
        <f t="array" ref="J1086">INDEX($D$3:$D$62,MATCH(1, (YEAR(I1086)=YEAR($A$3:$A$62))*(MONTH(I1086)=MONTH($A$3:$A$62)),0))</f>
        <v>49078.913405247717</v>
      </c>
      <c r="K1086">
        <f t="array" ref="K1086">INDEX($G$3:$G$200,MATCH(1, (YEAR(I1086)=YEAR($A$3:$A$2000))*(MONTH(I1086)=MONTH($A$3:$A$2000)),0))</f>
        <v>72320.453661145672</v>
      </c>
      <c r="L1086">
        <f t="shared" si="33"/>
        <v>48929.332159983969</v>
      </c>
    </row>
    <row r="1087" spans="4:12" x14ac:dyDescent="0.25">
      <c r="D1087">
        <f t="shared" si="32"/>
        <v>0</v>
      </c>
      <c r="H1087">
        <v>1085</v>
      </c>
      <c r="I1087" s="1">
        <v>46044</v>
      </c>
      <c r="J1087">
        <f t="array" ref="J1087">INDEX($D$3:$D$62,MATCH(1, (YEAR(I1087)=YEAR($A$3:$A$62))*(MONTH(I1087)=MONTH($A$3:$A$62)),0))</f>
        <v>49078.913405247717</v>
      </c>
      <c r="K1087">
        <f t="array" ref="K1087">INDEX($G$3:$G$200,MATCH(1, (YEAR(I1087)=YEAR($A$3:$A$2000))*(MONTH(I1087)=MONTH($A$3:$A$2000)),0))</f>
        <v>72320.453661145672</v>
      </c>
      <c r="L1087">
        <f t="shared" si="33"/>
        <v>48895.702228748996</v>
      </c>
    </row>
    <row r="1088" spans="4:12" x14ac:dyDescent="0.25">
      <c r="D1088">
        <f t="shared" si="32"/>
        <v>0</v>
      </c>
      <c r="H1088">
        <v>1086</v>
      </c>
      <c r="I1088" s="1">
        <v>46045</v>
      </c>
      <c r="J1088">
        <f t="array" ref="J1088">INDEX($D$3:$D$62,MATCH(1, (YEAR(I1088)=YEAR($A$3:$A$62))*(MONTH(I1088)=MONTH($A$3:$A$62)),0))</f>
        <v>49078.913405247717</v>
      </c>
      <c r="K1088">
        <f t="array" ref="K1088">INDEX($G$3:$G$200,MATCH(1, (YEAR(I1088)=YEAR($A$3:$A$2000))*(MONTH(I1088)=MONTH($A$3:$A$2000)),0))</f>
        <v>72320.453661145672</v>
      </c>
      <c r="L1088">
        <f t="shared" si="33"/>
        <v>48862.104636384</v>
      </c>
    </row>
    <row r="1089" spans="4:12" x14ac:dyDescent="0.25">
      <c r="D1089">
        <f t="shared" si="32"/>
        <v>0</v>
      </c>
      <c r="H1089">
        <v>1087</v>
      </c>
      <c r="I1089" s="1">
        <v>46046</v>
      </c>
      <c r="J1089">
        <f t="array" ref="J1089">INDEX($D$3:$D$62,MATCH(1, (YEAR(I1089)=YEAR($A$3:$A$62))*(MONTH(I1089)=MONTH($A$3:$A$62)),0))</f>
        <v>49078.913405247717</v>
      </c>
      <c r="K1089">
        <f t="array" ref="K1089">INDEX($G$3:$G$200,MATCH(1, (YEAR(I1089)=YEAR($A$3:$A$2000))*(MONTH(I1089)=MONTH($A$3:$A$2000)),0))</f>
        <v>72320.453661145672</v>
      </c>
      <c r="L1089">
        <f t="shared" si="33"/>
        <v>48828.539272878959</v>
      </c>
    </row>
    <row r="1090" spans="4:12" x14ac:dyDescent="0.25">
      <c r="D1090">
        <f t="shared" si="32"/>
        <v>0</v>
      </c>
      <c r="H1090">
        <v>1088</v>
      </c>
      <c r="I1090" s="1">
        <v>46047</v>
      </c>
      <c r="J1090">
        <f t="array" ref="J1090">INDEX($D$3:$D$62,MATCH(1, (YEAR(I1090)=YEAR($A$3:$A$62))*(MONTH(I1090)=MONTH($A$3:$A$62)),0))</f>
        <v>49078.913405247717</v>
      </c>
      <c r="K1090">
        <f t="array" ref="K1090">INDEX($G$3:$G$200,MATCH(1, (YEAR(I1090)=YEAR($A$3:$A$2000))*(MONTH(I1090)=MONTH($A$3:$A$2000)),0))</f>
        <v>72320.453661145672</v>
      </c>
      <c r="L1090">
        <f t="shared" si="33"/>
        <v>48795.006028511969</v>
      </c>
    </row>
    <row r="1091" spans="4:12" x14ac:dyDescent="0.25">
      <c r="D1091">
        <f t="shared" si="32"/>
        <v>0</v>
      </c>
      <c r="H1091">
        <v>1089</v>
      </c>
      <c r="I1091" s="1">
        <v>46048</v>
      </c>
      <c r="J1091">
        <f t="array" ref="J1091">INDEX($D$3:$D$62,MATCH(1, (YEAR(I1091)=YEAR($A$3:$A$62))*(MONTH(I1091)=MONTH($A$3:$A$62)),0))</f>
        <v>49078.913405247717</v>
      </c>
      <c r="K1091">
        <f t="array" ref="K1091">INDEX($G$3:$G$200,MATCH(1, (YEAR(I1091)=YEAR($A$3:$A$2000))*(MONTH(I1091)=MONTH($A$3:$A$2000)),0))</f>
        <v>72320.453661145672</v>
      </c>
      <c r="L1091">
        <f t="shared" si="33"/>
        <v>48761.504793849002</v>
      </c>
    </row>
    <row r="1092" spans="4:12" x14ac:dyDescent="0.25">
      <c r="D1092">
        <f t="shared" ref="D1092:D1155" si="34">SUM(B1092:C1092)</f>
        <v>0</v>
      </c>
      <c r="H1092">
        <v>1090</v>
      </c>
      <c r="I1092" s="1">
        <v>46049</v>
      </c>
      <c r="J1092">
        <f t="array" ref="J1092">INDEX($D$3:$D$62,MATCH(1, (YEAR(I1092)=YEAR($A$3:$A$62))*(MONTH(I1092)=MONTH($A$3:$A$62)),0))</f>
        <v>49078.913405247717</v>
      </c>
      <c r="K1092">
        <f t="array" ref="K1092">INDEX($G$3:$G$200,MATCH(1, (YEAR(I1092)=YEAR($A$3:$A$2000))*(MONTH(I1092)=MONTH($A$3:$A$2000)),0))</f>
        <v>72320.453661145672</v>
      </c>
      <c r="L1092">
        <f t="shared" ref="L1092:L1155" si="35">0.000000012*H1092^4-0.000070439*H1092^3+0.160688168*H1092^2-194.849290676*H1092+144481.718306784</f>
        <v>48728.035459743973</v>
      </c>
    </row>
    <row r="1093" spans="4:12" x14ac:dyDescent="0.25">
      <c r="D1093">
        <f t="shared" si="34"/>
        <v>0</v>
      </c>
      <c r="H1093">
        <v>1091</v>
      </c>
      <c r="I1093" s="1">
        <v>46050</v>
      </c>
      <c r="J1093">
        <f t="array" ref="J1093">INDEX($D$3:$D$62,MATCH(1, (YEAR(I1093)=YEAR($A$3:$A$62))*(MONTH(I1093)=MONTH($A$3:$A$62)),0))</f>
        <v>49078.913405247717</v>
      </c>
      <c r="K1093">
        <f t="array" ref="K1093">INDEX($G$3:$G$200,MATCH(1, (YEAR(I1093)=YEAR($A$3:$A$2000))*(MONTH(I1093)=MONTH($A$3:$A$2000)),0))</f>
        <v>72320.453661145672</v>
      </c>
      <c r="L1093">
        <f t="shared" si="35"/>
        <v>48694.597917338979</v>
      </c>
    </row>
    <row r="1094" spans="4:12" x14ac:dyDescent="0.25">
      <c r="D1094">
        <f t="shared" si="34"/>
        <v>0</v>
      </c>
      <c r="H1094">
        <v>1092</v>
      </c>
      <c r="I1094" s="1">
        <v>46051</v>
      </c>
      <c r="J1094">
        <f t="array" ref="J1094">INDEX($D$3:$D$62,MATCH(1, (YEAR(I1094)=YEAR($A$3:$A$62))*(MONTH(I1094)=MONTH($A$3:$A$62)),0))</f>
        <v>49078.913405247717</v>
      </c>
      <c r="K1094">
        <f t="array" ref="K1094">INDEX($G$3:$G$200,MATCH(1, (YEAR(I1094)=YEAR($A$3:$A$2000))*(MONTH(I1094)=MONTH($A$3:$A$2000)),0))</f>
        <v>72320.453661145672</v>
      </c>
      <c r="L1094">
        <f t="shared" si="35"/>
        <v>48661.192058063985</v>
      </c>
    </row>
    <row r="1095" spans="4:12" x14ac:dyDescent="0.25">
      <c r="D1095">
        <f t="shared" si="34"/>
        <v>0</v>
      </c>
      <c r="H1095">
        <v>1093</v>
      </c>
      <c r="I1095" s="1">
        <v>46052</v>
      </c>
      <c r="J1095">
        <f t="array" ref="J1095">INDEX($D$3:$D$62,MATCH(1, (YEAR(I1095)=YEAR($A$3:$A$62))*(MONTH(I1095)=MONTH($A$3:$A$62)),0))</f>
        <v>49078.913405247717</v>
      </c>
      <c r="K1095">
        <f t="array" ref="K1095">INDEX($G$3:$G$200,MATCH(1, (YEAR(I1095)=YEAR($A$3:$A$2000))*(MONTH(I1095)=MONTH($A$3:$A$2000)),0))</f>
        <v>72320.453661145672</v>
      </c>
      <c r="L1095">
        <f t="shared" si="35"/>
        <v>48627.817773636969</v>
      </c>
    </row>
    <row r="1096" spans="4:12" x14ac:dyDescent="0.25">
      <c r="D1096">
        <f t="shared" si="34"/>
        <v>0</v>
      </c>
      <c r="H1096">
        <v>1094</v>
      </c>
      <c r="I1096" s="1">
        <v>46053</v>
      </c>
      <c r="J1096">
        <f t="array" ref="J1096">INDEX($D$3:$D$62,MATCH(1, (YEAR(I1096)=YEAR($A$3:$A$62))*(MONTH(I1096)=MONTH($A$3:$A$62)),0))</f>
        <v>49078.913405247717</v>
      </c>
      <c r="K1096">
        <f t="array" ref="K1096">INDEX($G$3:$G$200,MATCH(1, (YEAR(I1096)=YEAR($A$3:$A$2000))*(MONTH(I1096)=MONTH($A$3:$A$2000)),0))</f>
        <v>72320.453661145672</v>
      </c>
      <c r="L1096">
        <f t="shared" si="35"/>
        <v>48594.474956063961</v>
      </c>
    </row>
    <row r="1097" spans="4:12" x14ac:dyDescent="0.25">
      <c r="D1097">
        <f t="shared" si="34"/>
        <v>0</v>
      </c>
      <c r="H1097">
        <v>1095</v>
      </c>
      <c r="I1097" s="1">
        <v>46054</v>
      </c>
      <c r="J1097">
        <f t="array" ref="J1097">INDEX($D$3:$D$62,MATCH(1, (YEAR(I1097)=YEAR($A$3:$A$62))*(MONTH(I1097)=MONTH($A$3:$A$62)),0))</f>
        <v>48104.935213430341</v>
      </c>
      <c r="K1097">
        <f t="array" ref="K1097">INDEX($G$3:$G$200,MATCH(1, (YEAR(I1097)=YEAR($A$3:$A$2000))*(MONTH(I1097)=MONTH($A$3:$A$2000)),0))</f>
        <v>70863.486778982056</v>
      </c>
      <c r="L1097">
        <f t="shared" si="35"/>
        <v>48561.163497638976</v>
      </c>
    </row>
    <row r="1098" spans="4:12" x14ac:dyDescent="0.25">
      <c r="D1098">
        <f t="shared" si="34"/>
        <v>0</v>
      </c>
      <c r="H1098">
        <v>1096</v>
      </c>
      <c r="I1098" s="1">
        <v>46055</v>
      </c>
      <c r="J1098">
        <f t="array" ref="J1098">INDEX($D$3:$D$62,MATCH(1, (YEAR(I1098)=YEAR($A$3:$A$62))*(MONTH(I1098)=MONTH($A$3:$A$62)),0))</f>
        <v>48104.935213430341</v>
      </c>
      <c r="K1098">
        <f t="array" ref="K1098">INDEX($G$3:$G$200,MATCH(1, (YEAR(I1098)=YEAR($A$3:$A$2000))*(MONTH(I1098)=MONTH($A$3:$A$2000)),0))</f>
        <v>70863.486778982056</v>
      </c>
      <c r="L1098">
        <f t="shared" si="35"/>
        <v>48527.883290943981</v>
      </c>
    </row>
    <row r="1099" spans="4:12" x14ac:dyDescent="0.25">
      <c r="D1099">
        <f t="shared" si="34"/>
        <v>0</v>
      </c>
      <c r="H1099">
        <v>1097</v>
      </c>
      <c r="I1099" s="1">
        <v>46056</v>
      </c>
      <c r="J1099">
        <f t="array" ref="J1099">INDEX($D$3:$D$62,MATCH(1, (YEAR(I1099)=YEAR($A$3:$A$62))*(MONTH(I1099)=MONTH($A$3:$A$62)),0))</f>
        <v>48104.935213430341</v>
      </c>
      <c r="K1099">
        <f t="array" ref="K1099">INDEX($G$3:$G$200,MATCH(1, (YEAR(I1099)=YEAR($A$3:$A$2000))*(MONTH(I1099)=MONTH($A$3:$A$2000)),0))</f>
        <v>70863.486778982056</v>
      </c>
      <c r="L1099">
        <f t="shared" si="35"/>
        <v>48494.634228848983</v>
      </c>
    </row>
    <row r="1100" spans="4:12" x14ac:dyDescent="0.25">
      <c r="D1100">
        <f t="shared" si="34"/>
        <v>0</v>
      </c>
      <c r="H1100">
        <v>1098</v>
      </c>
      <c r="I1100" s="1">
        <v>46057</v>
      </c>
      <c r="J1100">
        <f t="array" ref="J1100">INDEX($D$3:$D$62,MATCH(1, (YEAR(I1100)=YEAR($A$3:$A$62))*(MONTH(I1100)=MONTH($A$3:$A$62)),0))</f>
        <v>48104.935213430341</v>
      </c>
      <c r="K1100">
        <f t="array" ref="K1100">INDEX($G$3:$G$200,MATCH(1, (YEAR(I1100)=YEAR($A$3:$A$2000))*(MONTH(I1100)=MONTH($A$3:$A$2000)),0))</f>
        <v>70863.486778982056</v>
      </c>
      <c r="L1100">
        <f t="shared" si="35"/>
        <v>48461.416204511988</v>
      </c>
    </row>
    <row r="1101" spans="4:12" x14ac:dyDescent="0.25">
      <c r="D1101">
        <f t="shared" si="34"/>
        <v>0</v>
      </c>
      <c r="H1101">
        <v>1099</v>
      </c>
      <c r="I1101" s="1">
        <v>46058</v>
      </c>
      <c r="J1101">
        <f t="array" ref="J1101">INDEX($D$3:$D$62,MATCH(1, (YEAR(I1101)=YEAR($A$3:$A$62))*(MONTH(I1101)=MONTH($A$3:$A$62)),0))</f>
        <v>48104.935213430341</v>
      </c>
      <c r="K1101">
        <f t="array" ref="K1101">INDEX($G$3:$G$200,MATCH(1, (YEAR(I1101)=YEAR($A$3:$A$2000))*(MONTH(I1101)=MONTH($A$3:$A$2000)),0))</f>
        <v>70863.486778982056</v>
      </c>
      <c r="L1101">
        <f t="shared" si="35"/>
        <v>48428.229111378969</v>
      </c>
    </row>
    <row r="1102" spans="4:12" x14ac:dyDescent="0.25">
      <c r="D1102">
        <f t="shared" si="34"/>
        <v>0</v>
      </c>
      <c r="H1102">
        <v>1100</v>
      </c>
      <c r="I1102" s="1">
        <v>46059</v>
      </c>
      <c r="J1102">
        <f t="array" ref="J1102">INDEX($D$3:$D$62,MATCH(1, (YEAR(I1102)=YEAR($A$3:$A$62))*(MONTH(I1102)=MONTH($A$3:$A$62)),0))</f>
        <v>48104.935213430341</v>
      </c>
      <c r="K1102">
        <f t="array" ref="K1102">INDEX($G$3:$G$200,MATCH(1, (YEAR(I1102)=YEAR($A$3:$A$2000))*(MONTH(I1102)=MONTH($A$3:$A$2000)),0))</f>
        <v>70863.486778982056</v>
      </c>
      <c r="L1102">
        <f t="shared" si="35"/>
        <v>48395.072843183996</v>
      </c>
    </row>
    <row r="1103" spans="4:12" x14ac:dyDescent="0.25">
      <c r="D1103">
        <f t="shared" si="34"/>
        <v>0</v>
      </c>
      <c r="H1103">
        <v>1101</v>
      </c>
      <c r="I1103" s="1">
        <v>46060</v>
      </c>
      <c r="J1103">
        <f t="array" ref="J1103">INDEX($D$3:$D$62,MATCH(1, (YEAR(I1103)=YEAR($A$3:$A$62))*(MONTH(I1103)=MONTH($A$3:$A$62)),0))</f>
        <v>48104.935213430341</v>
      </c>
      <c r="K1103">
        <f t="array" ref="K1103">INDEX($G$3:$G$200,MATCH(1, (YEAR(I1103)=YEAR($A$3:$A$2000))*(MONTH(I1103)=MONTH($A$3:$A$2000)),0))</f>
        <v>70863.486778982056</v>
      </c>
      <c r="L1103">
        <f t="shared" si="35"/>
        <v>48361.947293948979</v>
      </c>
    </row>
    <row r="1104" spans="4:12" x14ac:dyDescent="0.25">
      <c r="D1104">
        <f t="shared" si="34"/>
        <v>0</v>
      </c>
      <c r="H1104">
        <v>1102</v>
      </c>
      <c r="I1104" s="1">
        <v>46061</v>
      </c>
      <c r="J1104">
        <f t="array" ref="J1104">INDEX($D$3:$D$62,MATCH(1, (YEAR(I1104)=YEAR($A$3:$A$62))*(MONTH(I1104)=MONTH($A$3:$A$62)),0))</f>
        <v>48104.935213430341</v>
      </c>
      <c r="K1104">
        <f t="array" ref="K1104">INDEX($G$3:$G$200,MATCH(1, (YEAR(I1104)=YEAR($A$3:$A$2000))*(MONTH(I1104)=MONTH($A$3:$A$2000)),0))</f>
        <v>70863.486778982056</v>
      </c>
      <c r="L1104">
        <f t="shared" si="35"/>
        <v>48328.852357983968</v>
      </c>
    </row>
    <row r="1105" spans="4:12" x14ac:dyDescent="0.25">
      <c r="D1105">
        <f t="shared" si="34"/>
        <v>0</v>
      </c>
      <c r="H1105">
        <v>1103</v>
      </c>
      <c r="I1105" s="1">
        <v>46062</v>
      </c>
      <c r="J1105">
        <f t="array" ref="J1105">INDEX($D$3:$D$62,MATCH(1, (YEAR(I1105)=YEAR($A$3:$A$62))*(MONTH(I1105)=MONTH($A$3:$A$62)),0))</f>
        <v>48104.935213430341</v>
      </c>
      <c r="K1105">
        <f t="array" ref="K1105">INDEX($G$3:$G$200,MATCH(1, (YEAR(I1105)=YEAR($A$3:$A$2000))*(MONTH(I1105)=MONTH($A$3:$A$2000)),0))</f>
        <v>70863.486778982056</v>
      </c>
      <c r="L1105">
        <f t="shared" si="35"/>
        <v>48295.787929886981</v>
      </c>
    </row>
    <row r="1106" spans="4:12" x14ac:dyDescent="0.25">
      <c r="D1106">
        <f t="shared" si="34"/>
        <v>0</v>
      </c>
      <c r="H1106">
        <v>1104</v>
      </c>
      <c r="I1106" s="1">
        <v>46063</v>
      </c>
      <c r="J1106">
        <f t="array" ref="J1106">INDEX($D$3:$D$62,MATCH(1, (YEAR(I1106)=YEAR($A$3:$A$62))*(MONTH(I1106)=MONTH($A$3:$A$62)),0))</f>
        <v>48104.935213430341</v>
      </c>
      <c r="K1106">
        <f t="array" ref="K1106">INDEX($G$3:$G$200,MATCH(1, (YEAR(I1106)=YEAR($A$3:$A$2000))*(MONTH(I1106)=MONTH($A$3:$A$2000)),0))</f>
        <v>70863.486778982056</v>
      </c>
      <c r="L1106">
        <f t="shared" si="35"/>
        <v>48262.753904543977</v>
      </c>
    </row>
    <row r="1107" spans="4:12" x14ac:dyDescent="0.25">
      <c r="D1107">
        <f t="shared" si="34"/>
        <v>0</v>
      </c>
      <c r="H1107">
        <v>1105</v>
      </c>
      <c r="I1107" s="1">
        <v>46064</v>
      </c>
      <c r="J1107">
        <f t="array" ref="J1107">INDEX($D$3:$D$62,MATCH(1, (YEAR(I1107)=YEAR($A$3:$A$62))*(MONTH(I1107)=MONTH($A$3:$A$62)),0))</f>
        <v>48104.935213430341</v>
      </c>
      <c r="K1107">
        <f t="array" ref="K1107">INDEX($G$3:$G$200,MATCH(1, (YEAR(I1107)=YEAR($A$3:$A$2000))*(MONTH(I1107)=MONTH($A$3:$A$2000)),0))</f>
        <v>70863.486778982056</v>
      </c>
      <c r="L1107">
        <f t="shared" si="35"/>
        <v>48229.750177128968</v>
      </c>
    </row>
    <row r="1108" spans="4:12" x14ac:dyDescent="0.25">
      <c r="D1108">
        <f t="shared" si="34"/>
        <v>0</v>
      </c>
      <c r="H1108">
        <v>1106</v>
      </c>
      <c r="I1108" s="1">
        <v>46065</v>
      </c>
      <c r="J1108">
        <f t="array" ref="J1108">INDEX($D$3:$D$62,MATCH(1, (YEAR(I1108)=YEAR($A$3:$A$62))*(MONTH(I1108)=MONTH($A$3:$A$62)),0))</f>
        <v>48104.935213430341</v>
      </c>
      <c r="K1108">
        <f t="array" ref="K1108">INDEX($G$3:$G$200,MATCH(1, (YEAR(I1108)=YEAR($A$3:$A$2000))*(MONTH(I1108)=MONTH($A$3:$A$2000)),0))</f>
        <v>70863.486778982056</v>
      </c>
      <c r="L1108">
        <f t="shared" si="35"/>
        <v>48196.776643103993</v>
      </c>
    </row>
    <row r="1109" spans="4:12" x14ac:dyDescent="0.25">
      <c r="D1109">
        <f t="shared" si="34"/>
        <v>0</v>
      </c>
      <c r="H1109">
        <v>1107</v>
      </c>
      <c r="I1109" s="1">
        <v>46066</v>
      </c>
      <c r="J1109">
        <f t="array" ref="J1109">INDEX($D$3:$D$62,MATCH(1, (YEAR(I1109)=YEAR($A$3:$A$62))*(MONTH(I1109)=MONTH($A$3:$A$62)),0))</f>
        <v>48104.935213430341</v>
      </c>
      <c r="K1109">
        <f t="array" ref="K1109">INDEX($G$3:$G$200,MATCH(1, (YEAR(I1109)=YEAR($A$3:$A$2000))*(MONTH(I1109)=MONTH($A$3:$A$2000)),0))</f>
        <v>70863.486778982056</v>
      </c>
      <c r="L1109">
        <f t="shared" si="35"/>
        <v>48163.83319821897</v>
      </c>
    </row>
    <row r="1110" spans="4:12" x14ac:dyDescent="0.25">
      <c r="D1110">
        <f t="shared" si="34"/>
        <v>0</v>
      </c>
      <c r="H1110">
        <v>1108</v>
      </c>
      <c r="I1110" s="1">
        <v>46067</v>
      </c>
      <c r="J1110">
        <f t="array" ref="J1110">INDEX($D$3:$D$62,MATCH(1, (YEAR(I1110)=YEAR($A$3:$A$62))*(MONTH(I1110)=MONTH($A$3:$A$62)),0))</f>
        <v>48104.935213430341</v>
      </c>
      <c r="K1110">
        <f t="array" ref="K1110">INDEX($G$3:$G$200,MATCH(1, (YEAR(I1110)=YEAR($A$3:$A$2000))*(MONTH(I1110)=MONTH($A$3:$A$2000)),0))</f>
        <v>70863.486778982056</v>
      </c>
      <c r="L1110">
        <f t="shared" si="35"/>
        <v>48130.919738512006</v>
      </c>
    </row>
    <row r="1111" spans="4:12" x14ac:dyDescent="0.25">
      <c r="D1111">
        <f t="shared" si="34"/>
        <v>0</v>
      </c>
      <c r="H1111">
        <v>1109</v>
      </c>
      <c r="I1111" s="1">
        <v>46068</v>
      </c>
      <c r="J1111">
        <f t="array" ref="J1111">INDEX($D$3:$D$62,MATCH(1, (YEAR(I1111)=YEAR($A$3:$A$62))*(MONTH(I1111)=MONTH($A$3:$A$62)),0))</f>
        <v>48104.935213430341</v>
      </c>
      <c r="K1111">
        <f t="array" ref="K1111">INDEX($G$3:$G$200,MATCH(1, (YEAR(I1111)=YEAR($A$3:$A$2000))*(MONTH(I1111)=MONTH($A$3:$A$2000)),0))</f>
        <v>70863.486778982056</v>
      </c>
      <c r="L1111">
        <f t="shared" si="35"/>
        <v>48098.036160308984</v>
      </c>
    </row>
    <row r="1112" spans="4:12" x14ac:dyDescent="0.25">
      <c r="D1112">
        <f t="shared" si="34"/>
        <v>0</v>
      </c>
      <c r="H1112">
        <v>1110</v>
      </c>
      <c r="I1112" s="1">
        <v>46069</v>
      </c>
      <c r="J1112">
        <f t="array" ref="J1112">INDEX($D$3:$D$62,MATCH(1, (YEAR(I1112)=YEAR($A$3:$A$62))*(MONTH(I1112)=MONTH($A$3:$A$62)),0))</f>
        <v>48104.935213430341</v>
      </c>
      <c r="K1112">
        <f t="array" ref="K1112">INDEX($G$3:$G$200,MATCH(1, (YEAR(I1112)=YEAR($A$3:$A$2000))*(MONTH(I1112)=MONTH($A$3:$A$2000)),0))</f>
        <v>70863.486778982056</v>
      </c>
      <c r="L1112">
        <f t="shared" si="35"/>
        <v>48065.182360223975</v>
      </c>
    </row>
    <row r="1113" spans="4:12" x14ac:dyDescent="0.25">
      <c r="D1113">
        <f t="shared" si="34"/>
        <v>0</v>
      </c>
      <c r="H1113">
        <v>1111</v>
      </c>
      <c r="I1113" s="1">
        <v>46070</v>
      </c>
      <c r="J1113">
        <f t="array" ref="J1113">INDEX($D$3:$D$62,MATCH(1, (YEAR(I1113)=YEAR($A$3:$A$62))*(MONTH(I1113)=MONTH($A$3:$A$62)),0))</f>
        <v>48104.935213430341</v>
      </c>
      <c r="K1113">
        <f t="array" ref="K1113">INDEX($G$3:$G$200,MATCH(1, (YEAR(I1113)=YEAR($A$3:$A$2000))*(MONTH(I1113)=MONTH($A$3:$A$2000)),0))</f>
        <v>70863.486778982056</v>
      </c>
      <c r="L1113">
        <f t="shared" si="35"/>
        <v>48032.358235158987</v>
      </c>
    </row>
    <row r="1114" spans="4:12" x14ac:dyDescent="0.25">
      <c r="D1114">
        <f t="shared" si="34"/>
        <v>0</v>
      </c>
      <c r="H1114">
        <v>1112</v>
      </c>
      <c r="I1114" s="1">
        <v>46071</v>
      </c>
      <c r="J1114">
        <f t="array" ref="J1114">INDEX($D$3:$D$62,MATCH(1, (YEAR(I1114)=YEAR($A$3:$A$62))*(MONTH(I1114)=MONTH($A$3:$A$62)),0))</f>
        <v>48104.935213430341</v>
      </c>
      <c r="K1114">
        <f t="array" ref="K1114">INDEX($G$3:$G$200,MATCH(1, (YEAR(I1114)=YEAR($A$3:$A$2000))*(MONTH(I1114)=MONTH($A$3:$A$2000)),0))</f>
        <v>70863.486778982056</v>
      </c>
      <c r="L1114">
        <f t="shared" si="35"/>
        <v>47999.563682303997</v>
      </c>
    </row>
    <row r="1115" spans="4:12" x14ac:dyDescent="0.25">
      <c r="D1115">
        <f t="shared" si="34"/>
        <v>0</v>
      </c>
      <c r="H1115">
        <v>1113</v>
      </c>
      <c r="I1115" s="1">
        <v>46072</v>
      </c>
      <c r="J1115">
        <f t="array" ref="J1115">INDEX($D$3:$D$62,MATCH(1, (YEAR(I1115)=YEAR($A$3:$A$62))*(MONTH(I1115)=MONTH($A$3:$A$62)),0))</f>
        <v>48104.935213430341</v>
      </c>
      <c r="K1115">
        <f t="array" ref="K1115">INDEX($G$3:$G$200,MATCH(1, (YEAR(I1115)=YEAR($A$3:$A$2000))*(MONTH(I1115)=MONTH($A$3:$A$2000)),0))</f>
        <v>70863.486778982056</v>
      </c>
      <c r="L1115">
        <f t="shared" si="35"/>
        <v>47966.798599136993</v>
      </c>
    </row>
    <row r="1116" spans="4:12" x14ac:dyDescent="0.25">
      <c r="D1116">
        <f t="shared" si="34"/>
        <v>0</v>
      </c>
      <c r="H1116">
        <v>1114</v>
      </c>
      <c r="I1116" s="1">
        <v>46073</v>
      </c>
      <c r="J1116">
        <f t="array" ref="J1116">INDEX($D$3:$D$62,MATCH(1, (YEAR(I1116)=YEAR($A$3:$A$62))*(MONTH(I1116)=MONTH($A$3:$A$62)),0))</f>
        <v>48104.935213430341</v>
      </c>
      <c r="K1116">
        <f t="array" ref="K1116">INDEX($G$3:$G$200,MATCH(1, (YEAR(I1116)=YEAR($A$3:$A$2000))*(MONTH(I1116)=MONTH($A$3:$A$2000)),0))</f>
        <v>70863.486778982056</v>
      </c>
      <c r="L1116">
        <f t="shared" si="35"/>
        <v>47934.062883423991</v>
      </c>
    </row>
    <row r="1117" spans="4:12" x14ac:dyDescent="0.25">
      <c r="D1117">
        <f t="shared" si="34"/>
        <v>0</v>
      </c>
      <c r="H1117">
        <v>1115</v>
      </c>
      <c r="I1117" s="1">
        <v>46074</v>
      </c>
      <c r="J1117">
        <f t="array" ref="J1117">INDEX($D$3:$D$62,MATCH(1, (YEAR(I1117)=YEAR($A$3:$A$62))*(MONTH(I1117)=MONTH($A$3:$A$62)),0))</f>
        <v>48104.935213430341</v>
      </c>
      <c r="K1117">
        <f t="array" ref="K1117">INDEX($G$3:$G$200,MATCH(1, (YEAR(I1117)=YEAR($A$3:$A$2000))*(MONTH(I1117)=MONTH($A$3:$A$2000)),0))</f>
        <v>70863.486778982056</v>
      </c>
      <c r="L1117">
        <f t="shared" si="35"/>
        <v>47901.356433218971</v>
      </c>
    </row>
    <row r="1118" spans="4:12" x14ac:dyDescent="0.25">
      <c r="D1118">
        <f t="shared" si="34"/>
        <v>0</v>
      </c>
      <c r="H1118">
        <v>1116</v>
      </c>
      <c r="I1118" s="1">
        <v>46075</v>
      </c>
      <c r="J1118">
        <f t="array" ref="J1118">INDEX($D$3:$D$62,MATCH(1, (YEAR(I1118)=YEAR($A$3:$A$62))*(MONTH(I1118)=MONTH($A$3:$A$62)),0))</f>
        <v>48104.935213430341</v>
      </c>
      <c r="K1118">
        <f t="array" ref="K1118">INDEX($G$3:$G$200,MATCH(1, (YEAR(I1118)=YEAR($A$3:$A$2000))*(MONTH(I1118)=MONTH($A$3:$A$2000)),0))</f>
        <v>70863.486778982056</v>
      </c>
      <c r="L1118">
        <f t="shared" si="35"/>
        <v>47868.679146864</v>
      </c>
    </row>
    <row r="1119" spans="4:12" x14ac:dyDescent="0.25">
      <c r="D1119">
        <f t="shared" si="34"/>
        <v>0</v>
      </c>
      <c r="H1119">
        <v>1117</v>
      </c>
      <c r="I1119" s="1">
        <v>46076</v>
      </c>
      <c r="J1119">
        <f t="array" ref="J1119">INDEX($D$3:$D$62,MATCH(1, (YEAR(I1119)=YEAR($A$3:$A$62))*(MONTH(I1119)=MONTH($A$3:$A$62)),0))</f>
        <v>48104.935213430341</v>
      </c>
      <c r="K1119">
        <f t="array" ref="K1119">INDEX($G$3:$G$200,MATCH(1, (YEAR(I1119)=YEAR($A$3:$A$2000))*(MONTH(I1119)=MONTH($A$3:$A$2000)),0))</f>
        <v>70863.486778982056</v>
      </c>
      <c r="L1119">
        <f t="shared" si="35"/>
        <v>47836.030922988983</v>
      </c>
    </row>
    <row r="1120" spans="4:12" x14ac:dyDescent="0.25">
      <c r="D1120">
        <f t="shared" si="34"/>
        <v>0</v>
      </c>
      <c r="H1120">
        <v>1118</v>
      </c>
      <c r="I1120" s="1">
        <v>46077</v>
      </c>
      <c r="J1120">
        <f t="array" ref="J1120">INDEX($D$3:$D$62,MATCH(1, (YEAR(I1120)=YEAR($A$3:$A$62))*(MONTH(I1120)=MONTH($A$3:$A$62)),0))</f>
        <v>48104.935213430341</v>
      </c>
      <c r="K1120">
        <f t="array" ref="K1120">INDEX($G$3:$G$200,MATCH(1, (YEAR(I1120)=YEAR($A$3:$A$2000))*(MONTH(I1120)=MONTH($A$3:$A$2000)),0))</f>
        <v>70863.486778982056</v>
      </c>
      <c r="L1120">
        <f t="shared" si="35"/>
        <v>47803.411660511963</v>
      </c>
    </row>
    <row r="1121" spans="4:12" x14ac:dyDescent="0.25">
      <c r="D1121">
        <f t="shared" si="34"/>
        <v>0</v>
      </c>
      <c r="H1121">
        <v>1119</v>
      </c>
      <c r="I1121" s="1">
        <v>46078</v>
      </c>
      <c r="J1121">
        <f t="array" ref="J1121">INDEX($D$3:$D$62,MATCH(1, (YEAR(I1121)=YEAR($A$3:$A$62))*(MONTH(I1121)=MONTH($A$3:$A$62)),0))</f>
        <v>48104.935213430341</v>
      </c>
      <c r="K1121">
        <f t="array" ref="K1121">INDEX($G$3:$G$200,MATCH(1, (YEAR(I1121)=YEAR($A$3:$A$2000))*(MONTH(I1121)=MONTH($A$3:$A$2000)),0))</f>
        <v>70863.486778982056</v>
      </c>
      <c r="L1121">
        <f t="shared" si="35"/>
        <v>47770.821258638971</v>
      </c>
    </row>
    <row r="1122" spans="4:12" x14ac:dyDescent="0.25">
      <c r="D1122">
        <f t="shared" si="34"/>
        <v>0</v>
      </c>
      <c r="H1122">
        <v>1120</v>
      </c>
      <c r="I1122" s="1">
        <v>46079</v>
      </c>
      <c r="J1122">
        <f t="array" ref="J1122">INDEX($D$3:$D$62,MATCH(1, (YEAR(I1122)=YEAR($A$3:$A$62))*(MONTH(I1122)=MONTH($A$3:$A$62)),0))</f>
        <v>48104.935213430341</v>
      </c>
      <c r="K1122">
        <f t="array" ref="K1122">INDEX($G$3:$G$200,MATCH(1, (YEAR(I1122)=YEAR($A$3:$A$2000))*(MONTH(I1122)=MONTH($A$3:$A$2000)),0))</f>
        <v>70863.486778982056</v>
      </c>
      <c r="L1122">
        <f t="shared" si="35"/>
        <v>47738.259616863987</v>
      </c>
    </row>
    <row r="1123" spans="4:12" x14ac:dyDescent="0.25">
      <c r="D1123">
        <f t="shared" si="34"/>
        <v>0</v>
      </c>
      <c r="H1123">
        <v>1121</v>
      </c>
      <c r="I1123" s="1">
        <v>46080</v>
      </c>
      <c r="J1123">
        <f t="array" ref="J1123">INDEX($D$3:$D$62,MATCH(1, (YEAR(I1123)=YEAR($A$3:$A$62))*(MONTH(I1123)=MONTH($A$3:$A$62)),0))</f>
        <v>48104.935213430341</v>
      </c>
      <c r="K1123">
        <f t="array" ref="K1123">INDEX($G$3:$G$200,MATCH(1, (YEAR(I1123)=YEAR($A$3:$A$2000))*(MONTH(I1123)=MONTH($A$3:$A$2000)),0))</f>
        <v>70863.486778982056</v>
      </c>
      <c r="L1123">
        <f t="shared" si="35"/>
        <v>47705.726634968989</v>
      </c>
    </row>
    <row r="1124" spans="4:12" x14ac:dyDescent="0.25">
      <c r="D1124">
        <f t="shared" si="34"/>
        <v>0</v>
      </c>
      <c r="H1124">
        <v>1122</v>
      </c>
      <c r="I1124" s="1">
        <v>46081</v>
      </c>
      <c r="J1124">
        <f t="array" ref="J1124">INDEX($D$3:$D$62,MATCH(1, (YEAR(I1124)=YEAR($A$3:$A$62))*(MONTH(I1124)=MONTH($A$3:$A$62)),0))</f>
        <v>48104.935213430341</v>
      </c>
      <c r="K1124">
        <f t="array" ref="K1124">INDEX($G$3:$G$200,MATCH(1, (YEAR(I1124)=YEAR($A$3:$A$2000))*(MONTH(I1124)=MONTH($A$3:$A$2000)),0))</f>
        <v>70863.486778982056</v>
      </c>
      <c r="L1124">
        <f t="shared" si="35"/>
        <v>47673.222213023982</v>
      </c>
    </row>
    <row r="1125" spans="4:12" x14ac:dyDescent="0.25">
      <c r="D1125">
        <f t="shared" si="34"/>
        <v>0</v>
      </c>
      <c r="H1125">
        <v>1123</v>
      </c>
      <c r="I1125" s="1">
        <v>46082</v>
      </c>
      <c r="J1125">
        <f t="array" ref="J1125">INDEX($D$3:$D$62,MATCH(1, (YEAR(I1125)=YEAR($A$3:$A$62))*(MONTH(I1125)=MONTH($A$3:$A$62)),0))</f>
        <v>47157.62683796131</v>
      </c>
      <c r="K1125">
        <f t="array" ref="K1125">INDEX($G$3:$G$200,MATCH(1, (YEAR(I1125)=YEAR($A$3:$A$2000))*(MONTH(I1125)=MONTH($A$3:$A$2000)),0))</f>
        <v>69446.563816753216</v>
      </c>
      <c r="L1125">
        <f t="shared" si="35"/>
        <v>47640.746251386998</v>
      </c>
    </row>
    <row r="1126" spans="4:12" x14ac:dyDescent="0.25">
      <c r="D1126">
        <f t="shared" si="34"/>
        <v>0</v>
      </c>
      <c r="H1126">
        <v>1124</v>
      </c>
      <c r="I1126" s="1">
        <v>46083</v>
      </c>
      <c r="J1126">
        <f t="array" ref="J1126">INDEX($D$3:$D$62,MATCH(1, (YEAR(I1126)=YEAR($A$3:$A$62))*(MONTH(I1126)=MONTH($A$3:$A$62)),0))</f>
        <v>47157.62683796131</v>
      </c>
      <c r="K1126">
        <f t="array" ref="K1126">INDEX($G$3:$G$200,MATCH(1, (YEAR(I1126)=YEAR($A$3:$A$2000))*(MONTH(I1126)=MONTH($A$3:$A$2000)),0))</f>
        <v>69446.563816753216</v>
      </c>
      <c r="L1126">
        <f t="shared" si="35"/>
        <v>47608.298650704004</v>
      </c>
    </row>
    <row r="1127" spans="4:12" x14ac:dyDescent="0.25">
      <c r="D1127">
        <f t="shared" si="34"/>
        <v>0</v>
      </c>
      <c r="H1127">
        <v>1125</v>
      </c>
      <c r="I1127" s="1">
        <v>46084</v>
      </c>
      <c r="J1127">
        <f t="array" ref="J1127">INDEX($D$3:$D$62,MATCH(1, (YEAR(I1127)=YEAR($A$3:$A$62))*(MONTH(I1127)=MONTH($A$3:$A$62)),0))</f>
        <v>47157.62683796131</v>
      </c>
      <c r="K1127">
        <f t="array" ref="K1127">INDEX($G$3:$G$200,MATCH(1, (YEAR(I1127)=YEAR($A$3:$A$2000))*(MONTH(I1127)=MONTH($A$3:$A$2000)),0))</f>
        <v>69446.563816753216</v>
      </c>
      <c r="L1127">
        <f t="shared" si="35"/>
        <v>47575.879311908982</v>
      </c>
    </row>
    <row r="1128" spans="4:12" x14ac:dyDescent="0.25">
      <c r="D1128">
        <f t="shared" si="34"/>
        <v>0</v>
      </c>
      <c r="H1128">
        <v>1126</v>
      </c>
      <c r="I1128" s="1">
        <v>46085</v>
      </c>
      <c r="J1128">
        <f t="array" ref="J1128">INDEX($D$3:$D$62,MATCH(1, (YEAR(I1128)=YEAR($A$3:$A$62))*(MONTH(I1128)=MONTH($A$3:$A$62)),0))</f>
        <v>47157.62683796131</v>
      </c>
      <c r="K1128">
        <f t="array" ref="K1128">INDEX($G$3:$G$200,MATCH(1, (YEAR(I1128)=YEAR($A$3:$A$2000))*(MONTH(I1128)=MONTH($A$3:$A$2000)),0))</f>
        <v>69446.563816753216</v>
      </c>
      <c r="L1128">
        <f t="shared" si="35"/>
        <v>47543.488136223968</v>
      </c>
    </row>
    <row r="1129" spans="4:12" x14ac:dyDescent="0.25">
      <c r="D1129">
        <f t="shared" si="34"/>
        <v>0</v>
      </c>
      <c r="H1129">
        <v>1127</v>
      </c>
      <c r="I1129" s="1">
        <v>46086</v>
      </c>
      <c r="J1129">
        <f t="array" ref="J1129">INDEX($D$3:$D$62,MATCH(1, (YEAR(I1129)=YEAR($A$3:$A$62))*(MONTH(I1129)=MONTH($A$3:$A$62)),0))</f>
        <v>47157.62683796131</v>
      </c>
      <c r="K1129">
        <f t="array" ref="K1129">INDEX($G$3:$G$200,MATCH(1, (YEAR(I1129)=YEAR($A$3:$A$2000))*(MONTH(I1129)=MONTH($A$3:$A$2000)),0))</f>
        <v>69446.563816753216</v>
      </c>
      <c r="L1129">
        <f t="shared" si="35"/>
        <v>47511.125025158995</v>
      </c>
    </row>
    <row r="1130" spans="4:12" x14ac:dyDescent="0.25">
      <c r="D1130">
        <f t="shared" si="34"/>
        <v>0</v>
      </c>
      <c r="H1130">
        <v>1128</v>
      </c>
      <c r="I1130" s="1">
        <v>46087</v>
      </c>
      <c r="J1130">
        <f t="array" ref="J1130">INDEX($D$3:$D$62,MATCH(1, (YEAR(I1130)=YEAR($A$3:$A$62))*(MONTH(I1130)=MONTH($A$3:$A$62)),0))</f>
        <v>47157.62683796131</v>
      </c>
      <c r="K1130">
        <f t="array" ref="K1130">INDEX($G$3:$G$200,MATCH(1, (YEAR(I1130)=YEAR($A$3:$A$2000))*(MONTH(I1130)=MONTH($A$3:$A$2000)),0))</f>
        <v>69446.563816753216</v>
      </c>
      <c r="L1130">
        <f t="shared" si="35"/>
        <v>47478.789880511991</v>
      </c>
    </row>
    <row r="1131" spans="4:12" x14ac:dyDescent="0.25">
      <c r="D1131">
        <f t="shared" si="34"/>
        <v>0</v>
      </c>
      <c r="H1131">
        <v>1129</v>
      </c>
      <c r="I1131" s="1">
        <v>46088</v>
      </c>
      <c r="J1131">
        <f t="array" ref="J1131">INDEX($D$3:$D$62,MATCH(1, (YEAR(I1131)=YEAR($A$3:$A$62))*(MONTH(I1131)=MONTH($A$3:$A$62)),0))</f>
        <v>47157.62683796131</v>
      </c>
      <c r="K1131">
        <f t="array" ref="K1131">INDEX($G$3:$G$200,MATCH(1, (YEAR(I1131)=YEAR($A$3:$A$2000))*(MONTH(I1131)=MONTH($A$3:$A$2000)),0))</f>
        <v>69446.563816753216</v>
      </c>
      <c r="L1131">
        <f t="shared" si="35"/>
        <v>47446.482604368968</v>
      </c>
    </row>
    <row r="1132" spans="4:12" x14ac:dyDescent="0.25">
      <c r="D1132">
        <f t="shared" si="34"/>
        <v>0</v>
      </c>
      <c r="H1132">
        <v>1130</v>
      </c>
      <c r="I1132" s="1">
        <v>46089</v>
      </c>
      <c r="J1132">
        <f t="array" ref="J1132">INDEX($D$3:$D$62,MATCH(1, (YEAR(I1132)=YEAR($A$3:$A$62))*(MONTH(I1132)=MONTH($A$3:$A$62)),0))</f>
        <v>47157.62683796131</v>
      </c>
      <c r="K1132">
        <f t="array" ref="K1132">INDEX($G$3:$G$200,MATCH(1, (YEAR(I1132)=YEAR($A$3:$A$2000))*(MONTH(I1132)=MONTH($A$3:$A$2000)),0))</f>
        <v>69446.563816753216</v>
      </c>
      <c r="L1132">
        <f t="shared" si="35"/>
        <v>47414.203099103979</v>
      </c>
    </row>
    <row r="1133" spans="4:12" x14ac:dyDescent="0.25">
      <c r="D1133">
        <f t="shared" si="34"/>
        <v>0</v>
      </c>
      <c r="H1133">
        <v>1131</v>
      </c>
      <c r="I1133" s="1">
        <v>46090</v>
      </c>
      <c r="J1133">
        <f t="array" ref="J1133">INDEX($D$3:$D$62,MATCH(1, (YEAR(I1133)=YEAR($A$3:$A$62))*(MONTH(I1133)=MONTH($A$3:$A$62)),0))</f>
        <v>47157.62683796131</v>
      </c>
      <c r="K1133">
        <f t="array" ref="K1133">INDEX($G$3:$G$200,MATCH(1, (YEAR(I1133)=YEAR($A$3:$A$2000))*(MONTH(I1133)=MONTH($A$3:$A$2000)),0))</f>
        <v>69446.563816753216</v>
      </c>
      <c r="L1133">
        <f t="shared" si="35"/>
        <v>47381.951267378987</v>
      </c>
    </row>
    <row r="1134" spans="4:12" x14ac:dyDescent="0.25">
      <c r="D1134">
        <f t="shared" si="34"/>
        <v>0</v>
      </c>
      <c r="H1134">
        <v>1132</v>
      </c>
      <c r="I1134" s="1">
        <v>46091</v>
      </c>
      <c r="J1134">
        <f t="array" ref="J1134">INDEX($D$3:$D$62,MATCH(1, (YEAR(I1134)=YEAR($A$3:$A$62))*(MONTH(I1134)=MONTH($A$3:$A$62)),0))</f>
        <v>47157.62683796131</v>
      </c>
      <c r="K1134">
        <f t="array" ref="K1134">INDEX($G$3:$G$200,MATCH(1, (YEAR(I1134)=YEAR($A$3:$A$2000))*(MONTH(I1134)=MONTH($A$3:$A$2000)),0))</f>
        <v>69446.563816753216</v>
      </c>
      <c r="L1134">
        <f t="shared" si="35"/>
        <v>47349.727012143994</v>
      </c>
    </row>
    <row r="1135" spans="4:12" x14ac:dyDescent="0.25">
      <c r="D1135">
        <f t="shared" si="34"/>
        <v>0</v>
      </c>
      <c r="H1135">
        <v>1133</v>
      </c>
      <c r="I1135" s="1">
        <v>46092</v>
      </c>
      <c r="J1135">
        <f t="array" ref="J1135">INDEX($D$3:$D$62,MATCH(1, (YEAR(I1135)=YEAR($A$3:$A$62))*(MONTH(I1135)=MONTH($A$3:$A$62)),0))</f>
        <v>47157.62683796131</v>
      </c>
      <c r="K1135">
        <f t="array" ref="K1135">INDEX($G$3:$G$200,MATCH(1, (YEAR(I1135)=YEAR($A$3:$A$2000))*(MONTH(I1135)=MONTH($A$3:$A$2000)),0))</f>
        <v>69446.563816753216</v>
      </c>
      <c r="L1135">
        <f t="shared" si="35"/>
        <v>47317.530236636972</v>
      </c>
    </row>
    <row r="1136" spans="4:12" x14ac:dyDescent="0.25">
      <c r="D1136">
        <f t="shared" si="34"/>
        <v>0</v>
      </c>
      <c r="H1136">
        <v>1134</v>
      </c>
      <c r="I1136" s="1">
        <v>46093</v>
      </c>
      <c r="J1136">
        <f t="array" ref="J1136">INDEX($D$3:$D$62,MATCH(1, (YEAR(I1136)=YEAR($A$3:$A$62))*(MONTH(I1136)=MONTH($A$3:$A$62)),0))</f>
        <v>47157.62683796131</v>
      </c>
      <c r="K1136">
        <f t="array" ref="K1136">INDEX($G$3:$G$200,MATCH(1, (YEAR(I1136)=YEAR($A$3:$A$2000))*(MONTH(I1136)=MONTH($A$3:$A$2000)),0))</f>
        <v>69446.563816753216</v>
      </c>
      <c r="L1136">
        <f t="shared" si="35"/>
        <v>47285.360844383962</v>
      </c>
    </row>
    <row r="1137" spans="4:12" x14ac:dyDescent="0.25">
      <c r="D1137">
        <f t="shared" si="34"/>
        <v>0</v>
      </c>
      <c r="H1137">
        <v>1135</v>
      </c>
      <c r="I1137" s="1">
        <v>46094</v>
      </c>
      <c r="J1137">
        <f t="array" ref="J1137">INDEX($D$3:$D$62,MATCH(1, (YEAR(I1137)=YEAR($A$3:$A$62))*(MONTH(I1137)=MONTH($A$3:$A$62)),0))</f>
        <v>47157.62683796131</v>
      </c>
      <c r="K1137">
        <f t="array" ref="K1137">INDEX($G$3:$G$200,MATCH(1, (YEAR(I1137)=YEAR($A$3:$A$2000))*(MONTH(I1137)=MONTH($A$3:$A$2000)),0))</f>
        <v>69446.563816753216</v>
      </c>
      <c r="L1137">
        <f t="shared" si="35"/>
        <v>47253.218739198986</v>
      </c>
    </row>
    <row r="1138" spans="4:12" x14ac:dyDescent="0.25">
      <c r="D1138">
        <f t="shared" si="34"/>
        <v>0</v>
      </c>
      <c r="H1138">
        <v>1136</v>
      </c>
      <c r="I1138" s="1">
        <v>46095</v>
      </c>
      <c r="J1138">
        <f t="array" ref="J1138">INDEX($D$3:$D$62,MATCH(1, (YEAR(I1138)=YEAR($A$3:$A$62))*(MONTH(I1138)=MONTH($A$3:$A$62)),0))</f>
        <v>47157.62683796131</v>
      </c>
      <c r="K1138">
        <f t="array" ref="K1138">INDEX($G$3:$G$200,MATCH(1, (YEAR(I1138)=YEAR($A$3:$A$2000))*(MONTH(I1138)=MONTH($A$3:$A$2000)),0))</f>
        <v>69446.563816753216</v>
      </c>
      <c r="L1138">
        <f t="shared" si="35"/>
        <v>47221.103825183978</v>
      </c>
    </row>
    <row r="1139" spans="4:12" x14ac:dyDescent="0.25">
      <c r="D1139">
        <f t="shared" si="34"/>
        <v>0</v>
      </c>
      <c r="H1139">
        <v>1137</v>
      </c>
      <c r="I1139" s="1">
        <v>46096</v>
      </c>
      <c r="J1139">
        <f t="array" ref="J1139">INDEX($D$3:$D$62,MATCH(1, (YEAR(I1139)=YEAR($A$3:$A$62))*(MONTH(I1139)=MONTH($A$3:$A$62)),0))</f>
        <v>47157.62683796131</v>
      </c>
      <c r="K1139">
        <f t="array" ref="K1139">INDEX($G$3:$G$200,MATCH(1, (YEAR(I1139)=YEAR($A$3:$A$2000))*(MONTH(I1139)=MONTH($A$3:$A$2000)),0))</f>
        <v>69446.563816753216</v>
      </c>
      <c r="L1139">
        <f t="shared" si="35"/>
        <v>47189.016006728969</v>
      </c>
    </row>
    <row r="1140" spans="4:12" x14ac:dyDescent="0.25">
      <c r="D1140">
        <f t="shared" si="34"/>
        <v>0</v>
      </c>
      <c r="H1140">
        <v>1138</v>
      </c>
      <c r="I1140" s="1">
        <v>46097</v>
      </c>
      <c r="J1140">
        <f t="array" ref="J1140">INDEX($D$3:$D$62,MATCH(1, (YEAR(I1140)=YEAR($A$3:$A$62))*(MONTH(I1140)=MONTH($A$3:$A$62)),0))</f>
        <v>47157.62683796131</v>
      </c>
      <c r="K1140">
        <f t="array" ref="K1140">INDEX($G$3:$G$200,MATCH(1, (YEAR(I1140)=YEAR($A$3:$A$2000))*(MONTH(I1140)=MONTH($A$3:$A$2000)),0))</f>
        <v>69446.563816753216</v>
      </c>
      <c r="L1140">
        <f t="shared" si="35"/>
        <v>47156.955188511973</v>
      </c>
    </row>
    <row r="1141" spans="4:12" x14ac:dyDescent="0.25">
      <c r="D1141">
        <f t="shared" si="34"/>
        <v>0</v>
      </c>
      <c r="H1141">
        <v>1139</v>
      </c>
      <c r="I1141" s="1">
        <v>46098</v>
      </c>
      <c r="J1141">
        <f t="array" ref="J1141">INDEX($D$3:$D$62,MATCH(1, (YEAR(I1141)=YEAR($A$3:$A$62))*(MONTH(I1141)=MONTH($A$3:$A$62)),0))</f>
        <v>47157.62683796131</v>
      </c>
      <c r="K1141">
        <f t="array" ref="K1141">INDEX($G$3:$G$200,MATCH(1, (YEAR(I1141)=YEAR($A$3:$A$2000))*(MONTH(I1141)=MONTH($A$3:$A$2000)),0))</f>
        <v>69446.563816753216</v>
      </c>
      <c r="L1141">
        <f t="shared" si="35"/>
        <v>47124.921275498986</v>
      </c>
    </row>
    <row r="1142" spans="4:12" x14ac:dyDescent="0.25">
      <c r="D1142">
        <f t="shared" si="34"/>
        <v>0</v>
      </c>
      <c r="H1142">
        <v>1140</v>
      </c>
      <c r="I1142" s="1">
        <v>46099</v>
      </c>
      <c r="J1142">
        <f t="array" ref="J1142">INDEX($D$3:$D$62,MATCH(1, (YEAR(I1142)=YEAR($A$3:$A$62))*(MONTH(I1142)=MONTH($A$3:$A$62)),0))</f>
        <v>47157.62683796131</v>
      </c>
      <c r="K1142">
        <f t="array" ref="K1142">INDEX($G$3:$G$200,MATCH(1, (YEAR(I1142)=YEAR($A$3:$A$2000))*(MONTH(I1142)=MONTH($A$3:$A$2000)),0))</f>
        <v>69446.563816753216</v>
      </c>
      <c r="L1142">
        <f t="shared" si="35"/>
        <v>47092.914172943973</v>
      </c>
    </row>
    <row r="1143" spans="4:12" x14ac:dyDescent="0.25">
      <c r="D1143">
        <f t="shared" si="34"/>
        <v>0</v>
      </c>
      <c r="H1143">
        <v>1141</v>
      </c>
      <c r="I1143" s="1">
        <v>46100</v>
      </c>
      <c r="J1143">
        <f t="array" ref="J1143">INDEX($D$3:$D$62,MATCH(1, (YEAR(I1143)=YEAR($A$3:$A$62))*(MONTH(I1143)=MONTH($A$3:$A$62)),0))</f>
        <v>47157.62683796131</v>
      </c>
      <c r="K1143">
        <f t="array" ref="K1143">INDEX($G$3:$G$200,MATCH(1, (YEAR(I1143)=YEAR($A$3:$A$2000))*(MONTH(I1143)=MONTH($A$3:$A$2000)),0))</f>
        <v>69446.563816753216</v>
      </c>
      <c r="L1143">
        <f t="shared" si="35"/>
        <v>47060.933786388981</v>
      </c>
    </row>
    <row r="1144" spans="4:12" x14ac:dyDescent="0.25">
      <c r="D1144">
        <f t="shared" si="34"/>
        <v>0</v>
      </c>
      <c r="H1144">
        <v>1142</v>
      </c>
      <c r="I1144" s="1">
        <v>46101</v>
      </c>
      <c r="J1144">
        <f t="array" ref="J1144">INDEX($D$3:$D$62,MATCH(1, (YEAR(I1144)=YEAR($A$3:$A$62))*(MONTH(I1144)=MONTH($A$3:$A$62)),0))</f>
        <v>47157.62683796131</v>
      </c>
      <c r="K1144">
        <f t="array" ref="K1144">INDEX($G$3:$G$200,MATCH(1, (YEAR(I1144)=YEAR($A$3:$A$2000))*(MONTH(I1144)=MONTH($A$3:$A$2000)),0))</f>
        <v>69446.563816753216</v>
      </c>
      <c r="L1144">
        <f t="shared" si="35"/>
        <v>47028.980021663971</v>
      </c>
    </row>
    <row r="1145" spans="4:12" x14ac:dyDescent="0.25">
      <c r="D1145">
        <f t="shared" si="34"/>
        <v>0</v>
      </c>
      <c r="H1145">
        <v>1143</v>
      </c>
      <c r="I1145" s="1">
        <v>46102</v>
      </c>
      <c r="J1145">
        <f t="array" ref="J1145">INDEX($D$3:$D$62,MATCH(1, (YEAR(I1145)=YEAR($A$3:$A$62))*(MONTH(I1145)=MONTH($A$3:$A$62)),0))</f>
        <v>47157.62683796131</v>
      </c>
      <c r="K1145">
        <f t="array" ref="K1145">INDEX($G$3:$G$200,MATCH(1, (YEAR(I1145)=YEAR($A$3:$A$2000))*(MONTH(I1145)=MONTH($A$3:$A$2000)),0))</f>
        <v>69446.563816753216</v>
      </c>
      <c r="L1145">
        <f t="shared" si="35"/>
        <v>46997.052784886982</v>
      </c>
    </row>
    <row r="1146" spans="4:12" x14ac:dyDescent="0.25">
      <c r="D1146">
        <f t="shared" si="34"/>
        <v>0</v>
      </c>
      <c r="H1146">
        <v>1144</v>
      </c>
      <c r="I1146" s="1">
        <v>46103</v>
      </c>
      <c r="J1146">
        <f t="array" ref="J1146">INDEX($D$3:$D$62,MATCH(1, (YEAR(I1146)=YEAR($A$3:$A$62))*(MONTH(I1146)=MONTH($A$3:$A$62)),0))</f>
        <v>47157.62683796131</v>
      </c>
      <c r="K1146">
        <f t="array" ref="K1146">INDEX($G$3:$G$200,MATCH(1, (YEAR(I1146)=YEAR($A$3:$A$2000))*(MONTH(I1146)=MONTH($A$3:$A$2000)),0))</f>
        <v>69446.563816753216</v>
      </c>
      <c r="L1146">
        <f t="shared" si="35"/>
        <v>46965.151982463984</v>
      </c>
    </row>
    <row r="1147" spans="4:12" x14ac:dyDescent="0.25">
      <c r="D1147">
        <f t="shared" si="34"/>
        <v>0</v>
      </c>
      <c r="H1147">
        <v>1145</v>
      </c>
      <c r="I1147" s="1">
        <v>46104</v>
      </c>
      <c r="J1147">
        <f t="array" ref="J1147">INDEX($D$3:$D$62,MATCH(1, (YEAR(I1147)=YEAR($A$3:$A$62))*(MONTH(I1147)=MONTH($A$3:$A$62)),0))</f>
        <v>47157.62683796131</v>
      </c>
      <c r="K1147">
        <f t="array" ref="K1147">INDEX($G$3:$G$200,MATCH(1, (YEAR(I1147)=YEAR($A$3:$A$2000))*(MONTH(I1147)=MONTH($A$3:$A$2000)),0))</f>
        <v>69446.563816753216</v>
      </c>
      <c r="L1147">
        <f t="shared" si="35"/>
        <v>46933.277521088981</v>
      </c>
    </row>
    <row r="1148" spans="4:12" x14ac:dyDescent="0.25">
      <c r="D1148">
        <f t="shared" si="34"/>
        <v>0</v>
      </c>
      <c r="H1148">
        <v>1146</v>
      </c>
      <c r="I1148" s="1">
        <v>46105</v>
      </c>
      <c r="J1148">
        <f t="array" ref="J1148">INDEX($D$3:$D$62,MATCH(1, (YEAR(I1148)=YEAR($A$3:$A$62))*(MONTH(I1148)=MONTH($A$3:$A$62)),0))</f>
        <v>47157.62683796131</v>
      </c>
      <c r="K1148">
        <f t="array" ref="K1148">INDEX($G$3:$G$200,MATCH(1, (YEAR(I1148)=YEAR($A$3:$A$2000))*(MONTH(I1148)=MONTH($A$3:$A$2000)),0))</f>
        <v>69446.563816753216</v>
      </c>
      <c r="L1148">
        <f t="shared" si="35"/>
        <v>46901.429307743951</v>
      </c>
    </row>
    <row r="1149" spans="4:12" x14ac:dyDescent="0.25">
      <c r="D1149">
        <f t="shared" si="34"/>
        <v>0</v>
      </c>
      <c r="H1149">
        <v>1147</v>
      </c>
      <c r="I1149" s="1">
        <v>46106</v>
      </c>
      <c r="J1149">
        <f t="array" ref="J1149">INDEX($D$3:$D$62,MATCH(1, (YEAR(I1149)=YEAR($A$3:$A$62))*(MONTH(I1149)=MONTH($A$3:$A$62)),0))</f>
        <v>47157.62683796131</v>
      </c>
      <c r="K1149">
        <f t="array" ref="K1149">INDEX($G$3:$G$200,MATCH(1, (YEAR(I1149)=YEAR($A$3:$A$2000))*(MONTH(I1149)=MONTH($A$3:$A$2000)),0))</f>
        <v>69446.563816753216</v>
      </c>
      <c r="L1149">
        <f t="shared" si="35"/>
        <v>46869.607249698995</v>
      </c>
    </row>
    <row r="1150" spans="4:12" x14ac:dyDescent="0.25">
      <c r="D1150">
        <f t="shared" si="34"/>
        <v>0</v>
      </c>
      <c r="H1150">
        <v>1148</v>
      </c>
      <c r="I1150" s="1">
        <v>46107</v>
      </c>
      <c r="J1150">
        <f t="array" ref="J1150">INDEX($D$3:$D$62,MATCH(1, (YEAR(I1150)=YEAR($A$3:$A$62))*(MONTH(I1150)=MONTH($A$3:$A$62)),0))</f>
        <v>47157.62683796131</v>
      </c>
      <c r="K1150">
        <f t="array" ref="K1150">INDEX($G$3:$G$200,MATCH(1, (YEAR(I1150)=YEAR($A$3:$A$2000))*(MONTH(I1150)=MONTH($A$3:$A$2000)),0))</f>
        <v>69446.563816753216</v>
      </c>
      <c r="L1150">
        <f t="shared" si="35"/>
        <v>46837.81125451198</v>
      </c>
    </row>
    <row r="1151" spans="4:12" x14ac:dyDescent="0.25">
      <c r="D1151">
        <f t="shared" si="34"/>
        <v>0</v>
      </c>
      <c r="H1151">
        <v>1149</v>
      </c>
      <c r="I1151" s="1">
        <v>46108</v>
      </c>
      <c r="J1151">
        <f t="array" ref="J1151">INDEX($D$3:$D$62,MATCH(1, (YEAR(I1151)=YEAR($A$3:$A$62))*(MONTH(I1151)=MONTH($A$3:$A$62)),0))</f>
        <v>47157.62683796131</v>
      </c>
      <c r="K1151">
        <f t="array" ref="K1151">INDEX($G$3:$G$200,MATCH(1, (YEAR(I1151)=YEAR($A$3:$A$2000))*(MONTH(I1151)=MONTH($A$3:$A$2000)),0))</f>
        <v>69446.563816753216</v>
      </c>
      <c r="L1151">
        <f t="shared" si="35"/>
        <v>46806.041230028975</v>
      </c>
    </row>
    <row r="1152" spans="4:12" x14ac:dyDescent="0.25">
      <c r="D1152">
        <f t="shared" si="34"/>
        <v>0</v>
      </c>
      <c r="H1152">
        <v>1150</v>
      </c>
      <c r="I1152" s="1">
        <v>46109</v>
      </c>
      <c r="J1152">
        <f t="array" ref="J1152">INDEX($D$3:$D$62,MATCH(1, (YEAR(I1152)=YEAR($A$3:$A$62))*(MONTH(I1152)=MONTH($A$3:$A$62)),0))</f>
        <v>47157.62683796131</v>
      </c>
      <c r="K1152">
        <f t="array" ref="K1152">INDEX($G$3:$G$200,MATCH(1, (YEAR(I1152)=YEAR($A$3:$A$2000))*(MONTH(I1152)=MONTH($A$3:$A$2000)),0))</f>
        <v>69446.563816753216</v>
      </c>
      <c r="L1152">
        <f t="shared" si="35"/>
        <v>46774.297084383958</v>
      </c>
    </row>
    <row r="1153" spans="4:12" x14ac:dyDescent="0.25">
      <c r="D1153">
        <f t="shared" si="34"/>
        <v>0</v>
      </c>
      <c r="H1153">
        <v>1151</v>
      </c>
      <c r="I1153" s="1">
        <v>46110</v>
      </c>
      <c r="J1153">
        <f t="array" ref="J1153">INDEX($D$3:$D$62,MATCH(1, (YEAR(I1153)=YEAR($A$3:$A$62))*(MONTH(I1153)=MONTH($A$3:$A$62)),0))</f>
        <v>47157.62683796131</v>
      </c>
      <c r="K1153">
        <f t="array" ref="K1153">INDEX($G$3:$G$200,MATCH(1, (YEAR(I1153)=YEAR($A$3:$A$2000))*(MONTH(I1153)=MONTH($A$3:$A$2000)),0))</f>
        <v>69446.563816753216</v>
      </c>
      <c r="L1153">
        <f t="shared" si="35"/>
        <v>46742.578725998988</v>
      </c>
    </row>
    <row r="1154" spans="4:12" x14ac:dyDescent="0.25">
      <c r="D1154">
        <f t="shared" si="34"/>
        <v>0</v>
      </c>
      <c r="H1154">
        <v>1152</v>
      </c>
      <c r="I1154" s="1">
        <v>46111</v>
      </c>
      <c r="J1154">
        <f t="array" ref="J1154">INDEX($D$3:$D$62,MATCH(1, (YEAR(I1154)=YEAR($A$3:$A$62))*(MONTH(I1154)=MONTH($A$3:$A$62)),0))</f>
        <v>47157.62683796131</v>
      </c>
      <c r="K1154">
        <f t="array" ref="K1154">INDEX($G$3:$G$200,MATCH(1, (YEAR(I1154)=YEAR($A$3:$A$2000))*(MONTH(I1154)=MONTH($A$3:$A$2000)),0))</f>
        <v>69446.563816753216</v>
      </c>
      <c r="L1154">
        <f t="shared" si="35"/>
        <v>46710.886063583981</v>
      </c>
    </row>
    <row r="1155" spans="4:12" x14ac:dyDescent="0.25">
      <c r="D1155">
        <f t="shared" si="34"/>
        <v>0</v>
      </c>
      <c r="H1155">
        <v>1153</v>
      </c>
      <c r="I1155" s="1">
        <v>46112</v>
      </c>
      <c r="J1155">
        <f t="array" ref="J1155">INDEX($D$3:$D$62,MATCH(1, (YEAR(I1155)=YEAR($A$3:$A$62))*(MONTH(I1155)=MONTH($A$3:$A$62)),0))</f>
        <v>47157.62683796131</v>
      </c>
      <c r="K1155">
        <f t="array" ref="K1155">INDEX($G$3:$G$200,MATCH(1, (YEAR(I1155)=YEAR($A$3:$A$2000))*(MONTH(I1155)=MONTH($A$3:$A$2000)),0))</f>
        <v>69446.563816753216</v>
      </c>
      <c r="L1155">
        <f t="shared" si="35"/>
        <v>46679.219006136962</v>
      </c>
    </row>
    <row r="1156" spans="4:12" x14ac:dyDescent="0.25">
      <c r="D1156">
        <f t="shared" ref="D1156:D1219" si="36">SUM(B1156:C1156)</f>
        <v>0</v>
      </c>
      <c r="H1156">
        <v>1154</v>
      </c>
      <c r="I1156" s="1">
        <v>46113</v>
      </c>
      <c r="J1156">
        <f t="array" ref="J1156">INDEX($D$3:$D$62,MATCH(1, (YEAR(I1156)=YEAR($A$3:$A$62))*(MONTH(I1156)=MONTH($A$3:$A$62)),0))</f>
        <v>46235.990842156629</v>
      </c>
      <c r="K1156">
        <f t="array" ref="K1156">INDEX($G$3:$G$200,MATCH(1, (YEAR(I1156)=YEAR($A$3:$A$2000))*(MONTH(I1156)=MONTH($A$3:$A$2000)),0))</f>
        <v>68068.25497870188</v>
      </c>
      <c r="L1156">
        <f t="shared" ref="L1156:L1219" si="37">0.000000012*H1156^4-0.000070439*H1156^3+0.160688168*H1156^2-194.849290676*H1156+144481.718306784</f>
        <v>46647.577462943998</v>
      </c>
    </row>
    <row r="1157" spans="4:12" x14ac:dyDescent="0.25">
      <c r="D1157">
        <f t="shared" si="36"/>
        <v>0</v>
      </c>
      <c r="H1157">
        <v>1155</v>
      </c>
      <c r="I1157" s="1">
        <v>46114</v>
      </c>
      <c r="J1157">
        <f t="array" ref="J1157">INDEX($D$3:$D$62,MATCH(1, (YEAR(I1157)=YEAR($A$3:$A$62))*(MONTH(I1157)=MONTH($A$3:$A$62)),0))</f>
        <v>46235.990842156629</v>
      </c>
      <c r="K1157">
        <f t="array" ref="K1157">INDEX($G$3:$G$200,MATCH(1, (YEAR(I1157)=YEAR($A$3:$A$2000))*(MONTH(I1157)=MONTH($A$3:$A$2000)),0))</f>
        <v>68068.25497870188</v>
      </c>
      <c r="L1157">
        <f t="shared" si="37"/>
        <v>46615.96134357898</v>
      </c>
    </row>
    <row r="1158" spans="4:12" x14ac:dyDescent="0.25">
      <c r="D1158">
        <f t="shared" si="36"/>
        <v>0</v>
      </c>
      <c r="H1158">
        <v>1156</v>
      </c>
      <c r="I1158" s="1">
        <v>46115</v>
      </c>
      <c r="J1158">
        <f t="array" ref="J1158">INDEX($D$3:$D$62,MATCH(1, (YEAR(I1158)=YEAR($A$3:$A$62))*(MONTH(I1158)=MONTH($A$3:$A$62)),0))</f>
        <v>46235.990842156629</v>
      </c>
      <c r="K1158">
        <f t="array" ref="K1158">INDEX($G$3:$G$200,MATCH(1, (YEAR(I1158)=YEAR($A$3:$A$2000))*(MONTH(I1158)=MONTH($A$3:$A$2000)),0))</f>
        <v>68068.25497870188</v>
      </c>
      <c r="L1158">
        <f t="shared" si="37"/>
        <v>46584.370557903982</v>
      </c>
    </row>
    <row r="1159" spans="4:12" x14ac:dyDescent="0.25">
      <c r="D1159">
        <f t="shared" si="36"/>
        <v>0</v>
      </c>
      <c r="H1159">
        <v>1157</v>
      </c>
      <c r="I1159" s="1">
        <v>46116</v>
      </c>
      <c r="J1159">
        <f t="array" ref="J1159">INDEX($D$3:$D$62,MATCH(1, (YEAR(I1159)=YEAR($A$3:$A$62))*(MONTH(I1159)=MONTH($A$3:$A$62)),0))</f>
        <v>46235.990842156629</v>
      </c>
      <c r="K1159">
        <f t="array" ref="K1159">INDEX($G$3:$G$200,MATCH(1, (YEAR(I1159)=YEAR($A$3:$A$2000))*(MONTH(I1159)=MONTH($A$3:$A$2000)),0))</f>
        <v>68068.25497870188</v>
      </c>
      <c r="L1159">
        <f t="shared" si="37"/>
        <v>46552.80501606896</v>
      </c>
    </row>
    <row r="1160" spans="4:12" x14ac:dyDescent="0.25">
      <c r="D1160">
        <f t="shared" si="36"/>
        <v>0</v>
      </c>
      <c r="H1160">
        <v>1158</v>
      </c>
      <c r="I1160" s="1">
        <v>46117</v>
      </c>
      <c r="J1160">
        <f t="array" ref="J1160">INDEX($D$3:$D$62,MATCH(1, (YEAR(I1160)=YEAR($A$3:$A$62))*(MONTH(I1160)=MONTH($A$3:$A$62)),0))</f>
        <v>46235.990842156629</v>
      </c>
      <c r="K1160">
        <f t="array" ref="K1160">INDEX($G$3:$G$200,MATCH(1, (YEAR(I1160)=YEAR($A$3:$A$2000))*(MONTH(I1160)=MONTH($A$3:$A$2000)),0))</f>
        <v>68068.25497870188</v>
      </c>
      <c r="L1160">
        <f t="shared" si="37"/>
        <v>46521.264628511999</v>
      </c>
    </row>
    <row r="1161" spans="4:12" x14ac:dyDescent="0.25">
      <c r="D1161">
        <f t="shared" si="36"/>
        <v>0</v>
      </c>
      <c r="H1161">
        <v>1159</v>
      </c>
      <c r="I1161" s="1">
        <v>46118</v>
      </c>
      <c r="J1161">
        <f t="array" ref="J1161">INDEX($D$3:$D$62,MATCH(1, (YEAR(I1161)=YEAR($A$3:$A$62))*(MONTH(I1161)=MONTH($A$3:$A$62)),0))</f>
        <v>46235.990842156629</v>
      </c>
      <c r="K1161">
        <f t="array" ref="K1161">INDEX($G$3:$G$200,MATCH(1, (YEAR(I1161)=YEAR($A$3:$A$2000))*(MONTH(I1161)=MONTH($A$3:$A$2000)),0))</f>
        <v>68068.25497870188</v>
      </c>
      <c r="L1161">
        <f t="shared" si="37"/>
        <v>46489.749305958976</v>
      </c>
    </row>
    <row r="1162" spans="4:12" x14ac:dyDescent="0.25">
      <c r="D1162">
        <f t="shared" si="36"/>
        <v>0</v>
      </c>
      <c r="H1162">
        <v>1160</v>
      </c>
      <c r="I1162" s="1">
        <v>46119</v>
      </c>
      <c r="J1162">
        <f t="array" ref="J1162">INDEX($D$3:$D$62,MATCH(1, (YEAR(I1162)=YEAR($A$3:$A$62))*(MONTH(I1162)=MONTH($A$3:$A$62)),0))</f>
        <v>46235.990842156629</v>
      </c>
      <c r="K1162">
        <f t="array" ref="K1162">INDEX($G$3:$G$200,MATCH(1, (YEAR(I1162)=YEAR($A$3:$A$2000))*(MONTH(I1162)=MONTH($A$3:$A$2000)),0))</f>
        <v>68068.25497870188</v>
      </c>
      <c r="L1162">
        <f t="shared" si="37"/>
        <v>46458.258959423983</v>
      </c>
    </row>
    <row r="1163" spans="4:12" x14ac:dyDescent="0.25">
      <c r="D1163">
        <f t="shared" si="36"/>
        <v>0</v>
      </c>
      <c r="H1163">
        <v>1161</v>
      </c>
      <c r="I1163" s="1">
        <v>46120</v>
      </c>
      <c r="J1163">
        <f t="array" ref="J1163">INDEX($D$3:$D$62,MATCH(1, (YEAR(I1163)=YEAR($A$3:$A$62))*(MONTH(I1163)=MONTH($A$3:$A$62)),0))</f>
        <v>46235.990842156629</v>
      </c>
      <c r="K1163">
        <f t="array" ref="K1163">INDEX($G$3:$G$200,MATCH(1, (YEAR(I1163)=YEAR($A$3:$A$2000))*(MONTH(I1163)=MONTH($A$3:$A$2000)),0))</f>
        <v>68068.25497870188</v>
      </c>
      <c r="L1163">
        <f t="shared" si="37"/>
        <v>46426.79350020898</v>
      </c>
    </row>
    <row r="1164" spans="4:12" x14ac:dyDescent="0.25">
      <c r="D1164">
        <f t="shared" si="36"/>
        <v>0</v>
      </c>
      <c r="H1164">
        <v>1162</v>
      </c>
      <c r="I1164" s="1">
        <v>46121</v>
      </c>
      <c r="J1164">
        <f t="array" ref="J1164">INDEX($D$3:$D$62,MATCH(1, (YEAR(I1164)=YEAR($A$3:$A$62))*(MONTH(I1164)=MONTH($A$3:$A$62)),0))</f>
        <v>46235.990842156629</v>
      </c>
      <c r="K1164">
        <f t="array" ref="K1164">INDEX($G$3:$G$200,MATCH(1, (YEAR(I1164)=YEAR($A$3:$A$2000))*(MONTH(I1164)=MONTH($A$3:$A$2000)),0))</f>
        <v>68068.25497870188</v>
      </c>
      <c r="L1164">
        <f t="shared" si="37"/>
        <v>46395.352839903979</v>
      </c>
    </row>
    <row r="1165" spans="4:12" x14ac:dyDescent="0.25">
      <c r="D1165">
        <f t="shared" si="36"/>
        <v>0</v>
      </c>
      <c r="H1165">
        <v>1163</v>
      </c>
      <c r="I1165" s="1">
        <v>46122</v>
      </c>
      <c r="J1165">
        <f t="array" ref="J1165">INDEX($D$3:$D$62,MATCH(1, (YEAR(I1165)=YEAR($A$3:$A$62))*(MONTH(I1165)=MONTH($A$3:$A$62)),0))</f>
        <v>46235.990842156629</v>
      </c>
      <c r="K1165">
        <f t="array" ref="K1165">INDEX($G$3:$G$200,MATCH(1, (YEAR(I1165)=YEAR($A$3:$A$2000))*(MONTH(I1165)=MONTH($A$3:$A$2000)),0))</f>
        <v>68068.25497870188</v>
      </c>
      <c r="L1165">
        <f t="shared" si="37"/>
        <v>46363.936890386991</v>
      </c>
    </row>
    <row r="1166" spans="4:12" x14ac:dyDescent="0.25">
      <c r="D1166">
        <f t="shared" si="36"/>
        <v>0</v>
      </c>
      <c r="H1166">
        <v>1164</v>
      </c>
      <c r="I1166" s="1">
        <v>46123</v>
      </c>
      <c r="J1166">
        <f t="array" ref="J1166">INDEX($D$3:$D$62,MATCH(1, (YEAR(I1166)=YEAR($A$3:$A$62))*(MONTH(I1166)=MONTH($A$3:$A$62)),0))</f>
        <v>46235.990842156629</v>
      </c>
      <c r="K1166">
        <f t="array" ref="K1166">INDEX($G$3:$G$200,MATCH(1, (YEAR(I1166)=YEAR($A$3:$A$2000))*(MONTH(I1166)=MONTH($A$3:$A$2000)),0))</f>
        <v>68068.25497870188</v>
      </c>
      <c r="L1166">
        <f t="shared" si="37"/>
        <v>46332.545563823965</v>
      </c>
    </row>
    <row r="1167" spans="4:12" x14ac:dyDescent="0.25">
      <c r="D1167">
        <f t="shared" si="36"/>
        <v>0</v>
      </c>
      <c r="H1167">
        <v>1165</v>
      </c>
      <c r="I1167" s="1">
        <v>46124</v>
      </c>
      <c r="J1167">
        <f t="array" ref="J1167">INDEX($D$3:$D$62,MATCH(1, (YEAR(I1167)=YEAR($A$3:$A$62))*(MONTH(I1167)=MONTH($A$3:$A$62)),0))</f>
        <v>46235.990842156629</v>
      </c>
      <c r="K1167">
        <f t="array" ref="K1167">INDEX($G$3:$G$200,MATCH(1, (YEAR(I1167)=YEAR($A$3:$A$2000))*(MONTH(I1167)=MONTH($A$3:$A$2000)),0))</f>
        <v>68068.25497870188</v>
      </c>
      <c r="L1167">
        <f t="shared" si="37"/>
        <v>46301.17877266898</v>
      </c>
    </row>
    <row r="1168" spans="4:12" x14ac:dyDescent="0.25">
      <c r="D1168">
        <f t="shared" si="36"/>
        <v>0</v>
      </c>
      <c r="H1168">
        <v>1166</v>
      </c>
      <c r="I1168" s="1">
        <v>46125</v>
      </c>
      <c r="J1168">
        <f t="array" ref="J1168">INDEX($D$3:$D$62,MATCH(1, (YEAR(I1168)=YEAR($A$3:$A$62))*(MONTH(I1168)=MONTH($A$3:$A$62)),0))</f>
        <v>46235.990842156629</v>
      </c>
      <c r="K1168">
        <f t="array" ref="K1168">INDEX($G$3:$G$200,MATCH(1, (YEAR(I1168)=YEAR($A$3:$A$2000))*(MONTH(I1168)=MONTH($A$3:$A$2000)),0))</f>
        <v>68068.25497870188</v>
      </c>
      <c r="L1168">
        <f t="shared" si="37"/>
        <v>46269.836429663992</v>
      </c>
    </row>
    <row r="1169" spans="4:12" x14ac:dyDescent="0.25">
      <c r="D1169">
        <f t="shared" si="36"/>
        <v>0</v>
      </c>
      <c r="H1169">
        <v>1167</v>
      </c>
      <c r="I1169" s="1">
        <v>46126</v>
      </c>
      <c r="J1169">
        <f t="array" ref="J1169">INDEX($D$3:$D$62,MATCH(1, (YEAR(I1169)=YEAR($A$3:$A$62))*(MONTH(I1169)=MONTH($A$3:$A$62)),0))</f>
        <v>46235.990842156629</v>
      </c>
      <c r="K1169">
        <f t="array" ref="K1169">INDEX($G$3:$G$200,MATCH(1, (YEAR(I1169)=YEAR($A$3:$A$2000))*(MONTH(I1169)=MONTH($A$3:$A$2000)),0))</f>
        <v>68068.25497870188</v>
      </c>
      <c r="L1169">
        <f t="shared" si="37"/>
        <v>46238.518447838986</v>
      </c>
    </row>
    <row r="1170" spans="4:12" x14ac:dyDescent="0.25">
      <c r="D1170">
        <f t="shared" si="36"/>
        <v>0</v>
      </c>
      <c r="H1170">
        <v>1168</v>
      </c>
      <c r="I1170" s="1">
        <v>46127</v>
      </c>
      <c r="J1170">
        <f t="array" ref="J1170">INDEX($D$3:$D$62,MATCH(1, (YEAR(I1170)=YEAR($A$3:$A$62))*(MONTH(I1170)=MONTH($A$3:$A$62)),0))</f>
        <v>46235.990842156629</v>
      </c>
      <c r="K1170">
        <f t="array" ref="K1170">INDEX($G$3:$G$200,MATCH(1, (YEAR(I1170)=YEAR($A$3:$A$2000))*(MONTH(I1170)=MONTH($A$3:$A$2000)),0))</f>
        <v>68068.25497870188</v>
      </c>
      <c r="L1170">
        <f t="shared" si="37"/>
        <v>46207.224740511971</v>
      </c>
    </row>
    <row r="1171" spans="4:12" x14ac:dyDescent="0.25">
      <c r="D1171">
        <f t="shared" si="36"/>
        <v>0</v>
      </c>
      <c r="H1171">
        <v>1169</v>
      </c>
      <c r="I1171" s="1">
        <v>46128</v>
      </c>
      <c r="J1171">
        <f t="array" ref="J1171">INDEX($D$3:$D$62,MATCH(1, (YEAR(I1171)=YEAR($A$3:$A$62))*(MONTH(I1171)=MONTH($A$3:$A$62)),0))</f>
        <v>46235.990842156629</v>
      </c>
      <c r="K1171">
        <f t="array" ref="K1171">INDEX($G$3:$G$200,MATCH(1, (YEAR(I1171)=YEAR($A$3:$A$2000))*(MONTH(I1171)=MONTH($A$3:$A$2000)),0))</f>
        <v>68068.25497870188</v>
      </c>
      <c r="L1171">
        <f t="shared" si="37"/>
        <v>46175.955221288954</v>
      </c>
    </row>
    <row r="1172" spans="4:12" x14ac:dyDescent="0.25">
      <c r="D1172">
        <f t="shared" si="36"/>
        <v>0</v>
      </c>
      <c r="H1172">
        <v>1170</v>
      </c>
      <c r="I1172" s="1">
        <v>46129</v>
      </c>
      <c r="J1172">
        <f t="array" ref="J1172">INDEX($D$3:$D$62,MATCH(1, (YEAR(I1172)=YEAR($A$3:$A$62))*(MONTH(I1172)=MONTH($A$3:$A$62)),0))</f>
        <v>46235.990842156629</v>
      </c>
      <c r="K1172">
        <f t="array" ref="K1172">INDEX($G$3:$G$200,MATCH(1, (YEAR(I1172)=YEAR($A$3:$A$2000))*(MONTH(I1172)=MONTH($A$3:$A$2000)),0))</f>
        <v>68068.25497870188</v>
      </c>
      <c r="L1172">
        <f t="shared" si="37"/>
        <v>46144.709804063983</v>
      </c>
    </row>
    <row r="1173" spans="4:12" x14ac:dyDescent="0.25">
      <c r="D1173">
        <f t="shared" si="36"/>
        <v>0</v>
      </c>
      <c r="H1173">
        <v>1171</v>
      </c>
      <c r="I1173" s="1">
        <v>46130</v>
      </c>
      <c r="J1173">
        <f t="array" ref="J1173">INDEX($D$3:$D$62,MATCH(1, (YEAR(I1173)=YEAR($A$3:$A$62))*(MONTH(I1173)=MONTH($A$3:$A$62)),0))</f>
        <v>46235.990842156629</v>
      </c>
      <c r="K1173">
        <f t="array" ref="K1173">INDEX($G$3:$G$200,MATCH(1, (YEAR(I1173)=YEAR($A$3:$A$2000))*(MONTH(I1173)=MONTH($A$3:$A$2000)),0))</f>
        <v>68068.25497870188</v>
      </c>
      <c r="L1173">
        <f t="shared" si="37"/>
        <v>46113.488403018971</v>
      </c>
    </row>
    <row r="1174" spans="4:12" x14ac:dyDescent="0.25">
      <c r="D1174">
        <f t="shared" si="36"/>
        <v>0</v>
      </c>
      <c r="H1174">
        <v>1172</v>
      </c>
      <c r="I1174" s="1">
        <v>46131</v>
      </c>
      <c r="J1174">
        <f t="array" ref="J1174">INDEX($D$3:$D$62,MATCH(1, (YEAR(I1174)=YEAR($A$3:$A$62))*(MONTH(I1174)=MONTH($A$3:$A$62)),0))</f>
        <v>46235.990842156629</v>
      </c>
      <c r="K1174">
        <f t="array" ref="K1174">INDEX($G$3:$G$200,MATCH(1, (YEAR(I1174)=YEAR($A$3:$A$2000))*(MONTH(I1174)=MONTH($A$3:$A$2000)),0))</f>
        <v>68068.25497870188</v>
      </c>
      <c r="L1174">
        <f t="shared" si="37"/>
        <v>46082.290932623975</v>
      </c>
    </row>
    <row r="1175" spans="4:12" x14ac:dyDescent="0.25">
      <c r="D1175">
        <f t="shared" si="36"/>
        <v>0</v>
      </c>
      <c r="H1175">
        <v>1173</v>
      </c>
      <c r="I1175" s="1">
        <v>46132</v>
      </c>
      <c r="J1175">
        <f t="array" ref="J1175">INDEX($D$3:$D$62,MATCH(1, (YEAR(I1175)=YEAR($A$3:$A$62))*(MONTH(I1175)=MONTH($A$3:$A$62)),0))</f>
        <v>46235.990842156629</v>
      </c>
      <c r="K1175">
        <f t="array" ref="K1175">INDEX($G$3:$G$200,MATCH(1, (YEAR(I1175)=YEAR($A$3:$A$2000))*(MONTH(I1175)=MONTH($A$3:$A$2000)),0))</f>
        <v>68068.25497870188</v>
      </c>
      <c r="L1175">
        <f t="shared" si="37"/>
        <v>46051.117307636974</v>
      </c>
    </row>
    <row r="1176" spans="4:12" x14ac:dyDescent="0.25">
      <c r="D1176">
        <f t="shared" si="36"/>
        <v>0</v>
      </c>
      <c r="H1176">
        <v>1174</v>
      </c>
      <c r="I1176" s="1">
        <v>46133</v>
      </c>
      <c r="J1176">
        <f t="array" ref="J1176">INDEX($D$3:$D$62,MATCH(1, (YEAR(I1176)=YEAR($A$3:$A$62))*(MONTH(I1176)=MONTH($A$3:$A$62)),0))</f>
        <v>46235.990842156629</v>
      </c>
      <c r="K1176">
        <f t="array" ref="K1176">INDEX($G$3:$G$200,MATCH(1, (YEAR(I1176)=YEAR($A$3:$A$2000))*(MONTH(I1176)=MONTH($A$3:$A$2000)),0))</f>
        <v>68068.25497870188</v>
      </c>
      <c r="L1176">
        <f t="shared" si="37"/>
        <v>46019.967443104004</v>
      </c>
    </row>
    <row r="1177" spans="4:12" x14ac:dyDescent="0.25">
      <c r="D1177">
        <f t="shared" si="36"/>
        <v>0</v>
      </c>
      <c r="H1177">
        <v>1175</v>
      </c>
      <c r="I1177" s="1">
        <v>46134</v>
      </c>
      <c r="J1177">
        <f t="array" ref="J1177">INDEX($D$3:$D$62,MATCH(1, (YEAR(I1177)=YEAR($A$3:$A$62))*(MONTH(I1177)=MONTH($A$3:$A$62)),0))</f>
        <v>46235.990842156629</v>
      </c>
      <c r="K1177">
        <f t="array" ref="K1177">INDEX($G$3:$G$200,MATCH(1, (YEAR(I1177)=YEAR($A$3:$A$2000))*(MONTH(I1177)=MONTH($A$3:$A$2000)),0))</f>
        <v>68068.25497870188</v>
      </c>
      <c r="L1177">
        <f t="shared" si="37"/>
        <v>45988.841254358995</v>
      </c>
    </row>
    <row r="1178" spans="4:12" x14ac:dyDescent="0.25">
      <c r="D1178">
        <f t="shared" si="36"/>
        <v>0</v>
      </c>
      <c r="H1178">
        <v>1176</v>
      </c>
      <c r="I1178" s="1">
        <v>46135</v>
      </c>
      <c r="J1178">
        <f t="array" ref="J1178">INDEX($D$3:$D$62,MATCH(1, (YEAR(I1178)=YEAR($A$3:$A$62))*(MONTH(I1178)=MONTH($A$3:$A$62)),0))</f>
        <v>46235.990842156629</v>
      </c>
      <c r="K1178">
        <f t="array" ref="K1178">INDEX($G$3:$G$200,MATCH(1, (YEAR(I1178)=YEAR($A$3:$A$2000))*(MONTH(I1178)=MONTH($A$3:$A$2000)),0))</f>
        <v>68068.25497870188</v>
      </c>
      <c r="L1178">
        <f t="shared" si="37"/>
        <v>45957.738657023991</v>
      </c>
    </row>
    <row r="1179" spans="4:12" x14ac:dyDescent="0.25">
      <c r="D1179">
        <f t="shared" si="36"/>
        <v>0</v>
      </c>
      <c r="H1179">
        <v>1177</v>
      </c>
      <c r="I1179" s="1">
        <v>46136</v>
      </c>
      <c r="J1179">
        <f t="array" ref="J1179">INDEX($D$3:$D$62,MATCH(1, (YEAR(I1179)=YEAR($A$3:$A$62))*(MONTH(I1179)=MONTH($A$3:$A$62)),0))</f>
        <v>46235.990842156629</v>
      </c>
      <c r="K1179">
        <f t="array" ref="K1179">INDEX($G$3:$G$200,MATCH(1, (YEAR(I1179)=YEAR($A$3:$A$2000))*(MONTH(I1179)=MONTH($A$3:$A$2000)),0))</f>
        <v>68068.25497870188</v>
      </c>
      <c r="L1179">
        <f t="shared" si="37"/>
        <v>45926.659567008959</v>
      </c>
    </row>
    <row r="1180" spans="4:12" x14ac:dyDescent="0.25">
      <c r="D1180">
        <f t="shared" si="36"/>
        <v>0</v>
      </c>
      <c r="H1180">
        <v>1178</v>
      </c>
      <c r="I1180" s="1">
        <v>46137</v>
      </c>
      <c r="J1180">
        <f t="array" ref="J1180">INDEX($D$3:$D$62,MATCH(1, (YEAR(I1180)=YEAR($A$3:$A$62))*(MONTH(I1180)=MONTH($A$3:$A$62)),0))</f>
        <v>46235.990842156629</v>
      </c>
      <c r="K1180">
        <f t="array" ref="K1180">INDEX($G$3:$G$200,MATCH(1, (YEAR(I1180)=YEAR($A$3:$A$2000))*(MONTH(I1180)=MONTH($A$3:$A$2000)),0))</f>
        <v>68068.25497870188</v>
      </c>
      <c r="L1180">
        <f t="shared" si="37"/>
        <v>45895.603900511996</v>
      </c>
    </row>
    <row r="1181" spans="4:12" x14ac:dyDescent="0.25">
      <c r="D1181">
        <f t="shared" si="36"/>
        <v>0</v>
      </c>
      <c r="H1181">
        <v>1179</v>
      </c>
      <c r="I1181" s="1">
        <v>46138</v>
      </c>
      <c r="J1181">
        <f t="array" ref="J1181">INDEX($D$3:$D$62,MATCH(1, (YEAR(I1181)=YEAR($A$3:$A$62))*(MONTH(I1181)=MONTH($A$3:$A$62)),0))</f>
        <v>46235.990842156629</v>
      </c>
      <c r="K1181">
        <f t="array" ref="K1181">INDEX($G$3:$G$200,MATCH(1, (YEAR(I1181)=YEAR($A$3:$A$2000))*(MONTH(I1181)=MONTH($A$3:$A$2000)),0))</f>
        <v>68068.25497870188</v>
      </c>
      <c r="L1181">
        <f t="shared" si="37"/>
        <v>45864.571574018977</v>
      </c>
    </row>
    <row r="1182" spans="4:12" x14ac:dyDescent="0.25">
      <c r="D1182">
        <f t="shared" si="36"/>
        <v>0</v>
      </c>
      <c r="H1182">
        <v>1180</v>
      </c>
      <c r="I1182" s="1">
        <v>46139</v>
      </c>
      <c r="J1182">
        <f t="array" ref="J1182">INDEX($D$3:$D$62,MATCH(1, (YEAR(I1182)=YEAR($A$3:$A$62))*(MONTH(I1182)=MONTH($A$3:$A$62)),0))</f>
        <v>46235.990842156629</v>
      </c>
      <c r="K1182">
        <f t="array" ref="K1182">INDEX($G$3:$G$200,MATCH(1, (YEAR(I1182)=YEAR($A$3:$A$2000))*(MONTH(I1182)=MONTH($A$3:$A$2000)),0))</f>
        <v>68068.25497870188</v>
      </c>
      <c r="L1182">
        <f t="shared" si="37"/>
        <v>45833.562504303991</v>
      </c>
    </row>
    <row r="1183" spans="4:12" x14ac:dyDescent="0.25">
      <c r="D1183">
        <f t="shared" si="36"/>
        <v>0</v>
      </c>
      <c r="H1183">
        <v>1181</v>
      </c>
      <c r="I1183" s="1">
        <v>46140</v>
      </c>
      <c r="J1183">
        <f t="array" ref="J1183">INDEX($D$3:$D$62,MATCH(1, (YEAR(I1183)=YEAR($A$3:$A$62))*(MONTH(I1183)=MONTH($A$3:$A$62)),0))</f>
        <v>46235.990842156629</v>
      </c>
      <c r="K1183">
        <f t="array" ref="K1183">INDEX($G$3:$G$200,MATCH(1, (YEAR(I1183)=YEAR($A$3:$A$2000))*(MONTH(I1183)=MONTH($A$3:$A$2000)),0))</f>
        <v>68068.25497870188</v>
      </c>
      <c r="L1183">
        <f t="shared" si="37"/>
        <v>45802.576608428964</v>
      </c>
    </row>
    <row r="1184" spans="4:12" x14ac:dyDescent="0.25">
      <c r="D1184">
        <f t="shared" si="36"/>
        <v>0</v>
      </c>
      <c r="H1184">
        <v>1182</v>
      </c>
      <c r="I1184" s="1">
        <v>46141</v>
      </c>
      <c r="J1184">
        <f t="array" ref="J1184">INDEX($D$3:$D$62,MATCH(1, (YEAR(I1184)=YEAR($A$3:$A$62))*(MONTH(I1184)=MONTH($A$3:$A$62)),0))</f>
        <v>46235.990842156629</v>
      </c>
      <c r="K1184">
        <f t="array" ref="K1184">INDEX($G$3:$G$200,MATCH(1, (YEAR(I1184)=YEAR($A$3:$A$2000))*(MONTH(I1184)=MONTH($A$3:$A$2000)),0))</f>
        <v>68068.25497870188</v>
      </c>
      <c r="L1184">
        <f t="shared" si="37"/>
        <v>45771.613803743996</v>
      </c>
    </row>
    <row r="1185" spans="4:12" x14ac:dyDescent="0.25">
      <c r="D1185">
        <f t="shared" si="36"/>
        <v>0</v>
      </c>
      <c r="H1185">
        <v>1183</v>
      </c>
      <c r="I1185" s="1">
        <v>46142</v>
      </c>
      <c r="J1185">
        <f t="array" ref="J1185">INDEX($D$3:$D$62,MATCH(1, (YEAR(I1185)=YEAR($A$3:$A$62))*(MONTH(I1185)=MONTH($A$3:$A$62)),0))</f>
        <v>46235.990842156629</v>
      </c>
      <c r="K1185">
        <f t="array" ref="K1185">INDEX($G$3:$G$200,MATCH(1, (YEAR(I1185)=YEAR($A$3:$A$2000))*(MONTH(I1185)=MONTH($A$3:$A$2000)),0))</f>
        <v>68068.25497870188</v>
      </c>
      <c r="L1185">
        <f t="shared" si="37"/>
        <v>45740.674007886962</v>
      </c>
    </row>
    <row r="1186" spans="4:12" x14ac:dyDescent="0.25">
      <c r="D1186">
        <f t="shared" si="36"/>
        <v>0</v>
      </c>
      <c r="H1186">
        <v>1184</v>
      </c>
      <c r="I1186" s="1">
        <v>46143</v>
      </c>
      <c r="J1186">
        <f t="array" ref="J1186">INDEX($D$3:$D$62,MATCH(1, (YEAR(I1186)=YEAR($A$3:$A$62))*(MONTH(I1186)=MONTH($A$3:$A$62)),0))</f>
        <v>45339.076368151182</v>
      </c>
      <c r="K1186">
        <f t="array" ref="K1186">INDEX($G$3:$G$200,MATCH(1, (YEAR(I1186)=YEAR($A$3:$A$2000))*(MONTH(I1186)=MONTH($A$3:$A$2000)),0))</f>
        <v>66727.19192970678</v>
      </c>
      <c r="L1186">
        <f t="shared" si="37"/>
        <v>45709.757138783985</v>
      </c>
    </row>
    <row r="1187" spans="4:12" x14ac:dyDescent="0.25">
      <c r="D1187">
        <f t="shared" si="36"/>
        <v>0</v>
      </c>
      <c r="H1187">
        <v>1185</v>
      </c>
      <c r="I1187" s="1">
        <v>46144</v>
      </c>
      <c r="J1187">
        <f t="array" ref="J1187">INDEX($D$3:$D$62,MATCH(1, (YEAR(I1187)=YEAR($A$3:$A$62))*(MONTH(I1187)=MONTH($A$3:$A$62)),0))</f>
        <v>45339.076368151182</v>
      </c>
      <c r="K1187">
        <f t="array" ref="K1187">INDEX($G$3:$G$200,MATCH(1, (YEAR(I1187)=YEAR($A$3:$A$2000))*(MONTH(I1187)=MONTH($A$3:$A$2000)),0))</f>
        <v>66727.19192970678</v>
      </c>
      <c r="L1187">
        <f t="shared" si="37"/>
        <v>45678.863114648993</v>
      </c>
    </row>
    <row r="1188" spans="4:12" x14ac:dyDescent="0.25">
      <c r="D1188">
        <f t="shared" si="36"/>
        <v>0</v>
      </c>
      <c r="H1188">
        <v>1186</v>
      </c>
      <c r="I1188" s="1">
        <v>46145</v>
      </c>
      <c r="J1188">
        <f t="array" ref="J1188">INDEX($D$3:$D$62,MATCH(1, (YEAR(I1188)=YEAR($A$3:$A$62))*(MONTH(I1188)=MONTH($A$3:$A$62)),0))</f>
        <v>45339.076368151182</v>
      </c>
      <c r="K1188">
        <f t="array" ref="K1188">INDEX($G$3:$G$200,MATCH(1, (YEAR(I1188)=YEAR($A$3:$A$2000))*(MONTH(I1188)=MONTH($A$3:$A$2000)),0))</f>
        <v>66727.19192970678</v>
      </c>
      <c r="L1188">
        <f t="shared" si="37"/>
        <v>45647.991853983956</v>
      </c>
    </row>
    <row r="1189" spans="4:12" x14ac:dyDescent="0.25">
      <c r="D1189">
        <f t="shared" si="36"/>
        <v>0</v>
      </c>
      <c r="H1189">
        <v>1187</v>
      </c>
      <c r="I1189" s="1">
        <v>46146</v>
      </c>
      <c r="J1189">
        <f t="array" ref="J1189">INDEX($D$3:$D$62,MATCH(1, (YEAR(I1189)=YEAR($A$3:$A$62))*(MONTH(I1189)=MONTH($A$3:$A$62)),0))</f>
        <v>45339.076368151182</v>
      </c>
      <c r="K1189">
        <f t="array" ref="K1189">INDEX($G$3:$G$200,MATCH(1, (YEAR(I1189)=YEAR($A$3:$A$2000))*(MONTH(I1189)=MONTH($A$3:$A$2000)),0))</f>
        <v>66727.19192970678</v>
      </c>
      <c r="L1189">
        <f t="shared" si="37"/>
        <v>45617.143275578972</v>
      </c>
    </row>
    <row r="1190" spans="4:12" x14ac:dyDescent="0.25">
      <c r="D1190">
        <f t="shared" si="36"/>
        <v>0</v>
      </c>
      <c r="H1190">
        <v>1188</v>
      </c>
      <c r="I1190" s="1">
        <v>46147</v>
      </c>
      <c r="J1190">
        <f t="array" ref="J1190">INDEX($D$3:$D$62,MATCH(1, (YEAR(I1190)=YEAR($A$3:$A$62))*(MONTH(I1190)=MONTH($A$3:$A$62)),0))</f>
        <v>45339.076368151182</v>
      </c>
      <c r="K1190">
        <f t="array" ref="K1190">INDEX($G$3:$G$200,MATCH(1, (YEAR(I1190)=YEAR($A$3:$A$2000))*(MONTH(I1190)=MONTH($A$3:$A$2000)),0))</f>
        <v>66727.19192970678</v>
      </c>
      <c r="L1190">
        <f t="shared" si="37"/>
        <v>45586.317298511975</v>
      </c>
    </row>
    <row r="1191" spans="4:12" x14ac:dyDescent="0.25">
      <c r="D1191">
        <f t="shared" si="36"/>
        <v>0</v>
      </c>
      <c r="H1191">
        <v>1189</v>
      </c>
      <c r="I1191" s="1">
        <v>46148</v>
      </c>
      <c r="J1191">
        <f t="array" ref="J1191">INDEX($D$3:$D$62,MATCH(1, (YEAR(I1191)=YEAR($A$3:$A$62))*(MONTH(I1191)=MONTH($A$3:$A$62)),0))</f>
        <v>45339.076368151182</v>
      </c>
      <c r="K1191">
        <f t="array" ref="K1191">INDEX($G$3:$G$200,MATCH(1, (YEAR(I1191)=YEAR($A$3:$A$2000))*(MONTH(I1191)=MONTH($A$3:$A$2000)),0))</f>
        <v>66727.19192970678</v>
      </c>
      <c r="L1191">
        <f t="shared" si="37"/>
        <v>45555.513842148997</v>
      </c>
    </row>
    <row r="1192" spans="4:12" x14ac:dyDescent="0.25">
      <c r="D1192">
        <f t="shared" si="36"/>
        <v>0</v>
      </c>
      <c r="H1192">
        <v>1190</v>
      </c>
      <c r="I1192" s="1">
        <v>46149</v>
      </c>
      <c r="J1192">
        <f t="array" ref="J1192">INDEX($D$3:$D$62,MATCH(1, (YEAR(I1192)=YEAR($A$3:$A$62))*(MONTH(I1192)=MONTH($A$3:$A$62)),0))</f>
        <v>45339.076368151182</v>
      </c>
      <c r="K1192">
        <f t="array" ref="K1192">INDEX($G$3:$G$200,MATCH(1, (YEAR(I1192)=YEAR($A$3:$A$2000))*(MONTH(I1192)=MONTH($A$3:$A$2000)),0))</f>
        <v>66727.19192970678</v>
      </c>
      <c r="L1192">
        <f t="shared" si="37"/>
        <v>45524.732826143969</v>
      </c>
    </row>
    <row r="1193" spans="4:12" x14ac:dyDescent="0.25">
      <c r="D1193">
        <f t="shared" si="36"/>
        <v>0</v>
      </c>
      <c r="H1193">
        <v>1191</v>
      </c>
      <c r="I1193" s="1">
        <v>46150</v>
      </c>
      <c r="J1193">
        <f t="array" ref="J1193">INDEX($D$3:$D$62,MATCH(1, (YEAR(I1193)=YEAR($A$3:$A$62))*(MONTH(I1193)=MONTH($A$3:$A$62)),0))</f>
        <v>45339.076368151182</v>
      </c>
      <c r="K1193">
        <f t="array" ref="K1193">INDEX($G$3:$G$200,MATCH(1, (YEAR(I1193)=YEAR($A$3:$A$2000))*(MONTH(I1193)=MONTH($A$3:$A$2000)),0))</f>
        <v>66727.19192970678</v>
      </c>
      <c r="L1193">
        <f t="shared" si="37"/>
        <v>45493.974170438974</v>
      </c>
    </row>
    <row r="1194" spans="4:12" x14ac:dyDescent="0.25">
      <c r="D1194">
        <f t="shared" si="36"/>
        <v>0</v>
      </c>
      <c r="H1194">
        <v>1192</v>
      </c>
      <c r="I1194" s="1">
        <v>46151</v>
      </c>
      <c r="J1194">
        <f t="array" ref="J1194">INDEX($D$3:$D$62,MATCH(1, (YEAR(I1194)=YEAR($A$3:$A$62))*(MONTH(I1194)=MONTH($A$3:$A$62)),0))</f>
        <v>45339.076368151182</v>
      </c>
      <c r="K1194">
        <f t="array" ref="K1194">INDEX($G$3:$G$200,MATCH(1, (YEAR(I1194)=YEAR($A$3:$A$2000))*(MONTH(I1194)=MONTH($A$3:$A$2000)),0))</f>
        <v>66727.19192970678</v>
      </c>
      <c r="L1194">
        <f t="shared" si="37"/>
        <v>45463.237795263994</v>
      </c>
    </row>
    <row r="1195" spans="4:12" x14ac:dyDescent="0.25">
      <c r="D1195">
        <f t="shared" si="36"/>
        <v>0</v>
      </c>
      <c r="H1195">
        <v>1193</v>
      </c>
      <c r="I1195" s="1">
        <v>46152</v>
      </c>
      <c r="J1195">
        <f t="array" ref="J1195">INDEX($D$3:$D$62,MATCH(1, (YEAR(I1195)=YEAR($A$3:$A$62))*(MONTH(I1195)=MONTH($A$3:$A$62)),0))</f>
        <v>45339.076368151182</v>
      </c>
      <c r="K1195">
        <f t="array" ref="K1195">INDEX($G$3:$G$200,MATCH(1, (YEAR(I1195)=YEAR($A$3:$A$2000))*(MONTH(I1195)=MONTH($A$3:$A$2000)),0))</f>
        <v>66727.19192970678</v>
      </c>
      <c r="L1195">
        <f t="shared" si="37"/>
        <v>45432.523621137021</v>
      </c>
    </row>
    <row r="1196" spans="4:12" x14ac:dyDescent="0.25">
      <c r="D1196">
        <f t="shared" si="36"/>
        <v>0</v>
      </c>
      <c r="H1196">
        <v>1194</v>
      </c>
      <c r="I1196" s="1">
        <v>46153</v>
      </c>
      <c r="J1196">
        <f t="array" ref="J1196">INDEX($D$3:$D$62,MATCH(1, (YEAR(I1196)=YEAR($A$3:$A$62))*(MONTH(I1196)=MONTH($A$3:$A$62)),0))</f>
        <v>45339.076368151182</v>
      </c>
      <c r="K1196">
        <f t="array" ref="K1196">INDEX($G$3:$G$200,MATCH(1, (YEAR(I1196)=YEAR($A$3:$A$2000))*(MONTH(I1196)=MONTH($A$3:$A$2000)),0))</f>
        <v>66727.19192970678</v>
      </c>
      <c r="L1196">
        <f t="shared" si="37"/>
        <v>45401.83156886397</v>
      </c>
    </row>
    <row r="1197" spans="4:12" x14ac:dyDescent="0.25">
      <c r="D1197">
        <f t="shared" si="36"/>
        <v>0</v>
      </c>
      <c r="H1197">
        <v>1195</v>
      </c>
      <c r="I1197" s="1">
        <v>46154</v>
      </c>
      <c r="J1197">
        <f t="array" ref="J1197">INDEX($D$3:$D$62,MATCH(1, (YEAR(I1197)=YEAR($A$3:$A$62))*(MONTH(I1197)=MONTH($A$3:$A$62)),0))</f>
        <v>45339.076368151182</v>
      </c>
      <c r="K1197">
        <f t="array" ref="K1197">INDEX($G$3:$G$200,MATCH(1, (YEAR(I1197)=YEAR($A$3:$A$2000))*(MONTH(I1197)=MONTH($A$3:$A$2000)),0))</f>
        <v>66727.19192970678</v>
      </c>
      <c r="L1197">
        <f t="shared" si="37"/>
        <v>45371.161559538974</v>
      </c>
    </row>
    <row r="1198" spans="4:12" x14ac:dyDescent="0.25">
      <c r="D1198">
        <f t="shared" si="36"/>
        <v>0</v>
      </c>
      <c r="H1198">
        <v>1196</v>
      </c>
      <c r="I1198" s="1">
        <v>46155</v>
      </c>
      <c r="J1198">
        <f t="array" ref="J1198">INDEX($D$3:$D$62,MATCH(1, (YEAR(I1198)=YEAR($A$3:$A$62))*(MONTH(I1198)=MONTH($A$3:$A$62)),0))</f>
        <v>45339.076368151182</v>
      </c>
      <c r="K1198">
        <f t="array" ref="K1198">INDEX($G$3:$G$200,MATCH(1, (YEAR(I1198)=YEAR($A$3:$A$2000))*(MONTH(I1198)=MONTH($A$3:$A$2000)),0))</f>
        <v>66727.19192970678</v>
      </c>
      <c r="L1198">
        <f t="shared" si="37"/>
        <v>45340.513514544</v>
      </c>
    </row>
    <row r="1199" spans="4:12" x14ac:dyDescent="0.25">
      <c r="D1199">
        <f t="shared" si="36"/>
        <v>0</v>
      </c>
      <c r="H1199">
        <v>1197</v>
      </c>
      <c r="I1199" s="1">
        <v>46156</v>
      </c>
      <c r="J1199">
        <f t="array" ref="J1199">INDEX($D$3:$D$62,MATCH(1, (YEAR(I1199)=YEAR($A$3:$A$62))*(MONTH(I1199)=MONTH($A$3:$A$62)),0))</f>
        <v>45339.076368151182</v>
      </c>
      <c r="K1199">
        <f t="array" ref="K1199">INDEX($G$3:$G$200,MATCH(1, (YEAR(I1199)=YEAR($A$3:$A$2000))*(MONTH(I1199)=MONTH($A$3:$A$2000)),0))</f>
        <v>66727.19192970678</v>
      </c>
      <c r="L1199">
        <f t="shared" si="37"/>
        <v>45309.887355548999</v>
      </c>
    </row>
    <row r="1200" spans="4:12" x14ac:dyDescent="0.25">
      <c r="D1200">
        <f t="shared" si="36"/>
        <v>0</v>
      </c>
      <c r="H1200">
        <v>1198</v>
      </c>
      <c r="I1200" s="1">
        <v>46157</v>
      </c>
      <c r="J1200">
        <f t="array" ref="J1200">INDEX($D$3:$D$62,MATCH(1, (YEAR(I1200)=YEAR($A$3:$A$62))*(MONTH(I1200)=MONTH($A$3:$A$62)),0))</f>
        <v>45339.076368151182</v>
      </c>
      <c r="K1200">
        <f t="array" ref="K1200">INDEX($G$3:$G$200,MATCH(1, (YEAR(I1200)=YEAR($A$3:$A$2000))*(MONTH(I1200)=MONTH($A$3:$A$2000)),0))</f>
        <v>66727.19192970678</v>
      </c>
      <c r="L1200">
        <f t="shared" si="37"/>
        <v>45279.283004511992</v>
      </c>
    </row>
    <row r="1201" spans="4:12" x14ac:dyDescent="0.25">
      <c r="D1201">
        <f t="shared" si="36"/>
        <v>0</v>
      </c>
      <c r="H1201">
        <v>1199</v>
      </c>
      <c r="I1201" s="1">
        <v>46158</v>
      </c>
      <c r="J1201">
        <f t="array" ref="J1201">INDEX($D$3:$D$62,MATCH(1, (YEAR(I1201)=YEAR($A$3:$A$62))*(MONTH(I1201)=MONTH($A$3:$A$62)),0))</f>
        <v>45339.076368151182</v>
      </c>
      <c r="K1201">
        <f t="array" ref="K1201">INDEX($G$3:$G$200,MATCH(1, (YEAR(I1201)=YEAR($A$3:$A$2000))*(MONTH(I1201)=MONTH($A$3:$A$2000)),0))</f>
        <v>66727.19192970678</v>
      </c>
      <c r="L1201">
        <f t="shared" si="37"/>
        <v>45248.700383678981</v>
      </c>
    </row>
    <row r="1202" spans="4:12" x14ac:dyDescent="0.25">
      <c r="D1202">
        <f t="shared" si="36"/>
        <v>0</v>
      </c>
      <c r="H1202">
        <v>1200</v>
      </c>
      <c r="I1202" s="1">
        <v>46159</v>
      </c>
      <c r="J1202">
        <f t="array" ref="J1202">INDEX($D$3:$D$62,MATCH(1, (YEAR(I1202)=YEAR($A$3:$A$62))*(MONTH(I1202)=MONTH($A$3:$A$62)),0))</f>
        <v>45339.076368151182</v>
      </c>
      <c r="K1202">
        <f t="array" ref="K1202">INDEX($G$3:$G$200,MATCH(1, (YEAR(I1202)=YEAR($A$3:$A$2000))*(MONTH(I1202)=MONTH($A$3:$A$2000)),0))</f>
        <v>66727.19192970678</v>
      </c>
      <c r="L1202">
        <f t="shared" si="37"/>
        <v>45218.139415583981</v>
      </c>
    </row>
    <row r="1203" spans="4:12" x14ac:dyDescent="0.25">
      <c r="D1203">
        <f t="shared" si="36"/>
        <v>0</v>
      </c>
      <c r="H1203">
        <v>1201</v>
      </c>
      <c r="I1203" s="1">
        <v>46160</v>
      </c>
      <c r="J1203">
        <f t="array" ref="J1203">INDEX($D$3:$D$62,MATCH(1, (YEAR(I1203)=YEAR($A$3:$A$62))*(MONTH(I1203)=MONTH($A$3:$A$62)),0))</f>
        <v>45339.076368151182</v>
      </c>
      <c r="K1203">
        <f t="array" ref="K1203">INDEX($G$3:$G$200,MATCH(1, (YEAR(I1203)=YEAR($A$3:$A$2000))*(MONTH(I1203)=MONTH($A$3:$A$2000)),0))</f>
        <v>66727.19192970678</v>
      </c>
      <c r="L1203">
        <f t="shared" si="37"/>
        <v>45187.600023049017</v>
      </c>
    </row>
    <row r="1204" spans="4:12" x14ac:dyDescent="0.25">
      <c r="D1204">
        <f t="shared" si="36"/>
        <v>0</v>
      </c>
      <c r="H1204">
        <v>1202</v>
      </c>
      <c r="I1204" s="1">
        <v>46161</v>
      </c>
      <c r="J1204">
        <f t="array" ref="J1204">INDEX($D$3:$D$62,MATCH(1, (YEAR(I1204)=YEAR($A$3:$A$62))*(MONTH(I1204)=MONTH($A$3:$A$62)),0))</f>
        <v>45339.076368151182</v>
      </c>
      <c r="K1204">
        <f t="array" ref="K1204">INDEX($G$3:$G$200,MATCH(1, (YEAR(I1204)=YEAR($A$3:$A$2000))*(MONTH(I1204)=MONTH($A$3:$A$2000)),0))</f>
        <v>66727.19192970678</v>
      </c>
      <c r="L1204">
        <f t="shared" si="37"/>
        <v>45157.082129183982</v>
      </c>
    </row>
    <row r="1205" spans="4:12" x14ac:dyDescent="0.25">
      <c r="D1205">
        <f t="shared" si="36"/>
        <v>0</v>
      </c>
      <c r="H1205">
        <v>1203</v>
      </c>
      <c r="I1205" s="1">
        <v>46162</v>
      </c>
      <c r="J1205">
        <f t="array" ref="J1205">INDEX($D$3:$D$62,MATCH(1, (YEAR(I1205)=YEAR($A$3:$A$62))*(MONTH(I1205)=MONTH($A$3:$A$62)),0))</f>
        <v>45339.076368151182</v>
      </c>
      <c r="K1205">
        <f t="array" ref="K1205">INDEX($G$3:$G$200,MATCH(1, (YEAR(I1205)=YEAR($A$3:$A$2000))*(MONTH(I1205)=MONTH($A$3:$A$2000)),0))</f>
        <v>66727.19192970678</v>
      </c>
      <c r="L1205">
        <f t="shared" si="37"/>
        <v>45126.585657386982</v>
      </c>
    </row>
    <row r="1206" spans="4:12" x14ac:dyDescent="0.25">
      <c r="D1206">
        <f t="shared" si="36"/>
        <v>0</v>
      </c>
      <c r="H1206">
        <v>1204</v>
      </c>
      <c r="I1206" s="1">
        <v>46163</v>
      </c>
      <c r="J1206">
        <f t="array" ref="J1206">INDEX($D$3:$D$62,MATCH(1, (YEAR(I1206)=YEAR($A$3:$A$62))*(MONTH(I1206)=MONTH($A$3:$A$62)),0))</f>
        <v>45339.076368151182</v>
      </c>
      <c r="K1206">
        <f t="array" ref="K1206">INDEX($G$3:$G$200,MATCH(1, (YEAR(I1206)=YEAR($A$3:$A$2000))*(MONTH(I1206)=MONTH($A$3:$A$2000)),0))</f>
        <v>66727.19192970678</v>
      </c>
      <c r="L1206">
        <f t="shared" si="37"/>
        <v>45096.110531343991</v>
      </c>
    </row>
    <row r="1207" spans="4:12" x14ac:dyDescent="0.25">
      <c r="D1207">
        <f t="shared" si="36"/>
        <v>0</v>
      </c>
      <c r="H1207">
        <v>1205</v>
      </c>
      <c r="I1207" s="1">
        <v>46164</v>
      </c>
      <c r="J1207">
        <f t="array" ref="J1207">INDEX($D$3:$D$62,MATCH(1, (YEAR(I1207)=YEAR($A$3:$A$62))*(MONTH(I1207)=MONTH($A$3:$A$62)),0))</f>
        <v>45339.076368151182</v>
      </c>
      <c r="K1207">
        <f t="array" ref="K1207">INDEX($G$3:$G$200,MATCH(1, (YEAR(I1207)=YEAR($A$3:$A$2000))*(MONTH(I1207)=MONTH($A$3:$A$2000)),0))</f>
        <v>66727.19192970678</v>
      </c>
      <c r="L1207">
        <f t="shared" si="37"/>
        <v>45065.656675028993</v>
      </c>
    </row>
    <row r="1208" spans="4:12" x14ac:dyDescent="0.25">
      <c r="D1208">
        <f t="shared" si="36"/>
        <v>0</v>
      </c>
      <c r="H1208">
        <v>1206</v>
      </c>
      <c r="I1208" s="1">
        <v>46165</v>
      </c>
      <c r="J1208">
        <f t="array" ref="J1208">INDEX($D$3:$D$62,MATCH(1, (YEAR(I1208)=YEAR($A$3:$A$62))*(MONTH(I1208)=MONTH($A$3:$A$62)),0))</f>
        <v>45339.076368151182</v>
      </c>
      <c r="K1208">
        <f t="array" ref="K1208">INDEX($G$3:$G$200,MATCH(1, (YEAR(I1208)=YEAR($A$3:$A$2000))*(MONTH(I1208)=MONTH($A$3:$A$2000)),0))</f>
        <v>66727.19192970678</v>
      </c>
      <c r="L1208">
        <f t="shared" si="37"/>
        <v>45035.224012703984</v>
      </c>
    </row>
    <row r="1209" spans="4:12" x14ac:dyDescent="0.25">
      <c r="D1209">
        <f t="shared" si="36"/>
        <v>0</v>
      </c>
      <c r="H1209">
        <v>1207</v>
      </c>
      <c r="I1209" s="1">
        <v>46166</v>
      </c>
      <c r="J1209">
        <f t="array" ref="J1209">INDEX($D$3:$D$62,MATCH(1, (YEAR(I1209)=YEAR($A$3:$A$62))*(MONTH(I1209)=MONTH($A$3:$A$62)),0))</f>
        <v>45339.076368151182</v>
      </c>
      <c r="K1209">
        <f t="array" ref="K1209">INDEX($G$3:$G$200,MATCH(1, (YEAR(I1209)=YEAR($A$3:$A$2000))*(MONTH(I1209)=MONTH($A$3:$A$2000)),0))</f>
        <v>66727.19192970678</v>
      </c>
      <c r="L1209">
        <f t="shared" si="37"/>
        <v>45004.812468918972</v>
      </c>
    </row>
    <row r="1210" spans="4:12" x14ac:dyDescent="0.25">
      <c r="D1210">
        <f t="shared" si="36"/>
        <v>0</v>
      </c>
      <c r="H1210">
        <v>1208</v>
      </c>
      <c r="I1210" s="1">
        <v>46167</v>
      </c>
      <c r="J1210">
        <f t="array" ref="J1210">INDEX($D$3:$D$62,MATCH(1, (YEAR(I1210)=YEAR($A$3:$A$62))*(MONTH(I1210)=MONTH($A$3:$A$62)),0))</f>
        <v>45339.076368151182</v>
      </c>
      <c r="K1210">
        <f t="array" ref="K1210">INDEX($G$3:$G$200,MATCH(1, (YEAR(I1210)=YEAR($A$3:$A$2000))*(MONTH(I1210)=MONTH($A$3:$A$2000)),0))</f>
        <v>66727.19192970678</v>
      </c>
      <c r="L1210">
        <f t="shared" si="37"/>
        <v>44974.421968511975</v>
      </c>
    </row>
    <row r="1211" spans="4:12" x14ac:dyDescent="0.25">
      <c r="D1211">
        <f t="shared" si="36"/>
        <v>0</v>
      </c>
      <c r="H1211">
        <v>1209</v>
      </c>
      <c r="I1211" s="1">
        <v>46168</v>
      </c>
      <c r="J1211">
        <f t="array" ref="J1211">INDEX($D$3:$D$62,MATCH(1, (YEAR(I1211)=YEAR($A$3:$A$62))*(MONTH(I1211)=MONTH($A$3:$A$62)),0))</f>
        <v>45339.076368151182</v>
      </c>
      <c r="K1211">
        <f t="array" ref="K1211">INDEX($G$3:$G$200,MATCH(1, (YEAR(I1211)=YEAR($A$3:$A$2000))*(MONTH(I1211)=MONTH($A$3:$A$2000)),0))</f>
        <v>66727.19192970678</v>
      </c>
      <c r="L1211">
        <f t="shared" si="37"/>
        <v>44944.052436608996</v>
      </c>
    </row>
    <row r="1212" spans="4:12" x14ac:dyDescent="0.25">
      <c r="D1212">
        <f t="shared" si="36"/>
        <v>0</v>
      </c>
      <c r="H1212">
        <v>1210</v>
      </c>
      <c r="I1212" s="1">
        <v>46169</v>
      </c>
      <c r="J1212">
        <f t="array" ref="J1212">INDEX($D$3:$D$62,MATCH(1, (YEAR(I1212)=YEAR($A$3:$A$62))*(MONTH(I1212)=MONTH($A$3:$A$62)),0))</f>
        <v>45339.076368151182</v>
      </c>
      <c r="K1212">
        <f t="array" ref="K1212">INDEX($G$3:$G$200,MATCH(1, (YEAR(I1212)=YEAR($A$3:$A$2000))*(MONTH(I1212)=MONTH($A$3:$A$2000)),0))</f>
        <v>66727.19192970678</v>
      </c>
      <c r="L1212">
        <f t="shared" si="37"/>
        <v>44913.703798623988</v>
      </c>
    </row>
    <row r="1213" spans="4:12" x14ac:dyDescent="0.25">
      <c r="D1213">
        <f t="shared" si="36"/>
        <v>0</v>
      </c>
      <c r="H1213">
        <v>1211</v>
      </c>
      <c r="I1213" s="1">
        <v>46170</v>
      </c>
      <c r="J1213">
        <f t="array" ref="J1213">INDEX($D$3:$D$62,MATCH(1, (YEAR(I1213)=YEAR($A$3:$A$62))*(MONTH(I1213)=MONTH($A$3:$A$62)),0))</f>
        <v>45339.076368151182</v>
      </c>
      <c r="K1213">
        <f t="array" ref="K1213">INDEX($G$3:$G$200,MATCH(1, (YEAR(I1213)=YEAR($A$3:$A$2000))*(MONTH(I1213)=MONTH($A$3:$A$2000)),0))</f>
        <v>66727.19192970678</v>
      </c>
      <c r="L1213">
        <f t="shared" si="37"/>
        <v>44883.375980258978</v>
      </c>
    </row>
    <row r="1214" spans="4:12" x14ac:dyDescent="0.25">
      <c r="D1214">
        <f t="shared" si="36"/>
        <v>0</v>
      </c>
      <c r="H1214">
        <v>1212</v>
      </c>
      <c r="I1214" s="1">
        <v>46171</v>
      </c>
      <c r="J1214">
        <f t="array" ref="J1214">INDEX($D$3:$D$62,MATCH(1, (YEAR(I1214)=YEAR($A$3:$A$62))*(MONTH(I1214)=MONTH($A$3:$A$62)),0))</f>
        <v>45339.076368151182</v>
      </c>
      <c r="K1214">
        <f t="array" ref="K1214">INDEX($G$3:$G$200,MATCH(1, (YEAR(I1214)=YEAR($A$3:$A$2000))*(MONTH(I1214)=MONTH($A$3:$A$2000)),0))</f>
        <v>66727.19192970678</v>
      </c>
      <c r="L1214">
        <f t="shared" si="37"/>
        <v>44853.06890750397</v>
      </c>
    </row>
    <row r="1215" spans="4:12" x14ac:dyDescent="0.25">
      <c r="D1215">
        <f t="shared" si="36"/>
        <v>0</v>
      </c>
      <c r="H1215">
        <v>1213</v>
      </c>
      <c r="I1215" s="1">
        <v>46172</v>
      </c>
      <c r="J1215">
        <f t="array" ref="J1215">INDEX($D$3:$D$62,MATCH(1, (YEAR(I1215)=YEAR($A$3:$A$62))*(MONTH(I1215)=MONTH($A$3:$A$62)),0))</f>
        <v>45339.076368151182</v>
      </c>
      <c r="K1215">
        <f t="array" ref="K1215">INDEX($G$3:$G$200,MATCH(1, (YEAR(I1215)=YEAR($A$3:$A$2000))*(MONTH(I1215)=MONTH($A$3:$A$2000)),0))</f>
        <v>66727.19192970678</v>
      </c>
      <c r="L1215">
        <f t="shared" si="37"/>
        <v>44822.782506636984</v>
      </c>
    </row>
    <row r="1216" spans="4:12" x14ac:dyDescent="0.25">
      <c r="D1216">
        <f t="shared" si="36"/>
        <v>0</v>
      </c>
      <c r="H1216">
        <v>1214</v>
      </c>
      <c r="I1216" s="1">
        <v>46173</v>
      </c>
      <c r="J1216">
        <f t="array" ref="J1216">INDEX($D$3:$D$62,MATCH(1, (YEAR(I1216)=YEAR($A$3:$A$62))*(MONTH(I1216)=MONTH($A$3:$A$62)),0))</f>
        <v>45339.076368151182</v>
      </c>
      <c r="K1216">
        <f t="array" ref="K1216">INDEX($G$3:$G$200,MATCH(1, (YEAR(I1216)=YEAR($A$3:$A$2000))*(MONTH(I1216)=MONTH($A$3:$A$2000)),0))</f>
        <v>66727.19192970678</v>
      </c>
      <c r="L1216">
        <f t="shared" si="37"/>
        <v>44792.516704223963</v>
      </c>
    </row>
    <row r="1217" spans="4:12" x14ac:dyDescent="0.25">
      <c r="D1217">
        <f t="shared" si="36"/>
        <v>0</v>
      </c>
      <c r="H1217">
        <v>1215</v>
      </c>
      <c r="I1217" s="1">
        <v>46174</v>
      </c>
      <c r="J1217">
        <f t="array" ref="J1217">INDEX($D$3:$D$62,MATCH(1, (YEAR(I1217)=YEAR($A$3:$A$62))*(MONTH(I1217)=MONTH($A$3:$A$62)),0))</f>
        <v>44316.961248779342</v>
      </c>
      <c r="K1217">
        <f t="array" ref="K1217">INDEX($G$3:$G$200,MATCH(1, (YEAR(I1217)=YEAR($A$3:$A$2000))*(MONTH(I1217)=MONTH($A$3:$A$2000)),0))</f>
        <v>65182.437616448733</v>
      </c>
      <c r="L1217">
        <f t="shared" si="37"/>
        <v>44762.271427118947</v>
      </c>
    </row>
    <row r="1218" spans="4:12" x14ac:dyDescent="0.25">
      <c r="D1218">
        <f t="shared" si="36"/>
        <v>0</v>
      </c>
      <c r="H1218">
        <v>1216</v>
      </c>
      <c r="I1218" s="1">
        <v>46175</v>
      </c>
      <c r="J1218">
        <f t="array" ref="J1218">INDEX($D$3:$D$62,MATCH(1, (YEAR(I1218)=YEAR($A$3:$A$62))*(MONTH(I1218)=MONTH($A$3:$A$62)),0))</f>
        <v>44316.961248779342</v>
      </c>
      <c r="K1218">
        <f t="array" ref="K1218">INDEX($G$3:$G$200,MATCH(1, (YEAR(I1218)=YEAR($A$3:$A$2000))*(MONTH(I1218)=MONTH($A$3:$A$2000)),0))</f>
        <v>65182.437616448733</v>
      </c>
      <c r="L1218">
        <f t="shared" si="37"/>
        <v>44732.04660246399</v>
      </c>
    </row>
    <row r="1219" spans="4:12" x14ac:dyDescent="0.25">
      <c r="D1219">
        <f t="shared" si="36"/>
        <v>0</v>
      </c>
      <c r="H1219">
        <v>1217</v>
      </c>
      <c r="I1219" s="1">
        <v>46176</v>
      </c>
      <c r="J1219">
        <f t="array" ref="J1219">INDEX($D$3:$D$62,MATCH(1, (YEAR(I1219)=YEAR($A$3:$A$62))*(MONTH(I1219)=MONTH($A$3:$A$62)),0))</f>
        <v>44316.961248779342</v>
      </c>
      <c r="K1219">
        <f t="array" ref="K1219">INDEX($G$3:$G$200,MATCH(1, (YEAR(I1219)=YEAR($A$3:$A$2000))*(MONTH(I1219)=MONTH($A$3:$A$2000)),0))</f>
        <v>65182.437616448733</v>
      </c>
      <c r="L1219">
        <f t="shared" si="37"/>
        <v>44701.842157688981</v>
      </c>
    </row>
    <row r="1220" spans="4:12" x14ac:dyDescent="0.25">
      <c r="D1220">
        <f t="shared" ref="D1220:D1283" si="38">SUM(B1220:C1220)</f>
        <v>0</v>
      </c>
      <c r="H1220">
        <v>1218</v>
      </c>
      <c r="I1220" s="1">
        <v>46177</v>
      </c>
      <c r="J1220">
        <f t="array" ref="J1220">INDEX($D$3:$D$62,MATCH(1, (YEAR(I1220)=YEAR($A$3:$A$62))*(MONTH(I1220)=MONTH($A$3:$A$62)),0))</f>
        <v>44316.961248779342</v>
      </c>
      <c r="K1220">
        <f t="array" ref="K1220">INDEX($G$3:$G$200,MATCH(1, (YEAR(I1220)=YEAR($A$3:$A$2000))*(MONTH(I1220)=MONTH($A$3:$A$2000)),0))</f>
        <v>65182.437616448733</v>
      </c>
      <c r="L1220">
        <f t="shared" ref="L1220:L1283" si="39">0.000000012*H1220^4-0.000070439*H1220^3+0.160688168*H1220^2-194.849290676*H1220+144481.718306784</f>
        <v>44671.658020511997</v>
      </c>
    </row>
    <row r="1221" spans="4:12" x14ac:dyDescent="0.25">
      <c r="D1221">
        <f t="shared" si="38"/>
        <v>0</v>
      </c>
      <c r="H1221">
        <v>1219</v>
      </c>
      <c r="I1221" s="1">
        <v>46178</v>
      </c>
      <c r="J1221">
        <f t="array" ref="J1221">INDEX($D$3:$D$62,MATCH(1, (YEAR(I1221)=YEAR($A$3:$A$62))*(MONTH(I1221)=MONTH($A$3:$A$62)),0))</f>
        <v>44316.961248779342</v>
      </c>
      <c r="K1221">
        <f t="array" ref="K1221">INDEX($G$3:$G$200,MATCH(1, (YEAR(I1221)=YEAR($A$3:$A$2000))*(MONTH(I1221)=MONTH($A$3:$A$2000)),0))</f>
        <v>65182.437616448733</v>
      </c>
      <c r="L1221">
        <f t="shared" si="39"/>
        <v>44641.494118938979</v>
      </c>
    </row>
    <row r="1222" spans="4:12" x14ac:dyDescent="0.25">
      <c r="D1222">
        <f t="shared" si="38"/>
        <v>0</v>
      </c>
      <c r="H1222">
        <v>1220</v>
      </c>
      <c r="I1222" s="1">
        <v>46179</v>
      </c>
      <c r="J1222">
        <f t="array" ref="J1222">INDEX($D$3:$D$62,MATCH(1, (YEAR(I1222)=YEAR($A$3:$A$62))*(MONTH(I1222)=MONTH($A$3:$A$62)),0))</f>
        <v>44316.961248779342</v>
      </c>
      <c r="K1222">
        <f t="array" ref="K1222">INDEX($G$3:$G$200,MATCH(1, (YEAR(I1222)=YEAR($A$3:$A$2000))*(MONTH(I1222)=MONTH($A$3:$A$2000)),0))</f>
        <v>65182.437616448733</v>
      </c>
      <c r="L1222">
        <f t="shared" si="39"/>
        <v>44611.350381263997</v>
      </c>
    </row>
    <row r="1223" spans="4:12" x14ac:dyDescent="0.25">
      <c r="D1223">
        <f t="shared" si="38"/>
        <v>0</v>
      </c>
      <c r="H1223">
        <v>1221</v>
      </c>
      <c r="I1223" s="1">
        <v>46180</v>
      </c>
      <c r="J1223">
        <f t="array" ref="J1223">INDEX($D$3:$D$62,MATCH(1, (YEAR(I1223)=YEAR($A$3:$A$62))*(MONTH(I1223)=MONTH($A$3:$A$62)),0))</f>
        <v>44316.961248779342</v>
      </c>
      <c r="K1223">
        <f t="array" ref="K1223">INDEX($G$3:$G$200,MATCH(1, (YEAR(I1223)=YEAR($A$3:$A$2000))*(MONTH(I1223)=MONTH($A$3:$A$2000)),0))</f>
        <v>65182.437616448733</v>
      </c>
      <c r="L1223">
        <f t="shared" si="39"/>
        <v>44581.226736068988</v>
      </c>
    </row>
    <row r="1224" spans="4:12" x14ac:dyDescent="0.25">
      <c r="D1224">
        <f t="shared" si="38"/>
        <v>0</v>
      </c>
      <c r="H1224">
        <v>1222</v>
      </c>
      <c r="I1224" s="1">
        <v>46181</v>
      </c>
      <c r="J1224">
        <f t="array" ref="J1224">INDEX($D$3:$D$62,MATCH(1, (YEAR(I1224)=YEAR($A$3:$A$62))*(MONTH(I1224)=MONTH($A$3:$A$62)),0))</f>
        <v>44316.961248779342</v>
      </c>
      <c r="K1224">
        <f t="array" ref="K1224">INDEX($G$3:$G$200,MATCH(1, (YEAR(I1224)=YEAR($A$3:$A$2000))*(MONTH(I1224)=MONTH($A$3:$A$2000)),0))</f>
        <v>65182.437616448733</v>
      </c>
      <c r="L1224">
        <f t="shared" si="39"/>
        <v>44551.123112223984</v>
      </c>
    </row>
    <row r="1225" spans="4:12" x14ac:dyDescent="0.25">
      <c r="D1225">
        <f t="shared" si="38"/>
        <v>0</v>
      </c>
      <c r="H1225">
        <v>1223</v>
      </c>
      <c r="I1225" s="1">
        <v>46182</v>
      </c>
      <c r="J1225">
        <f t="array" ref="J1225">INDEX($D$3:$D$62,MATCH(1, (YEAR(I1225)=YEAR($A$3:$A$62))*(MONTH(I1225)=MONTH($A$3:$A$62)),0))</f>
        <v>44316.961248779342</v>
      </c>
      <c r="K1225">
        <f t="array" ref="K1225">INDEX($G$3:$G$200,MATCH(1, (YEAR(I1225)=YEAR($A$3:$A$2000))*(MONTH(I1225)=MONTH($A$3:$A$2000)),0))</f>
        <v>65182.437616448733</v>
      </c>
      <c r="L1225">
        <f t="shared" si="39"/>
        <v>44521.039438887005</v>
      </c>
    </row>
    <row r="1226" spans="4:12" x14ac:dyDescent="0.25">
      <c r="D1226">
        <f t="shared" si="38"/>
        <v>0</v>
      </c>
      <c r="H1226">
        <v>1224</v>
      </c>
      <c r="I1226" s="1">
        <v>46183</v>
      </c>
      <c r="J1226">
        <f t="array" ref="J1226">INDEX($D$3:$D$62,MATCH(1, (YEAR(I1226)=YEAR($A$3:$A$62))*(MONTH(I1226)=MONTH($A$3:$A$62)),0))</f>
        <v>44316.961248779342</v>
      </c>
      <c r="K1226">
        <f t="array" ref="K1226">INDEX($G$3:$G$200,MATCH(1, (YEAR(I1226)=YEAR($A$3:$A$2000))*(MONTH(I1226)=MONTH($A$3:$A$2000)),0))</f>
        <v>65182.437616448733</v>
      </c>
      <c r="L1226">
        <f t="shared" si="39"/>
        <v>44490.97564550399</v>
      </c>
    </row>
    <row r="1227" spans="4:12" x14ac:dyDescent="0.25">
      <c r="D1227">
        <f t="shared" si="38"/>
        <v>0</v>
      </c>
      <c r="H1227">
        <v>1225</v>
      </c>
      <c r="I1227" s="1">
        <v>46184</v>
      </c>
      <c r="J1227">
        <f t="array" ref="J1227">INDEX($D$3:$D$62,MATCH(1, (YEAR(I1227)=YEAR($A$3:$A$62))*(MONTH(I1227)=MONTH($A$3:$A$62)),0))</f>
        <v>44316.961248779342</v>
      </c>
      <c r="K1227">
        <f t="array" ref="K1227">INDEX($G$3:$G$200,MATCH(1, (YEAR(I1227)=YEAR($A$3:$A$2000))*(MONTH(I1227)=MONTH($A$3:$A$2000)),0))</f>
        <v>65182.437616448733</v>
      </c>
      <c r="L1227">
        <f t="shared" si="39"/>
        <v>44460.93166180898</v>
      </c>
    </row>
    <row r="1228" spans="4:12" x14ac:dyDescent="0.25">
      <c r="D1228">
        <f t="shared" si="38"/>
        <v>0</v>
      </c>
      <c r="H1228">
        <v>1226</v>
      </c>
      <c r="I1228" s="1">
        <v>46185</v>
      </c>
      <c r="J1228">
        <f t="array" ref="J1228">INDEX($D$3:$D$62,MATCH(1, (YEAR(I1228)=YEAR($A$3:$A$62))*(MONTH(I1228)=MONTH($A$3:$A$62)),0))</f>
        <v>44316.961248779342</v>
      </c>
      <c r="K1228">
        <f t="array" ref="K1228">INDEX($G$3:$G$200,MATCH(1, (YEAR(I1228)=YEAR($A$3:$A$2000))*(MONTH(I1228)=MONTH($A$3:$A$2000)),0))</f>
        <v>65182.437616448733</v>
      </c>
      <c r="L1228">
        <f t="shared" si="39"/>
        <v>44430.907417823968</v>
      </c>
    </row>
    <row r="1229" spans="4:12" x14ac:dyDescent="0.25">
      <c r="D1229">
        <f t="shared" si="38"/>
        <v>0</v>
      </c>
      <c r="H1229">
        <v>1227</v>
      </c>
      <c r="I1229" s="1">
        <v>46186</v>
      </c>
      <c r="J1229">
        <f t="array" ref="J1229">INDEX($D$3:$D$62,MATCH(1, (YEAR(I1229)=YEAR($A$3:$A$62))*(MONTH(I1229)=MONTH($A$3:$A$62)),0))</f>
        <v>44316.961248779342</v>
      </c>
      <c r="K1229">
        <f t="array" ref="K1229">INDEX($G$3:$G$200,MATCH(1, (YEAR(I1229)=YEAR($A$3:$A$2000))*(MONTH(I1229)=MONTH($A$3:$A$2000)),0))</f>
        <v>65182.437616448733</v>
      </c>
      <c r="L1229">
        <f t="shared" si="39"/>
        <v>44400.902843858959</v>
      </c>
    </row>
    <row r="1230" spans="4:12" x14ac:dyDescent="0.25">
      <c r="D1230">
        <f t="shared" si="38"/>
        <v>0</v>
      </c>
      <c r="H1230">
        <v>1228</v>
      </c>
      <c r="I1230" s="1">
        <v>46187</v>
      </c>
      <c r="J1230">
        <f t="array" ref="J1230">INDEX($D$3:$D$62,MATCH(1, (YEAR(I1230)=YEAR($A$3:$A$62))*(MONTH(I1230)=MONTH($A$3:$A$62)),0))</f>
        <v>44316.961248779342</v>
      </c>
      <c r="K1230">
        <f t="array" ref="K1230">INDEX($G$3:$G$200,MATCH(1, (YEAR(I1230)=YEAR($A$3:$A$2000))*(MONTH(I1230)=MONTH($A$3:$A$2000)),0))</f>
        <v>65182.437616448733</v>
      </c>
      <c r="L1230">
        <f t="shared" si="39"/>
        <v>44370.91787051197</v>
      </c>
    </row>
    <row r="1231" spans="4:12" x14ac:dyDescent="0.25">
      <c r="D1231">
        <f t="shared" si="38"/>
        <v>0</v>
      </c>
      <c r="H1231">
        <v>1229</v>
      </c>
      <c r="I1231" s="1">
        <v>46188</v>
      </c>
      <c r="J1231">
        <f t="array" ref="J1231">INDEX($D$3:$D$62,MATCH(1, (YEAR(I1231)=YEAR($A$3:$A$62))*(MONTH(I1231)=MONTH($A$3:$A$62)),0))</f>
        <v>44316.961248779342</v>
      </c>
      <c r="K1231">
        <f t="array" ref="K1231">INDEX($G$3:$G$200,MATCH(1, (YEAR(I1231)=YEAR($A$3:$A$2000))*(MONTH(I1231)=MONTH($A$3:$A$2000)),0))</f>
        <v>65182.437616448733</v>
      </c>
      <c r="L1231">
        <f t="shared" si="39"/>
        <v>44340.952428668999</v>
      </c>
    </row>
    <row r="1232" spans="4:12" x14ac:dyDescent="0.25">
      <c r="D1232">
        <f t="shared" si="38"/>
        <v>0</v>
      </c>
      <c r="H1232">
        <v>1230</v>
      </c>
      <c r="I1232" s="1">
        <v>46189</v>
      </c>
      <c r="J1232">
        <f t="array" ref="J1232">INDEX($D$3:$D$62,MATCH(1, (YEAR(I1232)=YEAR($A$3:$A$62))*(MONTH(I1232)=MONTH($A$3:$A$62)),0))</f>
        <v>44316.961248779342</v>
      </c>
      <c r="K1232">
        <f t="array" ref="K1232">INDEX($G$3:$G$200,MATCH(1, (YEAR(I1232)=YEAR($A$3:$A$2000))*(MONTH(I1232)=MONTH($A$3:$A$2000)),0))</f>
        <v>65182.437616448733</v>
      </c>
      <c r="L1232">
        <f t="shared" si="39"/>
        <v>44311.00644950397</v>
      </c>
    </row>
    <row r="1233" spans="4:12" x14ac:dyDescent="0.25">
      <c r="D1233">
        <f t="shared" si="38"/>
        <v>0</v>
      </c>
      <c r="H1233">
        <v>1231</v>
      </c>
      <c r="I1233" s="1">
        <v>46190</v>
      </c>
      <c r="J1233">
        <f t="array" ref="J1233">INDEX($D$3:$D$62,MATCH(1, (YEAR(I1233)=YEAR($A$3:$A$62))*(MONTH(I1233)=MONTH($A$3:$A$62)),0))</f>
        <v>44316.961248779342</v>
      </c>
      <c r="K1233">
        <f t="array" ref="K1233">INDEX($G$3:$G$200,MATCH(1, (YEAR(I1233)=YEAR($A$3:$A$2000))*(MONTH(I1233)=MONTH($A$3:$A$2000)),0))</f>
        <v>65182.437616448733</v>
      </c>
      <c r="L1233">
        <f t="shared" si="39"/>
        <v>44281.079864478961</v>
      </c>
    </row>
    <row r="1234" spans="4:12" x14ac:dyDescent="0.25">
      <c r="D1234">
        <f t="shared" si="38"/>
        <v>0</v>
      </c>
      <c r="H1234">
        <v>1232</v>
      </c>
      <c r="I1234" s="1">
        <v>46191</v>
      </c>
      <c r="J1234">
        <f t="array" ref="J1234">INDEX($D$3:$D$62,MATCH(1, (YEAR(I1234)=YEAR($A$3:$A$62))*(MONTH(I1234)=MONTH($A$3:$A$62)),0))</f>
        <v>44316.961248779342</v>
      </c>
      <c r="K1234">
        <f t="array" ref="K1234">INDEX($G$3:$G$200,MATCH(1, (YEAR(I1234)=YEAR($A$3:$A$2000))*(MONTH(I1234)=MONTH($A$3:$A$2000)),0))</f>
        <v>65182.437616448733</v>
      </c>
      <c r="L1234">
        <f t="shared" si="39"/>
        <v>44251.172605343978</v>
      </c>
    </row>
    <row r="1235" spans="4:12" x14ac:dyDescent="0.25">
      <c r="D1235">
        <f t="shared" si="38"/>
        <v>0</v>
      </c>
      <c r="H1235">
        <v>1233</v>
      </c>
      <c r="I1235" s="1">
        <v>46192</v>
      </c>
      <c r="J1235">
        <f t="array" ref="J1235">INDEX($D$3:$D$62,MATCH(1, (YEAR(I1235)=YEAR($A$3:$A$62))*(MONTH(I1235)=MONTH($A$3:$A$62)),0))</f>
        <v>44316.961248779342</v>
      </c>
      <c r="K1235">
        <f t="array" ref="K1235">INDEX($G$3:$G$200,MATCH(1, (YEAR(I1235)=YEAR($A$3:$A$2000))*(MONTH(I1235)=MONTH($A$3:$A$2000)),0))</f>
        <v>65182.437616448733</v>
      </c>
      <c r="L1235">
        <f t="shared" si="39"/>
        <v>44221.284604136978</v>
      </c>
    </row>
    <row r="1236" spans="4:12" x14ac:dyDescent="0.25">
      <c r="D1236">
        <f t="shared" si="38"/>
        <v>0</v>
      </c>
      <c r="H1236">
        <v>1234</v>
      </c>
      <c r="I1236" s="1">
        <v>46193</v>
      </c>
      <c r="J1236">
        <f t="array" ref="J1236">INDEX($D$3:$D$62,MATCH(1, (YEAR(I1236)=YEAR($A$3:$A$62))*(MONTH(I1236)=MONTH($A$3:$A$62)),0))</f>
        <v>44316.961248779342</v>
      </c>
      <c r="K1236">
        <f t="array" ref="K1236">INDEX($G$3:$G$200,MATCH(1, (YEAR(I1236)=YEAR($A$3:$A$2000))*(MONTH(I1236)=MONTH($A$3:$A$2000)),0))</f>
        <v>65182.437616448733</v>
      </c>
      <c r="L1236">
        <f t="shared" si="39"/>
        <v>44191.415793183987</v>
      </c>
    </row>
    <row r="1237" spans="4:12" x14ac:dyDescent="0.25">
      <c r="D1237">
        <f t="shared" si="38"/>
        <v>0</v>
      </c>
      <c r="H1237">
        <v>1235</v>
      </c>
      <c r="I1237" s="1">
        <v>46194</v>
      </c>
      <c r="J1237">
        <f t="array" ref="J1237">INDEX($D$3:$D$62,MATCH(1, (YEAR(I1237)=YEAR($A$3:$A$62))*(MONTH(I1237)=MONTH($A$3:$A$62)),0))</f>
        <v>44316.961248779342</v>
      </c>
      <c r="K1237">
        <f t="array" ref="K1237">INDEX($G$3:$G$200,MATCH(1, (YEAR(I1237)=YEAR($A$3:$A$2000))*(MONTH(I1237)=MONTH($A$3:$A$2000)),0))</f>
        <v>65182.437616448733</v>
      </c>
      <c r="L1237">
        <f t="shared" si="39"/>
        <v>44161.566105098987</v>
      </c>
    </row>
    <row r="1238" spans="4:12" x14ac:dyDescent="0.25">
      <c r="D1238">
        <f t="shared" si="38"/>
        <v>0</v>
      </c>
      <c r="H1238">
        <v>1236</v>
      </c>
      <c r="I1238" s="1">
        <v>46195</v>
      </c>
      <c r="J1238">
        <f t="array" ref="J1238">INDEX($D$3:$D$62,MATCH(1, (YEAR(I1238)=YEAR($A$3:$A$62))*(MONTH(I1238)=MONTH($A$3:$A$62)),0))</f>
        <v>44316.961248779342</v>
      </c>
      <c r="K1238">
        <f t="array" ref="K1238">INDEX($G$3:$G$200,MATCH(1, (YEAR(I1238)=YEAR($A$3:$A$2000))*(MONTH(I1238)=MONTH($A$3:$A$2000)),0))</f>
        <v>65182.437616448733</v>
      </c>
      <c r="L1238">
        <f t="shared" si="39"/>
        <v>44131.735472783999</v>
      </c>
    </row>
    <row r="1239" spans="4:12" x14ac:dyDescent="0.25">
      <c r="D1239">
        <f t="shared" si="38"/>
        <v>0</v>
      </c>
      <c r="H1239">
        <v>1237</v>
      </c>
      <c r="I1239" s="1">
        <v>46196</v>
      </c>
      <c r="J1239">
        <f t="array" ref="J1239">INDEX($D$3:$D$62,MATCH(1, (YEAR(I1239)=YEAR($A$3:$A$62))*(MONTH(I1239)=MONTH($A$3:$A$62)),0))</f>
        <v>44316.961248779342</v>
      </c>
      <c r="K1239">
        <f t="array" ref="K1239">INDEX($G$3:$G$200,MATCH(1, (YEAR(I1239)=YEAR($A$3:$A$2000))*(MONTH(I1239)=MONTH($A$3:$A$2000)),0))</f>
        <v>65182.437616448733</v>
      </c>
      <c r="L1239">
        <f t="shared" si="39"/>
        <v>44101.923829428997</v>
      </c>
    </row>
    <row r="1240" spans="4:12" x14ac:dyDescent="0.25">
      <c r="D1240">
        <f t="shared" si="38"/>
        <v>0</v>
      </c>
      <c r="H1240">
        <v>1238</v>
      </c>
      <c r="I1240" s="1">
        <v>46197</v>
      </c>
      <c r="J1240">
        <f t="array" ref="J1240">INDEX($D$3:$D$62,MATCH(1, (YEAR(I1240)=YEAR($A$3:$A$62))*(MONTH(I1240)=MONTH($A$3:$A$62)),0))</f>
        <v>44316.961248779342</v>
      </c>
      <c r="K1240">
        <f t="array" ref="K1240">INDEX($G$3:$G$200,MATCH(1, (YEAR(I1240)=YEAR($A$3:$A$2000))*(MONTH(I1240)=MONTH($A$3:$A$2000)),0))</f>
        <v>65182.437616448733</v>
      </c>
      <c r="L1240">
        <f t="shared" si="39"/>
        <v>44072.131108511967</v>
      </c>
    </row>
    <row r="1241" spans="4:12" x14ac:dyDescent="0.25">
      <c r="D1241">
        <f t="shared" si="38"/>
        <v>0</v>
      </c>
      <c r="H1241">
        <v>1239</v>
      </c>
      <c r="I1241" s="1">
        <v>46198</v>
      </c>
      <c r="J1241">
        <f t="array" ref="J1241">INDEX($D$3:$D$62,MATCH(1, (YEAR(I1241)=YEAR($A$3:$A$62))*(MONTH(I1241)=MONTH($A$3:$A$62)),0))</f>
        <v>44316.961248779342</v>
      </c>
      <c r="K1241">
        <f t="array" ref="K1241">INDEX($G$3:$G$200,MATCH(1, (YEAR(I1241)=YEAR($A$3:$A$2000))*(MONTH(I1241)=MONTH($A$3:$A$2000)),0))</f>
        <v>65182.437616448733</v>
      </c>
      <c r="L1241">
        <f t="shared" si="39"/>
        <v>44042.357243798935</v>
      </c>
    </row>
    <row r="1242" spans="4:12" x14ac:dyDescent="0.25">
      <c r="D1242">
        <f t="shared" si="38"/>
        <v>0</v>
      </c>
      <c r="H1242">
        <v>1240</v>
      </c>
      <c r="I1242" s="1">
        <v>46199</v>
      </c>
      <c r="J1242">
        <f t="array" ref="J1242">INDEX($D$3:$D$62,MATCH(1, (YEAR(I1242)=YEAR($A$3:$A$62))*(MONTH(I1242)=MONTH($A$3:$A$62)),0))</f>
        <v>44316.961248779342</v>
      </c>
      <c r="K1242">
        <f t="array" ref="K1242">INDEX($G$3:$G$200,MATCH(1, (YEAR(I1242)=YEAR($A$3:$A$2000))*(MONTH(I1242)=MONTH($A$3:$A$2000)),0))</f>
        <v>65182.437616448733</v>
      </c>
      <c r="L1242">
        <f t="shared" si="39"/>
        <v>44012.602169343969</v>
      </c>
    </row>
    <row r="1243" spans="4:12" x14ac:dyDescent="0.25">
      <c r="D1243">
        <f t="shared" si="38"/>
        <v>0</v>
      </c>
      <c r="H1243">
        <v>1241</v>
      </c>
      <c r="I1243" s="1">
        <v>46200</v>
      </c>
      <c r="J1243">
        <f t="array" ref="J1243">INDEX($D$3:$D$62,MATCH(1, (YEAR(I1243)=YEAR($A$3:$A$62))*(MONTH(I1243)=MONTH($A$3:$A$62)),0))</f>
        <v>44316.961248779342</v>
      </c>
      <c r="K1243">
        <f t="array" ref="K1243">INDEX($G$3:$G$200,MATCH(1, (YEAR(I1243)=YEAR($A$3:$A$2000))*(MONTH(I1243)=MONTH($A$3:$A$2000)),0))</f>
        <v>65182.437616448733</v>
      </c>
      <c r="L1243">
        <f t="shared" si="39"/>
        <v>43982.865819488972</v>
      </c>
    </row>
    <row r="1244" spans="4:12" x14ac:dyDescent="0.25">
      <c r="D1244">
        <f t="shared" si="38"/>
        <v>0</v>
      </c>
      <c r="H1244">
        <v>1242</v>
      </c>
      <c r="I1244" s="1">
        <v>46201</v>
      </c>
      <c r="J1244">
        <f t="array" ref="J1244">INDEX($D$3:$D$62,MATCH(1, (YEAR(I1244)=YEAR($A$3:$A$62))*(MONTH(I1244)=MONTH($A$3:$A$62)),0))</f>
        <v>44316.961248779342</v>
      </c>
      <c r="K1244">
        <f t="array" ref="K1244">INDEX($G$3:$G$200,MATCH(1, (YEAR(I1244)=YEAR($A$3:$A$2000))*(MONTH(I1244)=MONTH($A$3:$A$2000)),0))</f>
        <v>65182.437616448733</v>
      </c>
      <c r="L1244">
        <f t="shared" si="39"/>
        <v>43953.148128864006</v>
      </c>
    </row>
    <row r="1245" spans="4:12" x14ac:dyDescent="0.25">
      <c r="D1245">
        <f t="shared" si="38"/>
        <v>0</v>
      </c>
      <c r="H1245">
        <v>1243</v>
      </c>
      <c r="I1245" s="1">
        <v>46202</v>
      </c>
      <c r="J1245">
        <f t="array" ref="J1245">INDEX($D$3:$D$62,MATCH(1, (YEAR(I1245)=YEAR($A$3:$A$62))*(MONTH(I1245)=MONTH($A$3:$A$62)),0))</f>
        <v>44316.961248779342</v>
      </c>
      <c r="K1245">
        <f t="array" ref="K1245">INDEX($G$3:$G$200,MATCH(1, (YEAR(I1245)=YEAR($A$3:$A$2000))*(MONTH(I1245)=MONTH($A$3:$A$2000)),0))</f>
        <v>65182.437616448733</v>
      </c>
      <c r="L1245">
        <f t="shared" si="39"/>
        <v>43923.449032386969</v>
      </c>
    </row>
    <row r="1246" spans="4:12" x14ac:dyDescent="0.25">
      <c r="D1246">
        <f t="shared" si="38"/>
        <v>0</v>
      </c>
      <c r="H1246">
        <v>1244</v>
      </c>
      <c r="I1246" s="1">
        <v>46203</v>
      </c>
      <c r="J1246">
        <f t="array" ref="J1246">INDEX($D$3:$D$62,MATCH(1, (YEAR(I1246)=YEAR($A$3:$A$62))*(MONTH(I1246)=MONTH($A$3:$A$62)),0))</f>
        <v>44316.961248779342</v>
      </c>
      <c r="K1246">
        <f t="array" ref="K1246">INDEX($G$3:$G$200,MATCH(1, (YEAR(I1246)=YEAR($A$3:$A$2000))*(MONTH(I1246)=MONTH($A$3:$A$2000)),0))</f>
        <v>65182.437616448733</v>
      </c>
      <c r="L1246">
        <f t="shared" si="39"/>
        <v>43893.768465264002</v>
      </c>
    </row>
    <row r="1247" spans="4:12" x14ac:dyDescent="0.25">
      <c r="D1247">
        <f t="shared" si="38"/>
        <v>0</v>
      </c>
      <c r="H1247">
        <v>1245</v>
      </c>
      <c r="I1247" s="1">
        <v>46204</v>
      </c>
      <c r="J1247">
        <f t="array" ref="J1247">INDEX($D$3:$D$62,MATCH(1, (YEAR(I1247)=YEAR($A$3:$A$62))*(MONTH(I1247)=MONTH($A$3:$A$62)),0))</f>
        <v>43376.503143149908</v>
      </c>
      <c r="K1247">
        <f t="array" ref="K1247">INDEX($G$3:$G$200,MATCH(1, (YEAR(I1247)=YEAR($A$3:$A$2000))*(MONTH(I1247)=MONTH($A$3:$A$2000)),0))</f>
        <v>63736.160817196505</v>
      </c>
      <c r="L1247">
        <f t="shared" si="39"/>
        <v>43864.106362988998</v>
      </c>
    </row>
    <row r="1248" spans="4:12" x14ac:dyDescent="0.25">
      <c r="D1248">
        <f t="shared" si="38"/>
        <v>0</v>
      </c>
      <c r="H1248">
        <v>1246</v>
      </c>
      <c r="I1248" s="1">
        <v>46205</v>
      </c>
      <c r="J1248">
        <f t="array" ref="J1248">INDEX($D$3:$D$62,MATCH(1, (YEAR(I1248)=YEAR($A$3:$A$62))*(MONTH(I1248)=MONTH($A$3:$A$62)),0))</f>
        <v>43376.503143149908</v>
      </c>
      <c r="K1248">
        <f t="array" ref="K1248">INDEX($G$3:$G$200,MATCH(1, (YEAR(I1248)=YEAR($A$3:$A$2000))*(MONTH(I1248)=MONTH($A$3:$A$2000)),0))</f>
        <v>63736.160817196505</v>
      </c>
      <c r="L1248">
        <f t="shared" si="39"/>
        <v>43834.462661343976</v>
      </c>
    </row>
    <row r="1249" spans="4:12" x14ac:dyDescent="0.25">
      <c r="D1249">
        <f t="shared" si="38"/>
        <v>0</v>
      </c>
      <c r="H1249">
        <v>1247</v>
      </c>
      <c r="I1249" s="1">
        <v>46206</v>
      </c>
      <c r="J1249">
        <f t="array" ref="J1249">INDEX($D$3:$D$62,MATCH(1, (YEAR(I1249)=YEAR($A$3:$A$62))*(MONTH(I1249)=MONTH($A$3:$A$62)),0))</f>
        <v>43376.503143149908</v>
      </c>
      <c r="K1249">
        <f t="array" ref="K1249">INDEX($G$3:$G$200,MATCH(1, (YEAR(I1249)=YEAR($A$3:$A$2000))*(MONTH(I1249)=MONTH($A$3:$A$2000)),0))</f>
        <v>63736.160817196505</v>
      </c>
      <c r="L1249">
        <f t="shared" si="39"/>
        <v>43804.837296398968</v>
      </c>
    </row>
    <row r="1250" spans="4:12" x14ac:dyDescent="0.25">
      <c r="D1250">
        <f t="shared" si="38"/>
        <v>0</v>
      </c>
      <c r="H1250">
        <v>1248</v>
      </c>
      <c r="I1250" s="1">
        <v>46207</v>
      </c>
      <c r="J1250">
        <f t="array" ref="J1250">INDEX($D$3:$D$62,MATCH(1, (YEAR(I1250)=YEAR($A$3:$A$62))*(MONTH(I1250)=MONTH($A$3:$A$62)),0))</f>
        <v>43376.503143149908</v>
      </c>
      <c r="K1250">
        <f t="array" ref="K1250">INDEX($G$3:$G$200,MATCH(1, (YEAR(I1250)=YEAR($A$3:$A$2000))*(MONTH(I1250)=MONTH($A$3:$A$2000)),0))</f>
        <v>63736.160817196505</v>
      </c>
      <c r="L1250">
        <f t="shared" si="39"/>
        <v>43775.230204511987</v>
      </c>
    </row>
    <row r="1251" spans="4:12" x14ac:dyDescent="0.25">
      <c r="D1251">
        <f t="shared" si="38"/>
        <v>0</v>
      </c>
      <c r="H1251">
        <v>1249</v>
      </c>
      <c r="I1251" s="1">
        <v>46208</v>
      </c>
      <c r="J1251">
        <f t="array" ref="J1251">INDEX($D$3:$D$62,MATCH(1, (YEAR(I1251)=YEAR($A$3:$A$62))*(MONTH(I1251)=MONTH($A$3:$A$62)),0))</f>
        <v>43376.503143149908</v>
      </c>
      <c r="K1251">
        <f t="array" ref="K1251">INDEX($G$3:$G$200,MATCH(1, (YEAR(I1251)=YEAR($A$3:$A$2000))*(MONTH(I1251)=MONTH($A$3:$A$2000)),0))</f>
        <v>63736.160817196505</v>
      </c>
      <c r="L1251">
        <f t="shared" si="39"/>
        <v>43745.641322329</v>
      </c>
    </row>
    <row r="1252" spans="4:12" x14ac:dyDescent="0.25">
      <c r="D1252">
        <f t="shared" si="38"/>
        <v>0</v>
      </c>
      <c r="H1252">
        <v>1250</v>
      </c>
      <c r="I1252" s="1">
        <v>46209</v>
      </c>
      <c r="J1252">
        <f t="array" ref="J1252">INDEX($D$3:$D$62,MATCH(1, (YEAR(I1252)=YEAR($A$3:$A$62))*(MONTH(I1252)=MONTH($A$3:$A$62)),0))</f>
        <v>43376.503143149908</v>
      </c>
      <c r="K1252">
        <f t="array" ref="K1252">INDEX($G$3:$G$200,MATCH(1, (YEAR(I1252)=YEAR($A$3:$A$2000))*(MONTH(I1252)=MONTH($A$3:$A$2000)),0))</f>
        <v>63736.160817196505</v>
      </c>
      <c r="L1252">
        <f t="shared" si="39"/>
        <v>43716.070586783957</v>
      </c>
    </row>
    <row r="1253" spans="4:12" x14ac:dyDescent="0.25">
      <c r="D1253">
        <f t="shared" si="38"/>
        <v>0</v>
      </c>
      <c r="H1253">
        <v>1251</v>
      </c>
      <c r="I1253" s="1">
        <v>46210</v>
      </c>
      <c r="J1253">
        <f t="array" ref="J1253">INDEX($D$3:$D$62,MATCH(1, (YEAR(I1253)=YEAR($A$3:$A$62))*(MONTH(I1253)=MONTH($A$3:$A$62)),0))</f>
        <v>43376.503143149908</v>
      </c>
      <c r="K1253">
        <f t="array" ref="K1253">INDEX($G$3:$G$200,MATCH(1, (YEAR(I1253)=YEAR($A$3:$A$2000))*(MONTH(I1253)=MONTH($A$3:$A$2000)),0))</f>
        <v>63736.160817196505</v>
      </c>
      <c r="L1253">
        <f t="shared" si="39"/>
        <v>43686.517935098993</v>
      </c>
    </row>
    <row r="1254" spans="4:12" x14ac:dyDescent="0.25">
      <c r="D1254">
        <f t="shared" si="38"/>
        <v>0</v>
      </c>
      <c r="H1254">
        <v>1252</v>
      </c>
      <c r="I1254" s="1">
        <v>46211</v>
      </c>
      <c r="J1254">
        <f t="array" ref="J1254">INDEX($D$3:$D$62,MATCH(1, (YEAR(I1254)=YEAR($A$3:$A$62))*(MONTH(I1254)=MONTH($A$3:$A$62)),0))</f>
        <v>43376.503143149908</v>
      </c>
      <c r="K1254">
        <f t="array" ref="K1254">INDEX($G$3:$G$200,MATCH(1, (YEAR(I1254)=YEAR($A$3:$A$2000))*(MONTH(I1254)=MONTH($A$3:$A$2000)),0))</f>
        <v>63736.160817196505</v>
      </c>
      <c r="L1254">
        <f t="shared" si="39"/>
        <v>43656.983304783993</v>
      </c>
    </row>
    <row r="1255" spans="4:12" x14ac:dyDescent="0.25">
      <c r="D1255">
        <f t="shared" si="38"/>
        <v>0</v>
      </c>
      <c r="H1255">
        <v>1253</v>
      </c>
      <c r="I1255" s="1">
        <v>46212</v>
      </c>
      <c r="J1255">
        <f t="array" ref="J1255">INDEX($D$3:$D$62,MATCH(1, (YEAR(I1255)=YEAR($A$3:$A$62))*(MONTH(I1255)=MONTH($A$3:$A$62)),0))</f>
        <v>43376.503143149908</v>
      </c>
      <c r="K1255">
        <f t="array" ref="K1255">INDEX($G$3:$G$200,MATCH(1, (YEAR(I1255)=YEAR($A$3:$A$2000))*(MONTH(I1255)=MONTH($A$3:$A$2000)),0))</f>
        <v>63736.160817196505</v>
      </c>
      <c r="L1255">
        <f t="shared" si="39"/>
        <v>43627.466633636999</v>
      </c>
    </row>
    <row r="1256" spans="4:12" x14ac:dyDescent="0.25">
      <c r="D1256">
        <f t="shared" si="38"/>
        <v>0</v>
      </c>
      <c r="H1256">
        <v>1254</v>
      </c>
      <c r="I1256" s="1">
        <v>46213</v>
      </c>
      <c r="J1256">
        <f t="array" ref="J1256">INDEX($D$3:$D$62,MATCH(1, (YEAR(I1256)=YEAR($A$3:$A$62))*(MONTH(I1256)=MONTH($A$3:$A$62)),0))</f>
        <v>43376.503143149908</v>
      </c>
      <c r="K1256">
        <f t="array" ref="K1256">INDEX($G$3:$G$200,MATCH(1, (YEAR(I1256)=YEAR($A$3:$A$2000))*(MONTH(I1256)=MONTH($A$3:$A$2000)),0))</f>
        <v>63736.160817196505</v>
      </c>
      <c r="L1256">
        <f t="shared" si="39"/>
        <v>43597.967859743949</v>
      </c>
    </row>
    <row r="1257" spans="4:12" x14ac:dyDescent="0.25">
      <c r="D1257">
        <f t="shared" si="38"/>
        <v>0</v>
      </c>
      <c r="H1257">
        <v>1255</v>
      </c>
      <c r="I1257" s="1">
        <v>46214</v>
      </c>
      <c r="J1257">
        <f t="array" ref="J1257">INDEX($D$3:$D$62,MATCH(1, (YEAR(I1257)=YEAR($A$3:$A$62))*(MONTH(I1257)=MONTH($A$3:$A$62)),0))</f>
        <v>43376.503143149908</v>
      </c>
      <c r="K1257">
        <f t="array" ref="K1257">INDEX($G$3:$G$200,MATCH(1, (YEAR(I1257)=YEAR($A$3:$A$2000))*(MONTH(I1257)=MONTH($A$3:$A$2000)),0))</f>
        <v>63736.160817196505</v>
      </c>
      <c r="L1257">
        <f t="shared" si="39"/>
        <v>43568.486921478994</v>
      </c>
    </row>
    <row r="1258" spans="4:12" x14ac:dyDescent="0.25">
      <c r="D1258">
        <f t="shared" si="38"/>
        <v>0</v>
      </c>
      <c r="H1258">
        <v>1256</v>
      </c>
      <c r="I1258" s="1">
        <v>46215</v>
      </c>
      <c r="J1258">
        <f t="array" ref="J1258">INDEX($D$3:$D$62,MATCH(1, (YEAR(I1258)=YEAR($A$3:$A$62))*(MONTH(I1258)=MONTH($A$3:$A$62)),0))</f>
        <v>43376.503143149908</v>
      </c>
      <c r="K1258">
        <f t="array" ref="K1258">INDEX($G$3:$G$200,MATCH(1, (YEAR(I1258)=YEAR($A$3:$A$2000))*(MONTH(I1258)=MONTH($A$3:$A$2000)),0))</f>
        <v>63736.160817196505</v>
      </c>
      <c r="L1258">
        <f t="shared" si="39"/>
        <v>43539.023757503979</v>
      </c>
    </row>
    <row r="1259" spans="4:12" x14ac:dyDescent="0.25">
      <c r="D1259">
        <f t="shared" si="38"/>
        <v>0</v>
      </c>
      <c r="H1259">
        <v>1257</v>
      </c>
      <c r="I1259" s="1">
        <v>46216</v>
      </c>
      <c r="J1259">
        <f t="array" ref="J1259">INDEX($D$3:$D$62,MATCH(1, (YEAR(I1259)=YEAR($A$3:$A$62))*(MONTH(I1259)=MONTH($A$3:$A$62)),0))</f>
        <v>43376.503143149908</v>
      </c>
      <c r="K1259">
        <f t="array" ref="K1259">INDEX($G$3:$G$200,MATCH(1, (YEAR(I1259)=YEAR($A$3:$A$2000))*(MONTH(I1259)=MONTH($A$3:$A$2000)),0))</f>
        <v>63736.160817196505</v>
      </c>
      <c r="L1259">
        <f t="shared" si="39"/>
        <v>43509.578306768992</v>
      </c>
    </row>
    <row r="1260" spans="4:12" x14ac:dyDescent="0.25">
      <c r="D1260">
        <f t="shared" si="38"/>
        <v>0</v>
      </c>
      <c r="H1260">
        <v>1258</v>
      </c>
      <c r="I1260" s="1">
        <v>46217</v>
      </c>
      <c r="J1260">
        <f t="array" ref="J1260">INDEX($D$3:$D$62,MATCH(1, (YEAR(I1260)=YEAR($A$3:$A$62))*(MONTH(I1260)=MONTH($A$3:$A$62)),0))</f>
        <v>43376.503143149908</v>
      </c>
      <c r="K1260">
        <f t="array" ref="K1260">INDEX($G$3:$G$200,MATCH(1, (YEAR(I1260)=YEAR($A$3:$A$2000))*(MONTH(I1260)=MONTH($A$3:$A$2000)),0))</f>
        <v>63736.160817196505</v>
      </c>
      <c r="L1260">
        <f t="shared" si="39"/>
        <v>43480.150508511986</v>
      </c>
    </row>
    <row r="1261" spans="4:12" x14ac:dyDescent="0.25">
      <c r="D1261">
        <f t="shared" si="38"/>
        <v>0</v>
      </c>
      <c r="H1261">
        <v>1259</v>
      </c>
      <c r="I1261" s="1">
        <v>46218</v>
      </c>
      <c r="J1261">
        <f t="array" ref="J1261">INDEX($D$3:$D$62,MATCH(1, (YEAR(I1261)=YEAR($A$3:$A$62))*(MONTH(I1261)=MONTH($A$3:$A$62)),0))</f>
        <v>43376.503143149908</v>
      </c>
      <c r="K1261">
        <f t="array" ref="K1261">INDEX($G$3:$G$200,MATCH(1, (YEAR(I1261)=YEAR($A$3:$A$2000))*(MONTH(I1261)=MONTH($A$3:$A$2000)),0))</f>
        <v>63736.160817196505</v>
      </c>
      <c r="L1261">
        <f t="shared" si="39"/>
        <v>43450.740302258957</v>
      </c>
    </row>
    <row r="1262" spans="4:12" x14ac:dyDescent="0.25">
      <c r="D1262">
        <f t="shared" si="38"/>
        <v>0</v>
      </c>
      <c r="H1262">
        <v>1260</v>
      </c>
      <c r="I1262" s="1">
        <v>46219</v>
      </c>
      <c r="J1262">
        <f t="array" ref="J1262">INDEX($D$3:$D$62,MATCH(1, (YEAR(I1262)=YEAR($A$3:$A$62))*(MONTH(I1262)=MONTH($A$3:$A$62)),0))</f>
        <v>43376.503143149908</v>
      </c>
      <c r="K1262">
        <f t="array" ref="K1262">INDEX($G$3:$G$200,MATCH(1, (YEAR(I1262)=YEAR($A$3:$A$2000))*(MONTH(I1262)=MONTH($A$3:$A$2000)),0))</f>
        <v>63736.160817196505</v>
      </c>
      <c r="L1262">
        <f t="shared" si="39"/>
        <v>43421.347627823969</v>
      </c>
    </row>
    <row r="1263" spans="4:12" x14ac:dyDescent="0.25">
      <c r="D1263">
        <f t="shared" si="38"/>
        <v>0</v>
      </c>
      <c r="H1263">
        <v>1261</v>
      </c>
      <c r="I1263" s="1">
        <v>46220</v>
      </c>
      <c r="J1263">
        <f t="array" ref="J1263">INDEX($D$3:$D$62,MATCH(1, (YEAR(I1263)=YEAR($A$3:$A$62))*(MONTH(I1263)=MONTH($A$3:$A$62)),0))</f>
        <v>43376.503143149908</v>
      </c>
      <c r="K1263">
        <f t="array" ref="K1263">INDEX($G$3:$G$200,MATCH(1, (YEAR(I1263)=YEAR($A$3:$A$2000))*(MONTH(I1263)=MONTH($A$3:$A$2000)),0))</f>
        <v>63736.160817196505</v>
      </c>
      <c r="L1263">
        <f t="shared" si="39"/>
        <v>43391.972425308981</v>
      </c>
    </row>
    <row r="1264" spans="4:12" x14ac:dyDescent="0.25">
      <c r="D1264">
        <f t="shared" si="38"/>
        <v>0</v>
      </c>
      <c r="H1264">
        <v>1262</v>
      </c>
      <c r="I1264" s="1">
        <v>46221</v>
      </c>
      <c r="J1264">
        <f t="array" ref="J1264">INDEX($D$3:$D$62,MATCH(1, (YEAR(I1264)=YEAR($A$3:$A$62))*(MONTH(I1264)=MONTH($A$3:$A$62)),0))</f>
        <v>43376.503143149908</v>
      </c>
      <c r="K1264">
        <f t="array" ref="K1264">INDEX($G$3:$G$200,MATCH(1, (YEAR(I1264)=YEAR($A$3:$A$2000))*(MONTH(I1264)=MONTH($A$3:$A$2000)),0))</f>
        <v>63736.160817196505</v>
      </c>
      <c r="L1264">
        <f t="shared" si="39"/>
        <v>43362.614635103964</v>
      </c>
    </row>
    <row r="1265" spans="4:12" x14ac:dyDescent="0.25">
      <c r="D1265">
        <f t="shared" si="38"/>
        <v>0</v>
      </c>
      <c r="H1265">
        <v>1263</v>
      </c>
      <c r="I1265" s="1">
        <v>46222</v>
      </c>
      <c r="J1265">
        <f t="array" ref="J1265">INDEX($D$3:$D$62,MATCH(1, (YEAR(I1265)=YEAR($A$3:$A$62))*(MONTH(I1265)=MONTH($A$3:$A$62)),0))</f>
        <v>43376.503143149908</v>
      </c>
      <c r="K1265">
        <f t="array" ref="K1265">INDEX($G$3:$G$200,MATCH(1, (YEAR(I1265)=YEAR($A$3:$A$2000))*(MONTH(I1265)=MONTH($A$3:$A$2000)),0))</f>
        <v>63736.160817196505</v>
      </c>
      <c r="L1265">
        <f t="shared" si="39"/>
        <v>43333.274197886989</v>
      </c>
    </row>
    <row r="1266" spans="4:12" x14ac:dyDescent="0.25">
      <c r="D1266">
        <f t="shared" si="38"/>
        <v>0</v>
      </c>
      <c r="H1266">
        <v>1264</v>
      </c>
      <c r="I1266" s="1">
        <v>46223</v>
      </c>
      <c r="J1266">
        <f t="array" ref="J1266">INDEX($D$3:$D$62,MATCH(1, (YEAR(I1266)=YEAR($A$3:$A$62))*(MONTH(I1266)=MONTH($A$3:$A$62)),0))</f>
        <v>43376.503143149908</v>
      </c>
      <c r="K1266">
        <f t="array" ref="K1266">INDEX($G$3:$G$200,MATCH(1, (YEAR(I1266)=YEAR($A$3:$A$2000))*(MONTH(I1266)=MONTH($A$3:$A$2000)),0))</f>
        <v>63736.160817196505</v>
      </c>
      <c r="L1266">
        <f t="shared" si="39"/>
        <v>43303.951054623991</v>
      </c>
    </row>
    <row r="1267" spans="4:12" x14ac:dyDescent="0.25">
      <c r="D1267">
        <f t="shared" si="38"/>
        <v>0</v>
      </c>
      <c r="H1267">
        <v>1265</v>
      </c>
      <c r="I1267" s="1">
        <v>46224</v>
      </c>
      <c r="J1267">
        <f t="array" ref="J1267">INDEX($D$3:$D$62,MATCH(1, (YEAR(I1267)=YEAR($A$3:$A$62))*(MONTH(I1267)=MONTH($A$3:$A$62)),0))</f>
        <v>43376.503143149908</v>
      </c>
      <c r="K1267">
        <f t="array" ref="K1267">INDEX($G$3:$G$200,MATCH(1, (YEAR(I1267)=YEAR($A$3:$A$2000))*(MONTH(I1267)=MONTH($A$3:$A$2000)),0))</f>
        <v>63736.160817196505</v>
      </c>
      <c r="L1267">
        <f t="shared" si="39"/>
        <v>43274.645146569004</v>
      </c>
    </row>
    <row r="1268" spans="4:12" x14ac:dyDescent="0.25">
      <c r="D1268">
        <f t="shared" si="38"/>
        <v>0</v>
      </c>
      <c r="H1268">
        <v>1266</v>
      </c>
      <c r="I1268" s="1">
        <v>46225</v>
      </c>
      <c r="J1268">
        <f t="array" ref="J1268">INDEX($D$3:$D$62,MATCH(1, (YEAR(I1268)=YEAR($A$3:$A$62))*(MONTH(I1268)=MONTH($A$3:$A$62)),0))</f>
        <v>43376.503143149908</v>
      </c>
      <c r="K1268">
        <f t="array" ref="K1268">INDEX($G$3:$G$200,MATCH(1, (YEAR(I1268)=YEAR($A$3:$A$2000))*(MONTH(I1268)=MONTH($A$3:$A$2000)),0))</f>
        <v>63736.160817196505</v>
      </c>
      <c r="L1268">
        <f t="shared" si="39"/>
        <v>43245.356415263959</v>
      </c>
    </row>
    <row r="1269" spans="4:12" x14ac:dyDescent="0.25">
      <c r="D1269">
        <f t="shared" si="38"/>
        <v>0</v>
      </c>
      <c r="H1269">
        <v>1267</v>
      </c>
      <c r="I1269" s="1">
        <v>46226</v>
      </c>
      <c r="J1269">
        <f t="array" ref="J1269">INDEX($D$3:$D$62,MATCH(1, (YEAR(I1269)=YEAR($A$3:$A$62))*(MONTH(I1269)=MONTH($A$3:$A$62)),0))</f>
        <v>43376.503143149908</v>
      </c>
      <c r="K1269">
        <f t="array" ref="K1269">INDEX($G$3:$G$200,MATCH(1, (YEAR(I1269)=YEAR($A$3:$A$2000))*(MONTH(I1269)=MONTH($A$3:$A$2000)),0))</f>
        <v>63736.160817196505</v>
      </c>
      <c r="L1269">
        <f t="shared" si="39"/>
        <v>43216.084802539001</v>
      </c>
    </row>
    <row r="1270" spans="4:12" x14ac:dyDescent="0.25">
      <c r="D1270">
        <f t="shared" si="38"/>
        <v>0</v>
      </c>
      <c r="H1270">
        <v>1268</v>
      </c>
      <c r="I1270" s="1">
        <v>46227</v>
      </c>
      <c r="J1270">
        <f t="array" ref="J1270">INDEX($D$3:$D$62,MATCH(1, (YEAR(I1270)=YEAR($A$3:$A$62))*(MONTH(I1270)=MONTH($A$3:$A$62)),0))</f>
        <v>43376.503143149908</v>
      </c>
      <c r="K1270">
        <f t="array" ref="K1270">INDEX($G$3:$G$200,MATCH(1, (YEAR(I1270)=YEAR($A$3:$A$2000))*(MONTH(I1270)=MONTH($A$3:$A$2000)),0))</f>
        <v>63736.160817196505</v>
      </c>
      <c r="L1270">
        <f t="shared" si="39"/>
        <v>43186.830250511994</v>
      </c>
    </row>
    <row r="1271" spans="4:12" x14ac:dyDescent="0.25">
      <c r="D1271">
        <f t="shared" si="38"/>
        <v>0</v>
      </c>
      <c r="H1271">
        <v>1269</v>
      </c>
      <c r="I1271" s="1">
        <v>46228</v>
      </c>
      <c r="J1271">
        <f t="array" ref="J1271">INDEX($D$3:$D$62,MATCH(1, (YEAR(I1271)=YEAR($A$3:$A$62))*(MONTH(I1271)=MONTH($A$3:$A$62)),0))</f>
        <v>43376.503143149908</v>
      </c>
      <c r="K1271">
        <f t="array" ref="K1271">INDEX($G$3:$G$200,MATCH(1, (YEAR(I1271)=YEAR($A$3:$A$2000))*(MONTH(I1271)=MONTH($A$3:$A$2000)),0))</f>
        <v>63736.160817196505</v>
      </c>
      <c r="L1271">
        <f t="shared" si="39"/>
        <v>43157.59270158899</v>
      </c>
    </row>
    <row r="1272" spans="4:12" x14ac:dyDescent="0.25">
      <c r="D1272">
        <f t="shared" si="38"/>
        <v>0</v>
      </c>
      <c r="H1272">
        <v>1270</v>
      </c>
      <c r="I1272" s="1">
        <v>46229</v>
      </c>
      <c r="J1272">
        <f t="array" ref="J1272">INDEX($D$3:$D$62,MATCH(1, (YEAR(I1272)=YEAR($A$3:$A$62))*(MONTH(I1272)=MONTH($A$3:$A$62)),0))</f>
        <v>43376.503143149908</v>
      </c>
      <c r="K1272">
        <f t="array" ref="K1272">INDEX($G$3:$G$200,MATCH(1, (YEAR(I1272)=YEAR($A$3:$A$2000))*(MONTH(I1272)=MONTH($A$3:$A$2000)),0))</f>
        <v>63736.160817196505</v>
      </c>
      <c r="L1272">
        <f t="shared" si="39"/>
        <v>43128.372098463966</v>
      </c>
    </row>
    <row r="1273" spans="4:12" x14ac:dyDescent="0.25">
      <c r="D1273">
        <f t="shared" si="38"/>
        <v>0</v>
      </c>
      <c r="H1273">
        <v>1271</v>
      </c>
      <c r="I1273" s="1">
        <v>46230</v>
      </c>
      <c r="J1273">
        <f t="array" ref="J1273">INDEX($D$3:$D$62,MATCH(1, (YEAR(I1273)=YEAR($A$3:$A$62))*(MONTH(I1273)=MONTH($A$3:$A$62)),0))</f>
        <v>43376.503143149908</v>
      </c>
      <c r="K1273">
        <f t="array" ref="K1273">INDEX($G$3:$G$200,MATCH(1, (YEAR(I1273)=YEAR($A$3:$A$2000))*(MONTH(I1273)=MONTH($A$3:$A$2000)),0))</f>
        <v>63736.160817196505</v>
      </c>
      <c r="L1273">
        <f t="shared" si="39"/>
        <v>43099.168384118995</v>
      </c>
    </row>
    <row r="1274" spans="4:12" x14ac:dyDescent="0.25">
      <c r="D1274">
        <f t="shared" si="38"/>
        <v>0</v>
      </c>
      <c r="H1274">
        <v>1272</v>
      </c>
      <c r="I1274" s="1">
        <v>46231</v>
      </c>
      <c r="J1274">
        <f t="array" ref="J1274">INDEX($D$3:$D$62,MATCH(1, (YEAR(I1274)=YEAR($A$3:$A$62))*(MONTH(I1274)=MONTH($A$3:$A$62)),0))</f>
        <v>43376.503143149908</v>
      </c>
      <c r="K1274">
        <f t="array" ref="K1274">INDEX($G$3:$G$200,MATCH(1, (YEAR(I1274)=YEAR($A$3:$A$2000))*(MONTH(I1274)=MONTH($A$3:$A$2000)),0))</f>
        <v>63736.160817196505</v>
      </c>
      <c r="L1274">
        <f t="shared" si="39"/>
        <v>43069.98150182399</v>
      </c>
    </row>
    <row r="1275" spans="4:12" x14ac:dyDescent="0.25">
      <c r="D1275">
        <f t="shared" si="38"/>
        <v>0</v>
      </c>
      <c r="H1275">
        <v>1273</v>
      </c>
      <c r="I1275" s="1">
        <v>46232</v>
      </c>
      <c r="J1275">
        <f t="array" ref="J1275">INDEX($D$3:$D$62,MATCH(1, (YEAR(I1275)=YEAR($A$3:$A$62))*(MONTH(I1275)=MONTH($A$3:$A$62)),0))</f>
        <v>43376.503143149908</v>
      </c>
      <c r="K1275">
        <f t="array" ref="K1275">INDEX($G$3:$G$200,MATCH(1, (YEAR(I1275)=YEAR($A$3:$A$2000))*(MONTH(I1275)=MONTH($A$3:$A$2000)),0))</f>
        <v>63736.160817196505</v>
      </c>
      <c r="L1275">
        <f t="shared" si="39"/>
        <v>43040.811395136989</v>
      </c>
    </row>
    <row r="1276" spans="4:12" x14ac:dyDescent="0.25">
      <c r="D1276">
        <f t="shared" si="38"/>
        <v>0</v>
      </c>
      <c r="H1276">
        <v>1274</v>
      </c>
      <c r="I1276" s="1">
        <v>46233</v>
      </c>
      <c r="J1276">
        <f t="array" ref="J1276">INDEX($D$3:$D$62,MATCH(1, (YEAR(I1276)=YEAR($A$3:$A$62))*(MONTH(I1276)=MONTH($A$3:$A$62)),0))</f>
        <v>43376.503143149908</v>
      </c>
      <c r="K1276">
        <f t="array" ref="K1276">INDEX($G$3:$G$200,MATCH(1, (YEAR(I1276)=YEAR($A$3:$A$2000))*(MONTH(I1276)=MONTH($A$3:$A$2000)),0))</f>
        <v>63736.160817196505</v>
      </c>
      <c r="L1276">
        <f t="shared" si="39"/>
        <v>43011.658007903956</v>
      </c>
    </row>
    <row r="1277" spans="4:12" x14ac:dyDescent="0.25">
      <c r="D1277">
        <f t="shared" si="38"/>
        <v>0</v>
      </c>
      <c r="H1277">
        <v>1275</v>
      </c>
      <c r="I1277" s="1">
        <v>46234</v>
      </c>
      <c r="J1277">
        <f t="array" ref="J1277">INDEX($D$3:$D$62,MATCH(1, (YEAR(I1277)=YEAR($A$3:$A$62))*(MONTH(I1277)=MONTH($A$3:$A$62)),0))</f>
        <v>43376.503143149908</v>
      </c>
      <c r="K1277">
        <f t="array" ref="K1277">INDEX($G$3:$G$200,MATCH(1, (YEAR(I1277)=YEAR($A$3:$A$2000))*(MONTH(I1277)=MONTH($A$3:$A$2000)),0))</f>
        <v>63736.160817196505</v>
      </c>
      <c r="L1277">
        <f t="shared" si="39"/>
        <v>42982.521284259012</v>
      </c>
    </row>
    <row r="1278" spans="4:12" x14ac:dyDescent="0.25">
      <c r="D1278">
        <f t="shared" si="38"/>
        <v>0</v>
      </c>
      <c r="H1278">
        <v>1276</v>
      </c>
      <c r="I1278" s="1">
        <v>46235</v>
      </c>
      <c r="J1278">
        <f t="array" ref="J1278">INDEX($D$3:$D$62,MATCH(1, (YEAR(I1278)=YEAR($A$3:$A$62))*(MONTH(I1278)=MONTH($A$3:$A$62)),0))</f>
        <v>42272.938109709052</v>
      </c>
      <c r="K1278">
        <f t="array" ref="K1278">INDEX($G$3:$G$200,MATCH(1, (YEAR(I1278)=YEAR($A$3:$A$2000))*(MONTH(I1278)=MONTH($A$3:$A$2000)),0))</f>
        <v>62142.938983314845</v>
      </c>
      <c r="L1278">
        <f t="shared" si="39"/>
        <v>42953.401168623968</v>
      </c>
    </row>
    <row r="1279" spans="4:12" x14ac:dyDescent="0.25">
      <c r="D1279">
        <f t="shared" si="38"/>
        <v>0</v>
      </c>
      <c r="H1279">
        <v>1277</v>
      </c>
      <c r="I1279" s="1">
        <v>46236</v>
      </c>
      <c r="J1279">
        <f t="array" ref="J1279">INDEX($D$3:$D$62,MATCH(1, (YEAR(I1279)=YEAR($A$3:$A$62))*(MONTH(I1279)=MONTH($A$3:$A$62)),0))</f>
        <v>42272.938109709052</v>
      </c>
      <c r="K1279">
        <f t="array" ref="K1279">INDEX($G$3:$G$200,MATCH(1, (YEAR(I1279)=YEAR($A$3:$A$2000))*(MONTH(I1279)=MONTH($A$3:$A$2000)),0))</f>
        <v>62142.938983314845</v>
      </c>
      <c r="L1279">
        <f t="shared" si="39"/>
        <v>42924.297605708998</v>
      </c>
    </row>
    <row r="1280" spans="4:12" x14ac:dyDescent="0.25">
      <c r="D1280">
        <f t="shared" si="38"/>
        <v>0</v>
      </c>
      <c r="H1280">
        <v>1278</v>
      </c>
      <c r="I1280" s="1">
        <v>46237</v>
      </c>
      <c r="J1280">
        <f t="array" ref="J1280">INDEX($D$3:$D$62,MATCH(1, (YEAR(I1280)=YEAR($A$3:$A$62))*(MONTH(I1280)=MONTH($A$3:$A$62)),0))</f>
        <v>42272.938109709052</v>
      </c>
      <c r="K1280">
        <f t="array" ref="K1280">INDEX($G$3:$G$200,MATCH(1, (YEAR(I1280)=YEAR($A$3:$A$2000))*(MONTH(I1280)=MONTH($A$3:$A$2000)),0))</f>
        <v>62142.938983314845</v>
      </c>
      <c r="L1280">
        <f t="shared" si="39"/>
        <v>42895.210540511936</v>
      </c>
    </row>
    <row r="1281" spans="4:12" x14ac:dyDescent="0.25">
      <c r="D1281">
        <f t="shared" si="38"/>
        <v>0</v>
      </c>
      <c r="H1281">
        <v>1279</v>
      </c>
      <c r="I1281" s="1">
        <v>46238</v>
      </c>
      <c r="J1281">
        <f t="array" ref="J1281">INDEX($D$3:$D$62,MATCH(1, (YEAR(I1281)=YEAR($A$3:$A$62))*(MONTH(I1281)=MONTH($A$3:$A$62)),0))</f>
        <v>42272.938109709052</v>
      </c>
      <c r="K1281">
        <f t="array" ref="K1281">INDEX($G$3:$G$200,MATCH(1, (YEAR(I1281)=YEAR($A$3:$A$2000))*(MONTH(I1281)=MONTH($A$3:$A$2000)),0))</f>
        <v>62142.938983314845</v>
      </c>
      <c r="L1281">
        <f t="shared" si="39"/>
        <v>42866.13991831895</v>
      </c>
    </row>
    <row r="1282" spans="4:12" x14ac:dyDescent="0.25">
      <c r="D1282">
        <f t="shared" si="38"/>
        <v>0</v>
      </c>
      <c r="H1282">
        <v>1280</v>
      </c>
      <c r="I1282" s="1">
        <v>46239</v>
      </c>
      <c r="J1282">
        <f t="array" ref="J1282">INDEX($D$3:$D$62,MATCH(1, (YEAR(I1282)=YEAR($A$3:$A$62))*(MONTH(I1282)=MONTH($A$3:$A$62)),0))</f>
        <v>42272.938109709052</v>
      </c>
      <c r="K1282">
        <f t="array" ref="K1282">INDEX($G$3:$G$200,MATCH(1, (YEAR(I1282)=YEAR($A$3:$A$2000))*(MONTH(I1282)=MONTH($A$3:$A$2000)),0))</f>
        <v>62142.938983314845</v>
      </c>
      <c r="L1282">
        <f t="shared" si="39"/>
        <v>42837.085684704012</v>
      </c>
    </row>
    <row r="1283" spans="4:12" x14ac:dyDescent="0.25">
      <c r="D1283">
        <f t="shared" si="38"/>
        <v>0</v>
      </c>
      <c r="H1283">
        <v>1281</v>
      </c>
      <c r="I1283" s="1">
        <v>46240</v>
      </c>
      <c r="J1283">
        <f t="array" ref="J1283">INDEX($D$3:$D$62,MATCH(1, (YEAR(I1283)=YEAR($A$3:$A$62))*(MONTH(I1283)=MONTH($A$3:$A$62)),0))</f>
        <v>42272.938109709052</v>
      </c>
      <c r="K1283">
        <f t="array" ref="K1283">INDEX($G$3:$G$200,MATCH(1, (YEAR(I1283)=YEAR($A$3:$A$2000))*(MONTH(I1283)=MONTH($A$3:$A$2000)),0))</f>
        <v>62142.938983314845</v>
      </c>
      <c r="L1283">
        <f t="shared" si="39"/>
        <v>42808.047785528965</v>
      </c>
    </row>
    <row r="1284" spans="4:12" x14ac:dyDescent="0.25">
      <c r="D1284">
        <f t="shared" ref="D1284:D1347" si="40">SUM(B1284:C1284)</f>
        <v>0</v>
      </c>
      <c r="H1284">
        <v>1282</v>
      </c>
      <c r="I1284" s="1">
        <v>46241</v>
      </c>
      <c r="J1284">
        <f t="array" ref="J1284">INDEX($D$3:$D$62,MATCH(1, (YEAR(I1284)=YEAR($A$3:$A$62))*(MONTH(I1284)=MONTH($A$3:$A$62)),0))</f>
        <v>42272.938109709052</v>
      </c>
      <c r="K1284">
        <f t="array" ref="K1284">INDEX($G$3:$G$200,MATCH(1, (YEAR(I1284)=YEAR($A$3:$A$2000))*(MONTH(I1284)=MONTH($A$3:$A$2000)),0))</f>
        <v>62142.938983314845</v>
      </c>
      <c r="L1284">
        <f t="shared" ref="L1284:L1347" si="41">0.000000012*H1284^4-0.000070439*H1284^3+0.160688168*H1284^2-194.849290676*H1284+144481.718306784</f>
        <v>42779.026166943979</v>
      </c>
    </row>
    <row r="1285" spans="4:12" x14ac:dyDescent="0.25">
      <c r="D1285">
        <f t="shared" si="40"/>
        <v>0</v>
      </c>
      <c r="H1285">
        <v>1283</v>
      </c>
      <c r="I1285" s="1">
        <v>46242</v>
      </c>
      <c r="J1285">
        <f t="array" ref="J1285">INDEX($D$3:$D$62,MATCH(1, (YEAR(I1285)=YEAR($A$3:$A$62))*(MONTH(I1285)=MONTH($A$3:$A$62)),0))</f>
        <v>42272.938109709052</v>
      </c>
      <c r="K1285">
        <f t="array" ref="K1285">INDEX($G$3:$G$200,MATCH(1, (YEAR(I1285)=YEAR($A$3:$A$2000))*(MONTH(I1285)=MONTH($A$3:$A$2000)),0))</f>
        <v>62142.938983314845</v>
      </c>
      <c r="L1285">
        <f t="shared" si="41"/>
        <v>42750.020775386976</v>
      </c>
    </row>
    <row r="1286" spans="4:12" x14ac:dyDescent="0.25">
      <c r="D1286">
        <f t="shared" si="40"/>
        <v>0</v>
      </c>
      <c r="H1286">
        <v>1284</v>
      </c>
      <c r="I1286" s="1">
        <v>46243</v>
      </c>
      <c r="J1286">
        <f t="array" ref="J1286">INDEX($D$3:$D$62,MATCH(1, (YEAR(I1286)=YEAR($A$3:$A$62))*(MONTH(I1286)=MONTH($A$3:$A$62)),0))</f>
        <v>42272.938109709052</v>
      </c>
      <c r="K1286">
        <f t="array" ref="K1286">INDEX($G$3:$G$200,MATCH(1, (YEAR(I1286)=YEAR($A$3:$A$2000))*(MONTH(I1286)=MONTH($A$3:$A$2000)),0))</f>
        <v>62142.938983314845</v>
      </c>
      <c r="L1286">
        <f t="shared" si="41"/>
        <v>42721.031557583978</v>
      </c>
    </row>
    <row r="1287" spans="4:12" x14ac:dyDescent="0.25">
      <c r="D1287">
        <f t="shared" si="40"/>
        <v>0</v>
      </c>
      <c r="H1287">
        <v>1285</v>
      </c>
      <c r="I1287" s="1">
        <v>46244</v>
      </c>
      <c r="J1287">
        <f t="array" ref="J1287">INDEX($D$3:$D$62,MATCH(1, (YEAR(I1287)=YEAR($A$3:$A$62))*(MONTH(I1287)=MONTH($A$3:$A$62)),0))</f>
        <v>42272.938109709052</v>
      </c>
      <c r="K1287">
        <f t="array" ref="K1287">INDEX($G$3:$G$200,MATCH(1, (YEAR(I1287)=YEAR($A$3:$A$2000))*(MONTH(I1287)=MONTH($A$3:$A$2000)),0))</f>
        <v>62142.938983314845</v>
      </c>
      <c r="L1287">
        <f t="shared" si="41"/>
        <v>42692.058460549015</v>
      </c>
    </row>
    <row r="1288" spans="4:12" x14ac:dyDescent="0.25">
      <c r="D1288">
        <f t="shared" si="40"/>
        <v>0</v>
      </c>
      <c r="H1288">
        <v>1286</v>
      </c>
      <c r="I1288" s="1">
        <v>46245</v>
      </c>
      <c r="J1288">
        <f t="array" ref="J1288">INDEX($D$3:$D$62,MATCH(1, (YEAR(I1288)=YEAR($A$3:$A$62))*(MONTH(I1288)=MONTH($A$3:$A$62)),0))</f>
        <v>42272.938109709052</v>
      </c>
      <c r="K1288">
        <f t="array" ref="K1288">INDEX($G$3:$G$200,MATCH(1, (YEAR(I1288)=YEAR($A$3:$A$2000))*(MONTH(I1288)=MONTH($A$3:$A$2000)),0))</f>
        <v>62142.938983314845</v>
      </c>
      <c r="L1288">
        <f t="shared" si="41"/>
        <v>42663.101431583986</v>
      </c>
    </row>
    <row r="1289" spans="4:12" x14ac:dyDescent="0.25">
      <c r="D1289">
        <f t="shared" si="40"/>
        <v>0</v>
      </c>
      <c r="H1289">
        <v>1287</v>
      </c>
      <c r="I1289" s="1">
        <v>46246</v>
      </c>
      <c r="J1289">
        <f t="array" ref="J1289">INDEX($D$3:$D$62,MATCH(1, (YEAR(I1289)=YEAR($A$3:$A$62))*(MONTH(I1289)=MONTH($A$3:$A$62)),0))</f>
        <v>42272.938109709052</v>
      </c>
      <c r="K1289">
        <f t="array" ref="K1289">INDEX($G$3:$G$200,MATCH(1, (YEAR(I1289)=YEAR($A$3:$A$2000))*(MONTH(I1289)=MONTH($A$3:$A$2000)),0))</f>
        <v>62142.938983314845</v>
      </c>
      <c r="L1289">
        <f t="shared" si="41"/>
        <v>42634.160418278945</v>
      </c>
    </row>
    <row r="1290" spans="4:12" x14ac:dyDescent="0.25">
      <c r="D1290">
        <f t="shared" si="40"/>
        <v>0</v>
      </c>
      <c r="H1290">
        <v>1288</v>
      </c>
      <c r="I1290" s="1">
        <v>46247</v>
      </c>
      <c r="J1290">
        <f t="array" ref="J1290">INDEX($D$3:$D$62,MATCH(1, (YEAR(I1290)=YEAR($A$3:$A$62))*(MONTH(I1290)=MONTH($A$3:$A$62)),0))</f>
        <v>42272.938109709052</v>
      </c>
      <c r="K1290">
        <f t="array" ref="K1290">INDEX($G$3:$G$200,MATCH(1, (YEAR(I1290)=YEAR($A$3:$A$2000))*(MONTH(I1290)=MONTH($A$3:$A$2000)),0))</f>
        <v>62142.938983314845</v>
      </c>
      <c r="L1290">
        <f t="shared" si="41"/>
        <v>42605.235368511989</v>
      </c>
    </row>
    <row r="1291" spans="4:12" x14ac:dyDescent="0.25">
      <c r="D1291">
        <f t="shared" si="40"/>
        <v>0</v>
      </c>
      <c r="H1291">
        <v>1289</v>
      </c>
      <c r="I1291" s="1">
        <v>46248</v>
      </c>
      <c r="J1291">
        <f t="array" ref="J1291">INDEX($D$3:$D$62,MATCH(1, (YEAR(I1291)=YEAR($A$3:$A$62))*(MONTH(I1291)=MONTH($A$3:$A$62)),0))</f>
        <v>42272.938109709052</v>
      </c>
      <c r="K1291">
        <f t="array" ref="K1291">INDEX($G$3:$G$200,MATCH(1, (YEAR(I1291)=YEAR($A$3:$A$2000))*(MONTH(I1291)=MONTH($A$3:$A$2000)),0))</f>
        <v>62142.938983314845</v>
      </c>
      <c r="L1291">
        <f t="shared" si="41"/>
        <v>42576.326230448962</v>
      </c>
    </row>
    <row r="1292" spans="4:12" x14ac:dyDescent="0.25">
      <c r="D1292">
        <f t="shared" si="40"/>
        <v>0</v>
      </c>
      <c r="H1292">
        <v>1290</v>
      </c>
      <c r="I1292" s="1">
        <v>46249</v>
      </c>
      <c r="J1292">
        <f t="array" ref="J1292">INDEX($D$3:$D$62,MATCH(1, (YEAR(I1292)=YEAR($A$3:$A$62))*(MONTH(I1292)=MONTH($A$3:$A$62)),0))</f>
        <v>42272.938109709052</v>
      </c>
      <c r="K1292">
        <f t="array" ref="K1292">INDEX($G$3:$G$200,MATCH(1, (YEAR(I1292)=YEAR($A$3:$A$2000))*(MONTH(I1292)=MONTH($A$3:$A$2000)),0))</f>
        <v>62142.938983314845</v>
      </c>
      <c r="L1292">
        <f t="shared" si="41"/>
        <v>42547.432952544012</v>
      </c>
    </row>
    <row r="1293" spans="4:12" x14ac:dyDescent="0.25">
      <c r="D1293">
        <f t="shared" si="40"/>
        <v>0</v>
      </c>
      <c r="H1293">
        <v>1291</v>
      </c>
      <c r="I1293" s="1">
        <v>46250</v>
      </c>
      <c r="J1293">
        <f t="array" ref="J1293">INDEX($D$3:$D$62,MATCH(1, (YEAR(I1293)=YEAR($A$3:$A$62))*(MONTH(I1293)=MONTH($A$3:$A$62)),0))</f>
        <v>42272.938109709052</v>
      </c>
      <c r="K1293">
        <f t="array" ref="K1293">INDEX($G$3:$G$200,MATCH(1, (YEAR(I1293)=YEAR($A$3:$A$2000))*(MONTH(I1293)=MONTH($A$3:$A$2000)),0))</f>
        <v>62142.938983314845</v>
      </c>
      <c r="L1293">
        <f t="shared" si="41"/>
        <v>42518.555483538978</v>
      </c>
    </row>
    <row r="1294" spans="4:12" x14ac:dyDescent="0.25">
      <c r="D1294">
        <f t="shared" si="40"/>
        <v>0</v>
      </c>
      <c r="H1294">
        <v>1292</v>
      </c>
      <c r="I1294" s="1">
        <v>46251</v>
      </c>
      <c r="J1294">
        <f t="array" ref="J1294">INDEX($D$3:$D$62,MATCH(1, (YEAR(I1294)=YEAR($A$3:$A$62))*(MONTH(I1294)=MONTH($A$3:$A$62)),0))</f>
        <v>42272.938109709052</v>
      </c>
      <c r="K1294">
        <f t="array" ref="K1294">INDEX($G$3:$G$200,MATCH(1, (YEAR(I1294)=YEAR($A$3:$A$2000))*(MONTH(I1294)=MONTH($A$3:$A$2000)),0))</f>
        <v>62142.938983314845</v>
      </c>
      <c r="L1294">
        <f t="shared" si="41"/>
        <v>42489.693772463972</v>
      </c>
    </row>
    <row r="1295" spans="4:12" x14ac:dyDescent="0.25">
      <c r="D1295">
        <f t="shared" si="40"/>
        <v>0</v>
      </c>
      <c r="H1295">
        <v>1293</v>
      </c>
      <c r="I1295" s="1">
        <v>46252</v>
      </c>
      <c r="J1295">
        <f t="array" ref="J1295">INDEX($D$3:$D$62,MATCH(1, (YEAR(I1295)=YEAR($A$3:$A$62))*(MONTH(I1295)=MONTH($A$3:$A$62)),0))</f>
        <v>42272.938109709052</v>
      </c>
      <c r="K1295">
        <f t="array" ref="K1295">INDEX($G$3:$G$200,MATCH(1, (YEAR(I1295)=YEAR($A$3:$A$2000))*(MONTH(I1295)=MONTH($A$3:$A$2000)),0))</f>
        <v>62142.938983314845</v>
      </c>
      <c r="L1295">
        <f t="shared" si="41"/>
        <v>42460.847768637002</v>
      </c>
    </row>
    <row r="1296" spans="4:12" x14ac:dyDescent="0.25">
      <c r="D1296">
        <f t="shared" si="40"/>
        <v>0</v>
      </c>
      <c r="H1296">
        <v>1294</v>
      </c>
      <c r="I1296" s="1">
        <v>46253</v>
      </c>
      <c r="J1296">
        <f t="array" ref="J1296">INDEX($D$3:$D$62,MATCH(1, (YEAR(I1296)=YEAR($A$3:$A$62))*(MONTH(I1296)=MONTH($A$3:$A$62)),0))</f>
        <v>42272.938109709052</v>
      </c>
      <c r="K1296">
        <f t="array" ref="K1296">INDEX($G$3:$G$200,MATCH(1, (YEAR(I1296)=YEAR($A$3:$A$2000))*(MONTH(I1296)=MONTH($A$3:$A$2000)),0))</f>
        <v>62142.938983314845</v>
      </c>
      <c r="L1296">
        <f t="shared" si="41"/>
        <v>42432.017421663972</v>
      </c>
    </row>
    <row r="1297" spans="4:12" x14ac:dyDescent="0.25">
      <c r="D1297">
        <f t="shared" si="40"/>
        <v>0</v>
      </c>
      <c r="H1297">
        <v>1295</v>
      </c>
      <c r="I1297" s="1">
        <v>46254</v>
      </c>
      <c r="J1297">
        <f t="array" ref="J1297">INDEX($D$3:$D$62,MATCH(1, (YEAR(I1297)=YEAR($A$3:$A$62))*(MONTH(I1297)=MONTH($A$3:$A$62)),0))</f>
        <v>42272.938109709052</v>
      </c>
      <c r="K1297">
        <f t="array" ref="K1297">INDEX($G$3:$G$200,MATCH(1, (YEAR(I1297)=YEAR($A$3:$A$2000))*(MONTH(I1297)=MONTH($A$3:$A$2000)),0))</f>
        <v>62142.938983314845</v>
      </c>
      <c r="L1297">
        <f t="shared" si="41"/>
        <v>42403.202681438968</v>
      </c>
    </row>
    <row r="1298" spans="4:12" x14ac:dyDescent="0.25">
      <c r="D1298">
        <f t="shared" si="40"/>
        <v>0</v>
      </c>
      <c r="H1298">
        <v>1296</v>
      </c>
      <c r="I1298" s="1">
        <v>46255</v>
      </c>
      <c r="J1298">
        <f t="array" ref="J1298">INDEX($D$3:$D$62,MATCH(1, (YEAR(I1298)=YEAR($A$3:$A$62))*(MONTH(I1298)=MONTH($A$3:$A$62)),0))</f>
        <v>42272.938109709052</v>
      </c>
      <c r="K1298">
        <f t="array" ref="K1298">INDEX($G$3:$G$200,MATCH(1, (YEAR(I1298)=YEAR($A$3:$A$2000))*(MONTH(I1298)=MONTH($A$3:$A$2000)),0))</f>
        <v>62142.938983314845</v>
      </c>
      <c r="L1298">
        <f t="shared" si="41"/>
        <v>42374.403498143976</v>
      </c>
    </row>
    <row r="1299" spans="4:12" x14ac:dyDescent="0.25">
      <c r="D1299">
        <f t="shared" si="40"/>
        <v>0</v>
      </c>
      <c r="H1299">
        <v>1297</v>
      </c>
      <c r="I1299" s="1">
        <v>46256</v>
      </c>
      <c r="J1299">
        <f t="array" ref="J1299">INDEX($D$3:$D$62,MATCH(1, (YEAR(I1299)=YEAR($A$3:$A$62))*(MONTH(I1299)=MONTH($A$3:$A$62)),0))</f>
        <v>42272.938109709052</v>
      </c>
      <c r="K1299">
        <f t="array" ref="K1299">INDEX($G$3:$G$200,MATCH(1, (YEAR(I1299)=YEAR($A$3:$A$2000))*(MONTH(I1299)=MONTH($A$3:$A$2000)),0))</f>
        <v>62142.938983314845</v>
      </c>
      <c r="L1299">
        <f t="shared" si="41"/>
        <v>42345.619822248933</v>
      </c>
    </row>
    <row r="1300" spans="4:12" x14ac:dyDescent="0.25">
      <c r="D1300">
        <f t="shared" si="40"/>
        <v>0</v>
      </c>
      <c r="H1300">
        <v>1298</v>
      </c>
      <c r="I1300" s="1">
        <v>46257</v>
      </c>
      <c r="J1300">
        <f t="array" ref="J1300">INDEX($D$3:$D$62,MATCH(1, (YEAR(I1300)=YEAR($A$3:$A$62))*(MONTH(I1300)=MONTH($A$3:$A$62)),0))</f>
        <v>42272.938109709052</v>
      </c>
      <c r="K1300">
        <f t="array" ref="K1300">INDEX($G$3:$G$200,MATCH(1, (YEAR(I1300)=YEAR($A$3:$A$2000))*(MONTH(I1300)=MONTH($A$3:$A$2000)),0))</f>
        <v>62142.938983314845</v>
      </c>
      <c r="L1300">
        <f t="shared" si="41"/>
        <v>42316.851604511961</v>
      </c>
    </row>
    <row r="1301" spans="4:12" x14ac:dyDescent="0.25">
      <c r="D1301">
        <f t="shared" si="40"/>
        <v>0</v>
      </c>
      <c r="H1301">
        <v>1299</v>
      </c>
      <c r="I1301" s="1">
        <v>46258</v>
      </c>
      <c r="J1301">
        <f t="array" ref="J1301">INDEX($D$3:$D$62,MATCH(1, (YEAR(I1301)=YEAR($A$3:$A$62))*(MONTH(I1301)=MONTH($A$3:$A$62)),0))</f>
        <v>42272.938109709052</v>
      </c>
      <c r="K1301">
        <f t="array" ref="K1301">INDEX($G$3:$G$200,MATCH(1, (YEAR(I1301)=YEAR($A$3:$A$2000))*(MONTH(I1301)=MONTH($A$3:$A$2000)),0))</f>
        <v>62142.938983314845</v>
      </c>
      <c r="L1301">
        <f t="shared" si="41"/>
        <v>42288.098795978964</v>
      </c>
    </row>
    <row r="1302" spans="4:12" x14ac:dyDescent="0.25">
      <c r="D1302">
        <f t="shared" si="40"/>
        <v>0</v>
      </c>
      <c r="H1302">
        <v>1300</v>
      </c>
      <c r="I1302" s="1">
        <v>46259</v>
      </c>
      <c r="J1302">
        <f t="array" ref="J1302">INDEX($D$3:$D$62,MATCH(1, (YEAR(I1302)=YEAR($A$3:$A$62))*(MONTH(I1302)=MONTH($A$3:$A$62)),0))</f>
        <v>42272.938109709052</v>
      </c>
      <c r="K1302">
        <f t="array" ref="K1302">INDEX($G$3:$G$200,MATCH(1, (YEAR(I1302)=YEAR($A$3:$A$2000))*(MONTH(I1302)=MONTH($A$3:$A$2000)),0))</f>
        <v>62142.938983314845</v>
      </c>
      <c r="L1302">
        <f t="shared" si="41"/>
        <v>42259.36134798397</v>
      </c>
    </row>
    <row r="1303" spans="4:12" x14ac:dyDescent="0.25">
      <c r="D1303">
        <f t="shared" si="40"/>
        <v>0</v>
      </c>
      <c r="H1303">
        <v>1301</v>
      </c>
      <c r="I1303" s="1">
        <v>46260</v>
      </c>
      <c r="J1303">
        <f t="array" ref="J1303">INDEX($D$3:$D$62,MATCH(1, (YEAR(I1303)=YEAR($A$3:$A$62))*(MONTH(I1303)=MONTH($A$3:$A$62)),0))</f>
        <v>42272.938109709052</v>
      </c>
      <c r="K1303">
        <f t="array" ref="K1303">INDEX($G$3:$G$200,MATCH(1, (YEAR(I1303)=YEAR($A$3:$A$2000))*(MONTH(I1303)=MONTH($A$3:$A$2000)),0))</f>
        <v>62142.938983314845</v>
      </c>
      <c r="L1303">
        <f t="shared" si="41"/>
        <v>42230.639212148992</v>
      </c>
    </row>
    <row r="1304" spans="4:12" x14ac:dyDescent="0.25">
      <c r="D1304">
        <f t="shared" si="40"/>
        <v>0</v>
      </c>
      <c r="H1304">
        <v>1302</v>
      </c>
      <c r="I1304" s="1">
        <v>46261</v>
      </c>
      <c r="J1304">
        <f t="array" ref="J1304">INDEX($D$3:$D$62,MATCH(1, (YEAR(I1304)=YEAR($A$3:$A$62))*(MONTH(I1304)=MONTH($A$3:$A$62)),0))</f>
        <v>42272.938109709052</v>
      </c>
      <c r="K1304">
        <f t="array" ref="K1304">INDEX($G$3:$G$200,MATCH(1, (YEAR(I1304)=YEAR($A$3:$A$2000))*(MONTH(I1304)=MONTH($A$3:$A$2000)),0))</f>
        <v>62142.938983314845</v>
      </c>
      <c r="L1304">
        <f t="shared" si="41"/>
        <v>42201.932340383995</v>
      </c>
    </row>
    <row r="1305" spans="4:12" x14ac:dyDescent="0.25">
      <c r="D1305">
        <f t="shared" si="40"/>
        <v>0</v>
      </c>
      <c r="H1305">
        <v>1303</v>
      </c>
      <c r="I1305" s="1">
        <v>46262</v>
      </c>
      <c r="J1305">
        <f t="array" ref="J1305">INDEX($D$3:$D$62,MATCH(1, (YEAR(I1305)=YEAR($A$3:$A$62))*(MONTH(I1305)=MONTH($A$3:$A$62)),0))</f>
        <v>42272.938109709052</v>
      </c>
      <c r="K1305">
        <f t="array" ref="K1305">INDEX($G$3:$G$200,MATCH(1, (YEAR(I1305)=YEAR($A$3:$A$2000))*(MONTH(I1305)=MONTH($A$3:$A$2000)),0))</f>
        <v>62142.938983314845</v>
      </c>
      <c r="L1305">
        <f t="shared" si="41"/>
        <v>42173.240684886929</v>
      </c>
    </row>
    <row r="1306" spans="4:12" x14ac:dyDescent="0.25">
      <c r="D1306">
        <f t="shared" si="40"/>
        <v>0</v>
      </c>
      <c r="H1306">
        <v>1304</v>
      </c>
      <c r="I1306" s="1">
        <v>46263</v>
      </c>
      <c r="J1306">
        <f t="array" ref="J1306">INDEX($D$3:$D$62,MATCH(1, (YEAR(I1306)=YEAR($A$3:$A$62))*(MONTH(I1306)=MONTH($A$3:$A$62)),0))</f>
        <v>42272.938109709052</v>
      </c>
      <c r="K1306">
        <f t="array" ref="K1306">INDEX($G$3:$G$200,MATCH(1, (YEAR(I1306)=YEAR($A$3:$A$2000))*(MONTH(I1306)=MONTH($A$3:$A$2000)),0))</f>
        <v>62142.938983314845</v>
      </c>
      <c r="L1306">
        <f t="shared" si="41"/>
        <v>42144.564198143955</v>
      </c>
    </row>
    <row r="1307" spans="4:12" x14ac:dyDescent="0.25">
      <c r="D1307">
        <f t="shared" si="40"/>
        <v>0</v>
      </c>
      <c r="H1307">
        <v>1305</v>
      </c>
      <c r="I1307" s="1">
        <v>46264</v>
      </c>
      <c r="J1307">
        <f t="array" ref="J1307">INDEX($D$3:$D$62,MATCH(1, (YEAR(I1307)=YEAR($A$3:$A$62))*(MONTH(I1307)=MONTH($A$3:$A$62)),0))</f>
        <v>42272.938109709052</v>
      </c>
      <c r="K1307">
        <f t="array" ref="K1307">INDEX($G$3:$G$200,MATCH(1, (YEAR(I1307)=YEAR($A$3:$A$2000))*(MONTH(I1307)=MONTH($A$3:$A$2000)),0))</f>
        <v>62142.938983314845</v>
      </c>
      <c r="L1307">
        <f t="shared" si="41"/>
        <v>42115.902832928929</v>
      </c>
    </row>
    <row r="1308" spans="4:12" x14ac:dyDescent="0.25">
      <c r="D1308">
        <f t="shared" si="40"/>
        <v>0</v>
      </c>
      <c r="H1308">
        <v>1306</v>
      </c>
      <c r="I1308" s="1">
        <v>46265</v>
      </c>
      <c r="J1308">
        <f t="array" ref="J1308">INDEX($D$3:$D$62,MATCH(1, (YEAR(I1308)=YEAR($A$3:$A$62))*(MONTH(I1308)=MONTH($A$3:$A$62)),0))</f>
        <v>42272.938109709052</v>
      </c>
      <c r="K1308">
        <f t="array" ref="K1308">INDEX($G$3:$G$200,MATCH(1, (YEAR(I1308)=YEAR($A$3:$A$2000))*(MONTH(I1308)=MONTH($A$3:$A$2000)),0))</f>
        <v>62142.938983314845</v>
      </c>
      <c r="L1308">
        <f t="shared" si="41"/>
        <v>42087.256542304007</v>
      </c>
    </row>
    <row r="1309" spans="4:12" x14ac:dyDescent="0.25">
      <c r="D1309">
        <f t="shared" si="40"/>
        <v>0</v>
      </c>
      <c r="H1309">
        <v>1307</v>
      </c>
      <c r="I1309" s="1">
        <v>46266</v>
      </c>
      <c r="J1309">
        <f t="array" ref="J1309">INDEX($D$3:$D$62,MATCH(1, (YEAR(I1309)=YEAR($A$3:$A$62))*(MONTH(I1309)=MONTH($A$3:$A$62)),0))</f>
        <v>41492.821409687269</v>
      </c>
      <c r="K1309">
        <f t="array" ref="K1309">INDEX($G$3:$G$200,MATCH(1, (YEAR(I1309)=YEAR($A$3:$A$2000))*(MONTH(I1309)=MONTH($A$3:$A$2000)),0))</f>
        <v>60934.004559486813</v>
      </c>
      <c r="L1309">
        <f t="shared" si="41"/>
        <v>42058.62527961898</v>
      </c>
    </row>
    <row r="1310" spans="4:12" x14ac:dyDescent="0.25">
      <c r="D1310">
        <f t="shared" si="40"/>
        <v>0</v>
      </c>
      <c r="H1310">
        <v>1308</v>
      </c>
      <c r="I1310" s="1">
        <v>46267</v>
      </c>
      <c r="J1310">
        <f t="array" ref="J1310">INDEX($D$3:$D$62,MATCH(1, (YEAR(I1310)=YEAR($A$3:$A$62))*(MONTH(I1310)=MONTH($A$3:$A$62)),0))</f>
        <v>41492.821409687269</v>
      </c>
      <c r="K1310">
        <f t="array" ref="K1310">INDEX($G$3:$G$200,MATCH(1, (YEAR(I1310)=YEAR($A$3:$A$2000))*(MONTH(I1310)=MONTH($A$3:$A$2000)),0))</f>
        <v>60934.004559486813</v>
      </c>
      <c r="L1310">
        <f t="shared" si="41"/>
        <v>42030.008998511999</v>
      </c>
    </row>
    <row r="1311" spans="4:12" x14ac:dyDescent="0.25">
      <c r="D1311">
        <f t="shared" si="40"/>
        <v>0</v>
      </c>
      <c r="H1311">
        <v>1309</v>
      </c>
      <c r="I1311" s="1">
        <v>46268</v>
      </c>
      <c r="J1311">
        <f t="array" ref="J1311">INDEX($D$3:$D$62,MATCH(1, (YEAR(I1311)=YEAR($A$3:$A$62))*(MONTH(I1311)=MONTH($A$3:$A$62)),0))</f>
        <v>41492.821409687269</v>
      </c>
      <c r="K1311">
        <f t="array" ref="K1311">INDEX($G$3:$G$200,MATCH(1, (YEAR(I1311)=YEAR($A$3:$A$2000))*(MONTH(I1311)=MONTH($A$3:$A$2000)),0))</f>
        <v>60934.004559486813</v>
      </c>
      <c r="L1311">
        <f t="shared" si="41"/>
        <v>42001.407652908965</v>
      </c>
    </row>
    <row r="1312" spans="4:12" x14ac:dyDescent="0.25">
      <c r="D1312">
        <f t="shared" si="40"/>
        <v>0</v>
      </c>
      <c r="H1312">
        <v>1310</v>
      </c>
      <c r="I1312" s="1">
        <v>46269</v>
      </c>
      <c r="J1312">
        <f t="array" ref="J1312">INDEX($D$3:$D$62,MATCH(1, (YEAR(I1312)=YEAR($A$3:$A$62))*(MONTH(I1312)=MONTH($A$3:$A$62)),0))</f>
        <v>41492.821409687269</v>
      </c>
      <c r="K1312">
        <f t="array" ref="K1312">INDEX($G$3:$G$200,MATCH(1, (YEAR(I1312)=YEAR($A$3:$A$2000))*(MONTH(I1312)=MONTH($A$3:$A$2000)),0))</f>
        <v>60934.004559486813</v>
      </c>
      <c r="L1312">
        <f t="shared" si="41"/>
        <v>41972.821197023994</v>
      </c>
    </row>
    <row r="1313" spans="4:12" x14ac:dyDescent="0.25">
      <c r="D1313">
        <f t="shared" si="40"/>
        <v>0</v>
      </c>
      <c r="H1313">
        <v>1311</v>
      </c>
      <c r="I1313" s="1">
        <v>46270</v>
      </c>
      <c r="J1313">
        <f t="array" ref="J1313">INDEX($D$3:$D$62,MATCH(1, (YEAR(I1313)=YEAR($A$3:$A$62))*(MONTH(I1313)=MONTH($A$3:$A$62)),0))</f>
        <v>41492.821409687269</v>
      </c>
      <c r="K1313">
        <f t="array" ref="K1313">INDEX($G$3:$G$200,MATCH(1, (YEAR(I1313)=YEAR($A$3:$A$2000))*(MONTH(I1313)=MONTH($A$3:$A$2000)),0))</f>
        <v>60934.004559486813</v>
      </c>
      <c r="L1313">
        <f t="shared" si="41"/>
        <v>41944.249585359008</v>
      </c>
    </row>
    <row r="1314" spans="4:12" x14ac:dyDescent="0.25">
      <c r="D1314">
        <f t="shared" si="40"/>
        <v>0</v>
      </c>
      <c r="H1314">
        <v>1312</v>
      </c>
      <c r="I1314" s="1">
        <v>46271</v>
      </c>
      <c r="J1314">
        <f t="array" ref="J1314">INDEX($D$3:$D$62,MATCH(1, (YEAR(I1314)=YEAR($A$3:$A$62))*(MONTH(I1314)=MONTH($A$3:$A$62)),0))</f>
        <v>41492.821409687269</v>
      </c>
      <c r="K1314">
        <f t="array" ref="K1314">INDEX($G$3:$G$200,MATCH(1, (YEAR(I1314)=YEAR($A$3:$A$2000))*(MONTH(I1314)=MONTH($A$3:$A$2000)),0))</f>
        <v>60934.004559486813</v>
      </c>
      <c r="L1314">
        <f t="shared" si="41"/>
        <v>41915.692772704002</v>
      </c>
    </row>
    <row r="1315" spans="4:12" x14ac:dyDescent="0.25">
      <c r="D1315">
        <f t="shared" si="40"/>
        <v>0</v>
      </c>
      <c r="H1315">
        <v>1313</v>
      </c>
      <c r="I1315" s="1">
        <v>46272</v>
      </c>
      <c r="J1315">
        <f t="array" ref="J1315">INDEX($D$3:$D$62,MATCH(1, (YEAR(I1315)=YEAR($A$3:$A$62))*(MONTH(I1315)=MONTH($A$3:$A$62)),0))</f>
        <v>41492.821409687269</v>
      </c>
      <c r="K1315">
        <f t="array" ref="K1315">INDEX($G$3:$G$200,MATCH(1, (YEAR(I1315)=YEAR($A$3:$A$2000))*(MONTH(I1315)=MONTH($A$3:$A$2000)),0))</f>
        <v>60934.004559486813</v>
      </c>
      <c r="L1315">
        <f t="shared" si="41"/>
        <v>41887.150714137038</v>
      </c>
    </row>
    <row r="1316" spans="4:12" x14ac:dyDescent="0.25">
      <c r="D1316">
        <f t="shared" si="40"/>
        <v>0</v>
      </c>
      <c r="H1316">
        <v>1314</v>
      </c>
      <c r="I1316" s="1">
        <v>46273</v>
      </c>
      <c r="J1316">
        <f t="array" ref="J1316">INDEX($D$3:$D$62,MATCH(1, (YEAR(I1316)=YEAR($A$3:$A$62))*(MONTH(I1316)=MONTH($A$3:$A$62)),0))</f>
        <v>41492.821409687269</v>
      </c>
      <c r="K1316">
        <f t="array" ref="K1316">INDEX($G$3:$G$200,MATCH(1, (YEAR(I1316)=YEAR($A$3:$A$2000))*(MONTH(I1316)=MONTH($A$3:$A$2000)),0))</f>
        <v>60934.004559486813</v>
      </c>
      <c r="L1316">
        <f t="shared" si="41"/>
        <v>41858.623365023959</v>
      </c>
    </row>
    <row r="1317" spans="4:12" x14ac:dyDescent="0.25">
      <c r="D1317">
        <f t="shared" si="40"/>
        <v>0</v>
      </c>
      <c r="H1317">
        <v>1315</v>
      </c>
      <c r="I1317" s="1">
        <v>46274</v>
      </c>
      <c r="J1317">
        <f t="array" ref="J1317">INDEX($D$3:$D$62,MATCH(1, (YEAR(I1317)=YEAR($A$3:$A$62))*(MONTH(I1317)=MONTH($A$3:$A$62)),0))</f>
        <v>41492.821409687269</v>
      </c>
      <c r="K1317">
        <f t="array" ref="K1317">INDEX($G$3:$G$200,MATCH(1, (YEAR(I1317)=YEAR($A$3:$A$2000))*(MONTH(I1317)=MONTH($A$3:$A$2000)),0))</f>
        <v>60934.004559486813</v>
      </c>
      <c r="L1317">
        <f t="shared" si="41"/>
        <v>41830.110681018996</v>
      </c>
    </row>
    <row r="1318" spans="4:12" x14ac:dyDescent="0.25">
      <c r="D1318">
        <f t="shared" si="40"/>
        <v>0</v>
      </c>
      <c r="H1318">
        <v>1316</v>
      </c>
      <c r="I1318" s="1">
        <v>46275</v>
      </c>
      <c r="J1318">
        <f t="array" ref="J1318">INDEX($D$3:$D$62,MATCH(1, (YEAR(I1318)=YEAR($A$3:$A$62))*(MONTH(I1318)=MONTH($A$3:$A$62)),0))</f>
        <v>41492.821409687269</v>
      </c>
      <c r="K1318">
        <f t="array" ref="K1318">INDEX($G$3:$G$200,MATCH(1, (YEAR(I1318)=YEAR($A$3:$A$2000))*(MONTH(I1318)=MONTH($A$3:$A$2000)),0))</f>
        <v>60934.004559486813</v>
      </c>
      <c r="L1318">
        <f t="shared" si="41"/>
        <v>41801.612618063955</v>
      </c>
    </row>
    <row r="1319" spans="4:12" x14ac:dyDescent="0.25">
      <c r="D1319">
        <f t="shared" si="40"/>
        <v>0</v>
      </c>
      <c r="H1319">
        <v>1317</v>
      </c>
      <c r="I1319" s="1">
        <v>46276</v>
      </c>
      <c r="J1319">
        <f t="array" ref="J1319">INDEX($D$3:$D$62,MATCH(1, (YEAR(I1319)=YEAR($A$3:$A$62))*(MONTH(I1319)=MONTH($A$3:$A$62)),0))</f>
        <v>41492.821409687269</v>
      </c>
      <c r="K1319">
        <f t="array" ref="K1319">INDEX($G$3:$G$200,MATCH(1, (YEAR(I1319)=YEAR($A$3:$A$2000))*(MONTH(I1319)=MONTH($A$3:$A$2000)),0))</f>
        <v>60934.004559486813</v>
      </c>
      <c r="L1319">
        <f t="shared" si="41"/>
        <v>41773.129132389004</v>
      </c>
    </row>
    <row r="1320" spans="4:12" x14ac:dyDescent="0.25">
      <c r="D1320">
        <f t="shared" si="40"/>
        <v>0</v>
      </c>
      <c r="H1320">
        <v>1318</v>
      </c>
      <c r="I1320" s="1">
        <v>46277</v>
      </c>
      <c r="J1320">
        <f t="array" ref="J1320">INDEX($D$3:$D$62,MATCH(1, (YEAR(I1320)=YEAR($A$3:$A$62))*(MONTH(I1320)=MONTH($A$3:$A$62)),0))</f>
        <v>41492.821409687269</v>
      </c>
      <c r="K1320">
        <f t="array" ref="K1320">INDEX($G$3:$G$200,MATCH(1, (YEAR(I1320)=YEAR($A$3:$A$2000))*(MONTH(I1320)=MONTH($A$3:$A$2000)),0))</f>
        <v>60934.004559486813</v>
      </c>
      <c r="L1320">
        <f t="shared" si="41"/>
        <v>41744.660180511972</v>
      </c>
    </row>
    <row r="1321" spans="4:12" x14ac:dyDescent="0.25">
      <c r="D1321">
        <f t="shared" si="40"/>
        <v>0</v>
      </c>
      <c r="H1321">
        <v>1319</v>
      </c>
      <c r="I1321" s="1">
        <v>46278</v>
      </c>
      <c r="J1321">
        <f t="array" ref="J1321">INDEX($D$3:$D$62,MATCH(1, (YEAR(I1321)=YEAR($A$3:$A$62))*(MONTH(I1321)=MONTH($A$3:$A$62)),0))</f>
        <v>41492.821409687269</v>
      </c>
      <c r="K1321">
        <f t="array" ref="K1321">INDEX($G$3:$G$200,MATCH(1, (YEAR(I1321)=YEAR($A$3:$A$2000))*(MONTH(I1321)=MONTH($A$3:$A$2000)),0))</f>
        <v>60934.004559486813</v>
      </c>
      <c r="L1321">
        <f t="shared" si="41"/>
        <v>41716.205719238991</v>
      </c>
    </row>
    <row r="1322" spans="4:12" x14ac:dyDescent="0.25">
      <c r="D1322">
        <f t="shared" si="40"/>
        <v>0</v>
      </c>
      <c r="H1322">
        <v>1320</v>
      </c>
      <c r="I1322" s="1">
        <v>46279</v>
      </c>
      <c r="J1322">
        <f t="array" ref="J1322">INDEX($D$3:$D$62,MATCH(1, (YEAR(I1322)=YEAR($A$3:$A$62))*(MONTH(I1322)=MONTH($A$3:$A$62)),0))</f>
        <v>41492.821409687269</v>
      </c>
      <c r="K1322">
        <f t="array" ref="K1322">INDEX($G$3:$G$200,MATCH(1, (YEAR(I1322)=YEAR($A$3:$A$2000))*(MONTH(I1322)=MONTH($A$3:$A$2000)),0))</f>
        <v>60934.004559486813</v>
      </c>
      <c r="L1322">
        <f t="shared" si="41"/>
        <v>41687.765705664002</v>
      </c>
    </row>
    <row r="1323" spans="4:12" x14ac:dyDescent="0.25">
      <c r="D1323">
        <f t="shared" si="40"/>
        <v>0</v>
      </c>
      <c r="H1323">
        <v>1321</v>
      </c>
      <c r="I1323" s="1">
        <v>46280</v>
      </c>
      <c r="J1323">
        <f t="array" ref="J1323">INDEX($D$3:$D$62,MATCH(1, (YEAR(I1323)=YEAR($A$3:$A$62))*(MONTH(I1323)=MONTH($A$3:$A$62)),0))</f>
        <v>41492.821409687269</v>
      </c>
      <c r="K1323">
        <f t="array" ref="K1323">INDEX($G$3:$G$200,MATCH(1, (YEAR(I1323)=YEAR($A$3:$A$2000))*(MONTH(I1323)=MONTH($A$3:$A$2000)),0))</f>
        <v>60934.004559486813</v>
      </c>
      <c r="L1323">
        <f t="shared" si="41"/>
        <v>41659.340097169013</v>
      </c>
    </row>
    <row r="1324" spans="4:12" x14ac:dyDescent="0.25">
      <c r="D1324">
        <f t="shared" si="40"/>
        <v>0</v>
      </c>
      <c r="H1324">
        <v>1322</v>
      </c>
      <c r="I1324" s="1">
        <v>46281</v>
      </c>
      <c r="J1324">
        <f t="array" ref="J1324">INDEX($D$3:$D$62,MATCH(1, (YEAR(I1324)=YEAR($A$3:$A$62))*(MONTH(I1324)=MONTH($A$3:$A$62)),0))</f>
        <v>41492.821409687269</v>
      </c>
      <c r="K1324">
        <f t="array" ref="K1324">INDEX($G$3:$G$200,MATCH(1, (YEAR(I1324)=YEAR($A$3:$A$2000))*(MONTH(I1324)=MONTH($A$3:$A$2000)),0))</f>
        <v>60934.004559486813</v>
      </c>
      <c r="L1324">
        <f t="shared" si="41"/>
        <v>41630.928851423989</v>
      </c>
    </row>
    <row r="1325" spans="4:12" x14ac:dyDescent="0.25">
      <c r="D1325">
        <f t="shared" si="40"/>
        <v>0</v>
      </c>
      <c r="H1325">
        <v>1323</v>
      </c>
      <c r="I1325" s="1">
        <v>46282</v>
      </c>
      <c r="J1325">
        <f t="array" ref="J1325">INDEX($D$3:$D$62,MATCH(1, (YEAR(I1325)=YEAR($A$3:$A$62))*(MONTH(I1325)=MONTH($A$3:$A$62)),0))</f>
        <v>41492.821409687269</v>
      </c>
      <c r="K1325">
        <f t="array" ref="K1325">INDEX($G$3:$G$200,MATCH(1, (YEAR(I1325)=YEAR($A$3:$A$2000))*(MONTH(I1325)=MONTH($A$3:$A$2000)),0))</f>
        <v>60934.004559486813</v>
      </c>
      <c r="L1325">
        <f t="shared" si="41"/>
        <v>41602.53192638699</v>
      </c>
    </row>
    <row r="1326" spans="4:12" x14ac:dyDescent="0.25">
      <c r="D1326">
        <f t="shared" si="40"/>
        <v>0</v>
      </c>
      <c r="H1326">
        <v>1324</v>
      </c>
      <c r="I1326" s="1">
        <v>46283</v>
      </c>
      <c r="J1326">
        <f t="array" ref="J1326">INDEX($D$3:$D$62,MATCH(1, (YEAR(I1326)=YEAR($A$3:$A$62))*(MONTH(I1326)=MONTH($A$3:$A$62)),0))</f>
        <v>41492.821409687269</v>
      </c>
      <c r="K1326">
        <f t="array" ref="K1326">INDEX($G$3:$G$200,MATCH(1, (YEAR(I1326)=YEAR($A$3:$A$2000))*(MONTH(I1326)=MONTH($A$3:$A$2000)),0))</f>
        <v>60934.004559486813</v>
      </c>
      <c r="L1326">
        <f t="shared" si="41"/>
        <v>41574.149280304002</v>
      </c>
    </row>
    <row r="1327" spans="4:12" x14ac:dyDescent="0.25">
      <c r="D1327">
        <f t="shared" si="40"/>
        <v>0</v>
      </c>
      <c r="H1327">
        <v>1325</v>
      </c>
      <c r="I1327" s="1">
        <v>46284</v>
      </c>
      <c r="J1327">
        <f t="array" ref="J1327">INDEX($D$3:$D$62,MATCH(1, (YEAR(I1327)=YEAR($A$3:$A$62))*(MONTH(I1327)=MONTH($A$3:$A$62)),0))</f>
        <v>41492.821409687269</v>
      </c>
      <c r="K1327">
        <f t="array" ref="K1327">INDEX($G$3:$G$200,MATCH(1, (YEAR(I1327)=YEAR($A$3:$A$2000))*(MONTH(I1327)=MONTH($A$3:$A$2000)),0))</f>
        <v>60934.004559486813</v>
      </c>
      <c r="L1327">
        <f t="shared" si="41"/>
        <v>41545.780871708994</v>
      </c>
    </row>
    <row r="1328" spans="4:12" x14ac:dyDescent="0.25">
      <c r="D1328">
        <f t="shared" si="40"/>
        <v>0</v>
      </c>
      <c r="H1328">
        <v>1326</v>
      </c>
      <c r="I1328" s="1">
        <v>46285</v>
      </c>
      <c r="J1328">
        <f t="array" ref="J1328">INDEX($D$3:$D$62,MATCH(1, (YEAR(I1328)=YEAR($A$3:$A$62))*(MONTH(I1328)=MONTH($A$3:$A$62)),0))</f>
        <v>41492.821409687269</v>
      </c>
      <c r="K1328">
        <f t="array" ref="K1328">INDEX($G$3:$G$200,MATCH(1, (YEAR(I1328)=YEAR($A$3:$A$2000))*(MONTH(I1328)=MONTH($A$3:$A$2000)),0))</f>
        <v>60934.004559486813</v>
      </c>
      <c r="L1328">
        <f t="shared" si="41"/>
        <v>41517.426659423974</v>
      </c>
    </row>
    <row r="1329" spans="4:12" x14ac:dyDescent="0.25">
      <c r="D1329">
        <f t="shared" si="40"/>
        <v>0</v>
      </c>
      <c r="H1329">
        <v>1327</v>
      </c>
      <c r="I1329" s="1">
        <v>46286</v>
      </c>
      <c r="J1329">
        <f t="array" ref="J1329">INDEX($D$3:$D$62,MATCH(1, (YEAR(I1329)=YEAR($A$3:$A$62))*(MONTH(I1329)=MONTH($A$3:$A$62)),0))</f>
        <v>41492.821409687269</v>
      </c>
      <c r="K1329">
        <f t="array" ref="K1329">INDEX($G$3:$G$200,MATCH(1, (YEAR(I1329)=YEAR($A$3:$A$2000))*(MONTH(I1329)=MONTH($A$3:$A$2000)),0))</f>
        <v>60934.004559486813</v>
      </c>
      <c r="L1329">
        <f t="shared" si="41"/>
        <v>41489.086602558964</v>
      </c>
    </row>
    <row r="1330" spans="4:12" x14ac:dyDescent="0.25">
      <c r="D1330">
        <f t="shared" si="40"/>
        <v>0</v>
      </c>
      <c r="H1330">
        <v>1328</v>
      </c>
      <c r="I1330" s="1">
        <v>46287</v>
      </c>
      <c r="J1330">
        <f t="array" ref="J1330">INDEX($D$3:$D$62,MATCH(1, (YEAR(I1330)=YEAR($A$3:$A$62))*(MONTH(I1330)=MONTH($A$3:$A$62)),0))</f>
        <v>41492.821409687269</v>
      </c>
      <c r="K1330">
        <f t="array" ref="K1330">INDEX($G$3:$G$200,MATCH(1, (YEAR(I1330)=YEAR($A$3:$A$2000))*(MONTH(I1330)=MONTH($A$3:$A$2000)),0))</f>
        <v>60934.004559486813</v>
      </c>
      <c r="L1330">
        <f t="shared" si="41"/>
        <v>41460.760660511936</v>
      </c>
    </row>
    <row r="1331" spans="4:12" x14ac:dyDescent="0.25">
      <c r="D1331">
        <f t="shared" si="40"/>
        <v>0</v>
      </c>
      <c r="H1331">
        <v>1329</v>
      </c>
      <c r="I1331" s="1">
        <v>46288</v>
      </c>
      <c r="J1331">
        <f t="array" ref="J1331">INDEX($D$3:$D$62,MATCH(1, (YEAR(I1331)=YEAR($A$3:$A$62))*(MONTH(I1331)=MONTH($A$3:$A$62)),0))</f>
        <v>41492.821409687269</v>
      </c>
      <c r="K1331">
        <f t="array" ref="K1331">INDEX($G$3:$G$200,MATCH(1, (YEAR(I1331)=YEAR($A$3:$A$2000))*(MONTH(I1331)=MONTH($A$3:$A$2000)),0))</f>
        <v>60934.004559486813</v>
      </c>
      <c r="L1331">
        <f t="shared" si="41"/>
        <v>41432.448792969022</v>
      </c>
    </row>
    <row r="1332" spans="4:12" x14ac:dyDescent="0.25">
      <c r="D1332">
        <f t="shared" si="40"/>
        <v>0</v>
      </c>
      <c r="H1332">
        <v>1330</v>
      </c>
      <c r="I1332" s="1">
        <v>46289</v>
      </c>
      <c r="J1332">
        <f t="array" ref="J1332">INDEX($D$3:$D$62,MATCH(1, (YEAR(I1332)=YEAR($A$3:$A$62))*(MONTH(I1332)=MONTH($A$3:$A$62)),0))</f>
        <v>41492.821409687269</v>
      </c>
      <c r="K1332">
        <f t="array" ref="K1332">INDEX($G$3:$G$200,MATCH(1, (YEAR(I1332)=YEAR($A$3:$A$2000))*(MONTH(I1332)=MONTH($A$3:$A$2000)),0))</f>
        <v>60934.004559486813</v>
      </c>
      <c r="L1332">
        <f t="shared" si="41"/>
        <v>41404.150959903985</v>
      </c>
    </row>
    <row r="1333" spans="4:12" x14ac:dyDescent="0.25">
      <c r="D1333">
        <f t="shared" si="40"/>
        <v>0</v>
      </c>
      <c r="H1333">
        <v>1331</v>
      </c>
      <c r="I1333" s="1">
        <v>46290</v>
      </c>
      <c r="J1333">
        <f t="array" ref="J1333">INDEX($D$3:$D$62,MATCH(1, (YEAR(I1333)=YEAR($A$3:$A$62))*(MONTH(I1333)=MONTH($A$3:$A$62)),0))</f>
        <v>41492.821409687269</v>
      </c>
      <c r="K1333">
        <f t="array" ref="K1333">INDEX($G$3:$G$200,MATCH(1, (YEAR(I1333)=YEAR($A$3:$A$2000))*(MONTH(I1333)=MONTH($A$3:$A$2000)),0))</f>
        <v>60934.004559486813</v>
      </c>
      <c r="L1333">
        <f t="shared" si="41"/>
        <v>41375.86712157898</v>
      </c>
    </row>
    <row r="1334" spans="4:12" x14ac:dyDescent="0.25">
      <c r="D1334">
        <f t="shared" si="40"/>
        <v>0</v>
      </c>
      <c r="H1334">
        <v>1332</v>
      </c>
      <c r="I1334" s="1">
        <v>46291</v>
      </c>
      <c r="J1334">
        <f t="array" ref="J1334">INDEX($D$3:$D$62,MATCH(1, (YEAR(I1334)=YEAR($A$3:$A$62))*(MONTH(I1334)=MONTH($A$3:$A$62)),0))</f>
        <v>41492.821409687269</v>
      </c>
      <c r="K1334">
        <f t="array" ref="K1334">INDEX($G$3:$G$200,MATCH(1, (YEAR(I1334)=YEAR($A$3:$A$2000))*(MONTH(I1334)=MONTH($A$3:$A$2000)),0))</f>
        <v>60934.004559486813</v>
      </c>
      <c r="L1334">
        <f t="shared" si="41"/>
        <v>41347.597238543996</v>
      </c>
    </row>
    <row r="1335" spans="4:12" x14ac:dyDescent="0.25">
      <c r="D1335">
        <f t="shared" si="40"/>
        <v>0</v>
      </c>
      <c r="H1335">
        <v>1333</v>
      </c>
      <c r="I1335" s="1">
        <v>46292</v>
      </c>
      <c r="J1335">
        <f t="array" ref="J1335">INDEX($D$3:$D$62,MATCH(1, (YEAR(I1335)=YEAR($A$3:$A$62))*(MONTH(I1335)=MONTH($A$3:$A$62)),0))</f>
        <v>41492.821409687269</v>
      </c>
      <c r="K1335">
        <f t="array" ref="K1335">INDEX($G$3:$G$200,MATCH(1, (YEAR(I1335)=YEAR($A$3:$A$2000))*(MONTH(I1335)=MONTH($A$3:$A$2000)),0))</f>
        <v>60934.004559486813</v>
      </c>
      <c r="L1335">
        <f t="shared" si="41"/>
        <v>41319.341271637008</v>
      </c>
    </row>
    <row r="1336" spans="4:12" x14ac:dyDescent="0.25">
      <c r="D1336">
        <f t="shared" si="40"/>
        <v>0</v>
      </c>
      <c r="H1336">
        <v>1334</v>
      </c>
      <c r="I1336" s="1">
        <v>46293</v>
      </c>
      <c r="J1336">
        <f t="array" ref="J1336">INDEX($D$3:$D$62,MATCH(1, (YEAR(I1336)=YEAR($A$3:$A$62))*(MONTH(I1336)=MONTH($A$3:$A$62)),0))</f>
        <v>41492.821409687269</v>
      </c>
      <c r="K1336">
        <f t="array" ref="K1336">INDEX($G$3:$G$200,MATCH(1, (YEAR(I1336)=YEAR($A$3:$A$2000))*(MONTH(I1336)=MONTH($A$3:$A$2000)),0))</f>
        <v>60934.004559486813</v>
      </c>
      <c r="L1336">
        <f t="shared" si="41"/>
        <v>41291.099181983998</v>
      </c>
    </row>
    <row r="1337" spans="4:12" x14ac:dyDescent="0.25">
      <c r="D1337">
        <f t="shared" si="40"/>
        <v>0</v>
      </c>
      <c r="H1337">
        <v>1335</v>
      </c>
      <c r="I1337" s="1">
        <v>46294</v>
      </c>
      <c r="J1337">
        <f t="array" ref="J1337">INDEX($D$3:$D$62,MATCH(1, (YEAR(I1337)=YEAR($A$3:$A$62))*(MONTH(I1337)=MONTH($A$3:$A$62)),0))</f>
        <v>41492.821409687269</v>
      </c>
      <c r="K1337">
        <f t="array" ref="K1337">INDEX($G$3:$G$200,MATCH(1, (YEAR(I1337)=YEAR($A$3:$A$2000))*(MONTH(I1337)=MONTH($A$3:$A$2000)),0))</f>
        <v>60934.004559486813</v>
      </c>
      <c r="L1337">
        <f t="shared" si="41"/>
        <v>41262.870930998935</v>
      </c>
    </row>
    <row r="1338" spans="4:12" x14ac:dyDescent="0.25">
      <c r="D1338">
        <f t="shared" si="40"/>
        <v>0</v>
      </c>
      <c r="H1338">
        <v>1336</v>
      </c>
      <c r="I1338" s="1">
        <v>46295</v>
      </c>
      <c r="J1338">
        <f t="array" ref="J1338">INDEX($D$3:$D$62,MATCH(1, (YEAR(I1338)=YEAR($A$3:$A$62))*(MONTH(I1338)=MONTH($A$3:$A$62)),0))</f>
        <v>41492.821409687269</v>
      </c>
      <c r="K1338">
        <f t="array" ref="K1338">INDEX($G$3:$G$200,MATCH(1, (YEAR(I1338)=YEAR($A$3:$A$2000))*(MONTH(I1338)=MONTH($A$3:$A$2000)),0))</f>
        <v>60934.004559486813</v>
      </c>
      <c r="L1338">
        <f t="shared" si="41"/>
        <v>41234.656480383943</v>
      </c>
    </row>
    <row r="1339" spans="4:12" x14ac:dyDescent="0.25">
      <c r="D1339">
        <f t="shared" si="40"/>
        <v>0</v>
      </c>
      <c r="H1339">
        <v>1337</v>
      </c>
      <c r="I1339" s="1">
        <v>46296</v>
      </c>
      <c r="J1339">
        <f t="array" ref="J1339">INDEX($D$3:$D$62,MATCH(1, (YEAR(I1339)=YEAR($A$3:$A$62))*(MONTH(I1339)=MONTH($A$3:$A$62)),0))</f>
        <v>40731.850818513594</v>
      </c>
      <c r="K1339">
        <f t="array" ref="K1339">INDEX($G$3:$G$200,MATCH(1, (YEAR(I1339)=YEAR($A$3:$A$2000))*(MONTH(I1339)=MONTH($A$3:$A$2000)),0))</f>
        <v>59801.910629754399</v>
      </c>
      <c r="L1339">
        <f t="shared" si="41"/>
        <v>41206.455792128982</v>
      </c>
    </row>
    <row r="1340" spans="4:12" x14ac:dyDescent="0.25">
      <c r="D1340">
        <f t="shared" si="40"/>
        <v>0</v>
      </c>
      <c r="H1340">
        <v>1338</v>
      </c>
      <c r="I1340" s="1">
        <v>46297</v>
      </c>
      <c r="J1340">
        <f t="array" ref="J1340">INDEX($D$3:$D$62,MATCH(1, (YEAR(I1340)=YEAR($A$3:$A$62))*(MONTH(I1340)=MONTH($A$3:$A$62)),0))</f>
        <v>40731.850818513594</v>
      </c>
      <c r="K1340">
        <f t="array" ref="K1340">INDEX($G$3:$G$200,MATCH(1, (YEAR(I1340)=YEAR($A$3:$A$2000))*(MONTH(I1340)=MONTH($A$3:$A$2000)),0))</f>
        <v>59801.910629754399</v>
      </c>
      <c r="L1340">
        <f t="shared" si="41"/>
        <v>41178.268828511995</v>
      </c>
    </row>
    <row r="1341" spans="4:12" x14ac:dyDescent="0.25">
      <c r="D1341">
        <f t="shared" si="40"/>
        <v>0</v>
      </c>
      <c r="H1341">
        <v>1339</v>
      </c>
      <c r="I1341" s="1">
        <v>46298</v>
      </c>
      <c r="J1341">
        <f t="array" ref="J1341">INDEX($D$3:$D$62,MATCH(1, (YEAR(I1341)=YEAR($A$3:$A$62))*(MONTH(I1341)=MONTH($A$3:$A$62)),0))</f>
        <v>40731.850818513594</v>
      </c>
      <c r="K1341">
        <f t="array" ref="K1341">INDEX($G$3:$G$200,MATCH(1, (YEAR(I1341)=YEAR($A$3:$A$2000))*(MONTH(I1341)=MONTH($A$3:$A$2000)),0))</f>
        <v>59801.910629754399</v>
      </c>
      <c r="L1341">
        <f t="shared" si="41"/>
        <v>41150.095552098937</v>
      </c>
    </row>
    <row r="1342" spans="4:12" x14ac:dyDescent="0.25">
      <c r="D1342">
        <f t="shared" si="40"/>
        <v>0</v>
      </c>
      <c r="H1342">
        <v>1340</v>
      </c>
      <c r="I1342" s="1">
        <v>46299</v>
      </c>
      <c r="J1342">
        <f t="array" ref="J1342">INDEX($D$3:$D$62,MATCH(1, (YEAR(I1342)=YEAR($A$3:$A$62))*(MONTH(I1342)=MONTH($A$3:$A$62)),0))</f>
        <v>40731.850818513594</v>
      </c>
      <c r="K1342">
        <f t="array" ref="K1342">INDEX($G$3:$G$200,MATCH(1, (YEAR(I1342)=YEAR($A$3:$A$2000))*(MONTH(I1342)=MONTH($A$3:$A$2000)),0))</f>
        <v>59801.910629754399</v>
      </c>
      <c r="L1342">
        <f t="shared" si="41"/>
        <v>41121.935925743921</v>
      </c>
    </row>
    <row r="1343" spans="4:12" x14ac:dyDescent="0.25">
      <c r="D1343">
        <f t="shared" si="40"/>
        <v>0</v>
      </c>
      <c r="H1343">
        <v>1341</v>
      </c>
      <c r="I1343" s="1">
        <v>46300</v>
      </c>
      <c r="J1343">
        <f t="array" ref="J1343">INDEX($D$3:$D$62,MATCH(1, (YEAR(I1343)=YEAR($A$3:$A$62))*(MONTH(I1343)=MONTH($A$3:$A$62)),0))</f>
        <v>40731.850818513594</v>
      </c>
      <c r="K1343">
        <f t="array" ref="K1343">INDEX($G$3:$G$200,MATCH(1, (YEAR(I1343)=YEAR($A$3:$A$2000))*(MONTH(I1343)=MONTH($A$3:$A$2000)),0))</f>
        <v>59801.910629754399</v>
      </c>
      <c r="L1343">
        <f t="shared" si="41"/>
        <v>41093.789912589011</v>
      </c>
    </row>
    <row r="1344" spans="4:12" x14ac:dyDescent="0.25">
      <c r="D1344">
        <f t="shared" si="40"/>
        <v>0</v>
      </c>
      <c r="H1344">
        <v>1342</v>
      </c>
      <c r="I1344" s="1">
        <v>46301</v>
      </c>
      <c r="J1344">
        <f t="array" ref="J1344">INDEX($D$3:$D$62,MATCH(1, (YEAR(I1344)=YEAR($A$3:$A$62))*(MONTH(I1344)=MONTH($A$3:$A$62)),0))</f>
        <v>40731.850818513594</v>
      </c>
      <c r="K1344">
        <f t="array" ref="K1344">INDEX($G$3:$G$200,MATCH(1, (YEAR(I1344)=YEAR($A$3:$A$2000))*(MONTH(I1344)=MONTH($A$3:$A$2000)),0))</f>
        <v>59801.910629754399</v>
      </c>
      <c r="L1344">
        <f t="shared" si="41"/>
        <v>41065.657476064021</v>
      </c>
    </row>
    <row r="1345" spans="4:12" x14ac:dyDescent="0.25">
      <c r="D1345">
        <f t="shared" si="40"/>
        <v>0</v>
      </c>
      <c r="H1345">
        <v>1343</v>
      </c>
      <c r="I1345" s="1">
        <v>46302</v>
      </c>
      <c r="J1345">
        <f t="array" ref="J1345">INDEX($D$3:$D$62,MATCH(1, (YEAR(I1345)=YEAR($A$3:$A$62))*(MONTH(I1345)=MONTH($A$3:$A$62)),0))</f>
        <v>40731.850818513594</v>
      </c>
      <c r="K1345">
        <f t="array" ref="K1345">INDEX($G$3:$G$200,MATCH(1, (YEAR(I1345)=YEAR($A$3:$A$2000))*(MONTH(I1345)=MONTH($A$3:$A$2000)),0))</f>
        <v>59801.910629754399</v>
      </c>
      <c r="L1345">
        <f t="shared" si="41"/>
        <v>41037.538579887012</v>
      </c>
    </row>
    <row r="1346" spans="4:12" x14ac:dyDescent="0.25">
      <c r="D1346">
        <f t="shared" si="40"/>
        <v>0</v>
      </c>
      <c r="H1346">
        <v>1344</v>
      </c>
      <c r="I1346" s="1">
        <v>46303</v>
      </c>
      <c r="J1346">
        <f t="array" ref="J1346">INDEX($D$3:$D$62,MATCH(1, (YEAR(I1346)=YEAR($A$3:$A$62))*(MONTH(I1346)=MONTH($A$3:$A$62)),0))</f>
        <v>40731.850818513594</v>
      </c>
      <c r="K1346">
        <f t="array" ref="K1346">INDEX($G$3:$G$200,MATCH(1, (YEAR(I1346)=YEAR($A$3:$A$2000))*(MONTH(I1346)=MONTH($A$3:$A$2000)),0))</f>
        <v>59801.910629754399</v>
      </c>
      <c r="L1346">
        <f t="shared" si="41"/>
        <v>41009.433188063966</v>
      </c>
    </row>
    <row r="1347" spans="4:12" x14ac:dyDescent="0.25">
      <c r="D1347">
        <f t="shared" si="40"/>
        <v>0</v>
      </c>
      <c r="H1347">
        <v>1345</v>
      </c>
      <c r="I1347" s="1">
        <v>46304</v>
      </c>
      <c r="J1347">
        <f t="array" ref="J1347">INDEX($D$3:$D$62,MATCH(1, (YEAR(I1347)=YEAR($A$3:$A$62))*(MONTH(I1347)=MONTH($A$3:$A$62)),0))</f>
        <v>40731.850818513594</v>
      </c>
      <c r="K1347">
        <f t="array" ref="K1347">INDEX($G$3:$G$200,MATCH(1, (YEAR(I1347)=YEAR($A$3:$A$2000))*(MONTH(I1347)=MONTH($A$3:$A$2000)),0))</f>
        <v>59801.910629754399</v>
      </c>
      <c r="L1347">
        <f t="shared" si="41"/>
        <v>40981.341264889023</v>
      </c>
    </row>
    <row r="1348" spans="4:12" x14ac:dyDescent="0.25">
      <c r="D1348">
        <f t="shared" ref="D1348:D1411" si="42">SUM(B1348:C1348)</f>
        <v>0</v>
      </c>
      <c r="H1348">
        <v>1346</v>
      </c>
      <c r="I1348" s="1">
        <v>46305</v>
      </c>
      <c r="J1348">
        <f t="array" ref="J1348">INDEX($D$3:$D$62,MATCH(1, (YEAR(I1348)=YEAR($A$3:$A$62))*(MONTH(I1348)=MONTH($A$3:$A$62)),0))</f>
        <v>40731.850818513594</v>
      </c>
      <c r="K1348">
        <f t="array" ref="K1348">INDEX($G$3:$G$200,MATCH(1, (YEAR(I1348)=YEAR($A$3:$A$2000))*(MONTH(I1348)=MONTH($A$3:$A$2000)),0))</f>
        <v>59801.910629754399</v>
      </c>
      <c r="L1348">
        <f t="shared" ref="L1348:L1411" si="43">0.000000012*H1348^4-0.000070439*H1348^3+0.160688168*H1348^2-194.849290676*H1348+144481.718306784</f>
        <v>40953.262774944043</v>
      </c>
    </row>
    <row r="1349" spans="4:12" x14ac:dyDescent="0.25">
      <c r="D1349">
        <f t="shared" si="42"/>
        <v>0</v>
      </c>
      <c r="H1349">
        <v>1347</v>
      </c>
      <c r="I1349" s="1">
        <v>46306</v>
      </c>
      <c r="J1349">
        <f t="array" ref="J1349">INDEX($D$3:$D$62,MATCH(1, (YEAR(I1349)=YEAR($A$3:$A$62))*(MONTH(I1349)=MONTH($A$3:$A$62)),0))</f>
        <v>40731.850818513594</v>
      </c>
      <c r="K1349">
        <f t="array" ref="K1349">INDEX($G$3:$G$200,MATCH(1, (YEAR(I1349)=YEAR($A$3:$A$2000))*(MONTH(I1349)=MONTH($A$3:$A$2000)),0))</f>
        <v>59801.910629754399</v>
      </c>
      <c r="L1349">
        <f t="shared" si="43"/>
        <v>40925.197683099017</v>
      </c>
    </row>
    <row r="1350" spans="4:12" x14ac:dyDescent="0.25">
      <c r="D1350">
        <f t="shared" si="42"/>
        <v>0</v>
      </c>
      <c r="H1350">
        <v>1348</v>
      </c>
      <c r="I1350" s="1">
        <v>46307</v>
      </c>
      <c r="J1350">
        <f t="array" ref="J1350">INDEX($D$3:$D$62,MATCH(1, (YEAR(I1350)=YEAR($A$3:$A$62))*(MONTH(I1350)=MONTH($A$3:$A$62)),0))</f>
        <v>40731.850818513594</v>
      </c>
      <c r="K1350">
        <f t="array" ref="K1350">INDEX($G$3:$G$200,MATCH(1, (YEAR(I1350)=YEAR($A$3:$A$2000))*(MONTH(I1350)=MONTH($A$3:$A$2000)),0))</f>
        <v>59801.910629754399</v>
      </c>
      <c r="L1350">
        <f t="shared" si="43"/>
        <v>40897.145954511972</v>
      </c>
    </row>
    <row r="1351" spans="4:12" x14ac:dyDescent="0.25">
      <c r="D1351">
        <f t="shared" si="42"/>
        <v>0</v>
      </c>
      <c r="H1351">
        <v>1349</v>
      </c>
      <c r="I1351" s="1">
        <v>46308</v>
      </c>
      <c r="J1351">
        <f t="array" ref="J1351">INDEX($D$3:$D$62,MATCH(1, (YEAR(I1351)=YEAR($A$3:$A$62))*(MONTH(I1351)=MONTH($A$3:$A$62)),0))</f>
        <v>40731.850818513594</v>
      </c>
      <c r="K1351">
        <f t="array" ref="K1351">INDEX($G$3:$G$200,MATCH(1, (YEAR(I1351)=YEAR($A$3:$A$2000))*(MONTH(I1351)=MONTH($A$3:$A$2000)),0))</f>
        <v>59801.910629754399</v>
      </c>
      <c r="L1351">
        <f t="shared" si="43"/>
        <v>40869.107554628979</v>
      </c>
    </row>
    <row r="1352" spans="4:12" x14ac:dyDescent="0.25">
      <c r="D1352">
        <f t="shared" si="42"/>
        <v>0</v>
      </c>
      <c r="H1352">
        <v>1350</v>
      </c>
      <c r="I1352" s="1">
        <v>46309</v>
      </c>
      <c r="J1352">
        <f t="array" ref="J1352">INDEX($D$3:$D$62,MATCH(1, (YEAR(I1352)=YEAR($A$3:$A$62))*(MONTH(I1352)=MONTH($A$3:$A$62)),0))</f>
        <v>40731.850818513594</v>
      </c>
      <c r="K1352">
        <f t="array" ref="K1352">INDEX($G$3:$G$200,MATCH(1, (YEAR(I1352)=YEAR($A$3:$A$2000))*(MONTH(I1352)=MONTH($A$3:$A$2000)),0))</f>
        <v>59801.910629754399</v>
      </c>
      <c r="L1352">
        <f t="shared" si="43"/>
        <v>40841.082449183974</v>
      </c>
    </row>
    <row r="1353" spans="4:12" x14ac:dyDescent="0.25">
      <c r="D1353">
        <f t="shared" si="42"/>
        <v>0</v>
      </c>
      <c r="H1353">
        <v>1351</v>
      </c>
      <c r="I1353" s="1">
        <v>46310</v>
      </c>
      <c r="J1353">
        <f t="array" ref="J1353">INDEX($D$3:$D$62,MATCH(1, (YEAR(I1353)=YEAR($A$3:$A$62))*(MONTH(I1353)=MONTH($A$3:$A$62)),0))</f>
        <v>40731.850818513594</v>
      </c>
      <c r="K1353">
        <f t="array" ref="K1353">INDEX($G$3:$G$200,MATCH(1, (YEAR(I1353)=YEAR($A$3:$A$2000))*(MONTH(I1353)=MONTH($A$3:$A$2000)),0))</f>
        <v>59801.910629754399</v>
      </c>
      <c r="L1353">
        <f t="shared" si="43"/>
        <v>40813.070604198991</v>
      </c>
    </row>
    <row r="1354" spans="4:12" x14ac:dyDescent="0.25">
      <c r="D1354">
        <f t="shared" si="42"/>
        <v>0</v>
      </c>
      <c r="H1354">
        <v>1352</v>
      </c>
      <c r="I1354" s="1">
        <v>46311</v>
      </c>
      <c r="J1354">
        <f t="array" ref="J1354">INDEX($D$3:$D$62,MATCH(1, (YEAR(I1354)=YEAR($A$3:$A$62))*(MONTH(I1354)=MONTH($A$3:$A$62)),0))</f>
        <v>40731.850818513594</v>
      </c>
      <c r="K1354">
        <f t="array" ref="K1354">INDEX($G$3:$G$200,MATCH(1, (YEAR(I1354)=YEAR($A$3:$A$2000))*(MONTH(I1354)=MONTH($A$3:$A$2000)),0))</f>
        <v>59801.910629754399</v>
      </c>
      <c r="L1354">
        <f t="shared" si="43"/>
        <v>40785.071985983988</v>
      </c>
    </row>
    <row r="1355" spans="4:12" x14ac:dyDescent="0.25">
      <c r="D1355">
        <f t="shared" si="42"/>
        <v>0</v>
      </c>
      <c r="H1355">
        <v>1353</v>
      </c>
      <c r="I1355" s="1">
        <v>46312</v>
      </c>
      <c r="J1355">
        <f t="array" ref="J1355">INDEX($D$3:$D$62,MATCH(1, (YEAR(I1355)=YEAR($A$3:$A$62))*(MONTH(I1355)=MONTH($A$3:$A$62)),0))</f>
        <v>40731.850818513594</v>
      </c>
      <c r="K1355">
        <f t="array" ref="K1355">INDEX($G$3:$G$200,MATCH(1, (YEAR(I1355)=YEAR($A$3:$A$2000))*(MONTH(I1355)=MONTH($A$3:$A$2000)),0))</f>
        <v>59801.910629754399</v>
      </c>
      <c r="L1355">
        <f t="shared" si="43"/>
        <v>40757.086561136937</v>
      </c>
    </row>
    <row r="1356" spans="4:12" x14ac:dyDescent="0.25">
      <c r="D1356">
        <f t="shared" si="42"/>
        <v>0</v>
      </c>
      <c r="H1356">
        <v>1354</v>
      </c>
      <c r="I1356" s="1">
        <v>46313</v>
      </c>
      <c r="J1356">
        <f t="array" ref="J1356">INDEX($D$3:$D$62,MATCH(1, (YEAR(I1356)=YEAR($A$3:$A$62))*(MONTH(I1356)=MONTH($A$3:$A$62)),0))</f>
        <v>40731.850818513594</v>
      </c>
      <c r="K1356">
        <f t="array" ref="K1356">INDEX($G$3:$G$200,MATCH(1, (YEAR(I1356)=YEAR($A$3:$A$2000))*(MONTH(I1356)=MONTH($A$3:$A$2000)),0))</f>
        <v>59801.910629754399</v>
      </c>
      <c r="L1356">
        <f t="shared" si="43"/>
        <v>40729.114296543965</v>
      </c>
    </row>
    <row r="1357" spans="4:12" x14ac:dyDescent="0.25">
      <c r="D1357">
        <f t="shared" si="42"/>
        <v>0</v>
      </c>
      <c r="H1357">
        <v>1355</v>
      </c>
      <c r="I1357" s="1">
        <v>46314</v>
      </c>
      <c r="J1357">
        <f t="array" ref="J1357">INDEX($D$3:$D$62,MATCH(1, (YEAR(I1357)=YEAR($A$3:$A$62))*(MONTH(I1357)=MONTH($A$3:$A$62)),0))</f>
        <v>40731.850818513594</v>
      </c>
      <c r="K1357">
        <f t="array" ref="K1357">INDEX($G$3:$G$200,MATCH(1, (YEAR(I1357)=YEAR($A$3:$A$2000))*(MONTH(I1357)=MONTH($A$3:$A$2000)),0))</f>
        <v>59801.910629754399</v>
      </c>
      <c r="L1357">
        <f t="shared" si="43"/>
        <v>40701.155159379006</v>
      </c>
    </row>
    <row r="1358" spans="4:12" x14ac:dyDescent="0.25">
      <c r="D1358">
        <f t="shared" si="42"/>
        <v>0</v>
      </c>
      <c r="H1358">
        <v>1356</v>
      </c>
      <c r="I1358" s="1">
        <v>46315</v>
      </c>
      <c r="J1358">
        <f t="array" ref="J1358">INDEX($D$3:$D$62,MATCH(1, (YEAR(I1358)=YEAR($A$3:$A$62))*(MONTH(I1358)=MONTH($A$3:$A$62)),0))</f>
        <v>40731.850818513594</v>
      </c>
      <c r="K1358">
        <f t="array" ref="K1358">INDEX($G$3:$G$200,MATCH(1, (YEAR(I1358)=YEAR($A$3:$A$2000))*(MONTH(I1358)=MONTH($A$3:$A$2000)),0))</f>
        <v>59801.910629754399</v>
      </c>
      <c r="L1358">
        <f t="shared" si="43"/>
        <v>40673.209117103979</v>
      </c>
    </row>
    <row r="1359" spans="4:12" x14ac:dyDescent="0.25">
      <c r="D1359">
        <f t="shared" si="42"/>
        <v>0</v>
      </c>
      <c r="H1359">
        <v>1357</v>
      </c>
      <c r="I1359" s="1">
        <v>46316</v>
      </c>
      <c r="J1359">
        <f t="array" ref="J1359">INDEX($D$3:$D$62,MATCH(1, (YEAR(I1359)=YEAR($A$3:$A$62))*(MONTH(I1359)=MONTH($A$3:$A$62)),0))</f>
        <v>40731.850818513594</v>
      </c>
      <c r="K1359">
        <f t="array" ref="K1359">INDEX($G$3:$G$200,MATCH(1, (YEAR(I1359)=YEAR($A$3:$A$2000))*(MONTH(I1359)=MONTH($A$3:$A$2000)),0))</f>
        <v>59801.910629754399</v>
      </c>
      <c r="L1359">
        <f t="shared" si="43"/>
        <v>40645.276137468987</v>
      </c>
    </row>
    <row r="1360" spans="4:12" x14ac:dyDescent="0.25">
      <c r="D1360">
        <f t="shared" si="42"/>
        <v>0</v>
      </c>
      <c r="H1360">
        <v>1358</v>
      </c>
      <c r="I1360" s="1">
        <v>46317</v>
      </c>
      <c r="J1360">
        <f t="array" ref="J1360">INDEX($D$3:$D$62,MATCH(1, (YEAR(I1360)=YEAR($A$3:$A$62))*(MONTH(I1360)=MONTH($A$3:$A$62)),0))</f>
        <v>40731.850818513594</v>
      </c>
      <c r="K1360">
        <f t="array" ref="K1360">INDEX($G$3:$G$200,MATCH(1, (YEAR(I1360)=YEAR($A$3:$A$2000))*(MONTH(I1360)=MONTH($A$3:$A$2000)),0))</f>
        <v>59801.910629754399</v>
      </c>
      <c r="L1360">
        <f t="shared" si="43"/>
        <v>40617.356188511942</v>
      </c>
    </row>
    <row r="1361" spans="4:12" x14ac:dyDescent="0.25">
      <c r="D1361">
        <f t="shared" si="42"/>
        <v>0</v>
      </c>
      <c r="H1361">
        <v>1359</v>
      </c>
      <c r="I1361" s="1">
        <v>46318</v>
      </c>
      <c r="J1361">
        <f t="array" ref="J1361">INDEX($D$3:$D$62,MATCH(1, (YEAR(I1361)=YEAR($A$3:$A$62))*(MONTH(I1361)=MONTH($A$3:$A$62)),0))</f>
        <v>40731.850818513594</v>
      </c>
      <c r="K1361">
        <f t="array" ref="K1361">INDEX($G$3:$G$200,MATCH(1, (YEAR(I1361)=YEAR($A$3:$A$2000))*(MONTH(I1361)=MONTH($A$3:$A$2000)),0))</f>
        <v>59801.910629754399</v>
      </c>
      <c r="L1361">
        <f t="shared" si="43"/>
        <v>40589.44923855894</v>
      </c>
    </row>
    <row r="1362" spans="4:12" x14ac:dyDescent="0.25">
      <c r="D1362">
        <f t="shared" si="42"/>
        <v>0</v>
      </c>
      <c r="H1362">
        <v>1360</v>
      </c>
      <c r="I1362" s="1">
        <v>46319</v>
      </c>
      <c r="J1362">
        <f t="array" ref="J1362">INDEX($D$3:$D$62,MATCH(1, (YEAR(I1362)=YEAR($A$3:$A$62))*(MONTH(I1362)=MONTH($A$3:$A$62)),0))</f>
        <v>40731.850818513594</v>
      </c>
      <c r="K1362">
        <f t="array" ref="K1362">INDEX($G$3:$G$200,MATCH(1, (YEAR(I1362)=YEAR($A$3:$A$2000))*(MONTH(I1362)=MONTH($A$3:$A$2000)),0))</f>
        <v>59801.910629754399</v>
      </c>
      <c r="L1362">
        <f t="shared" si="43"/>
        <v>40561.555256223975</v>
      </c>
    </row>
    <row r="1363" spans="4:12" x14ac:dyDescent="0.25">
      <c r="D1363">
        <f t="shared" si="42"/>
        <v>0</v>
      </c>
      <c r="H1363">
        <v>1361</v>
      </c>
      <c r="I1363" s="1">
        <v>46320</v>
      </c>
      <c r="J1363">
        <f t="array" ref="J1363">INDEX($D$3:$D$62,MATCH(1, (YEAR(I1363)=YEAR($A$3:$A$62))*(MONTH(I1363)=MONTH($A$3:$A$62)),0))</f>
        <v>40731.850818513594</v>
      </c>
      <c r="K1363">
        <f t="array" ref="K1363">INDEX($G$3:$G$200,MATCH(1, (YEAR(I1363)=YEAR($A$3:$A$2000))*(MONTH(I1363)=MONTH($A$3:$A$2000)),0))</f>
        <v>59801.910629754399</v>
      </c>
      <c r="L1363">
        <f t="shared" si="43"/>
        <v>40533.674210408935</v>
      </c>
    </row>
    <row r="1364" spans="4:12" x14ac:dyDescent="0.25">
      <c r="D1364">
        <f t="shared" si="42"/>
        <v>0</v>
      </c>
      <c r="H1364">
        <v>1362</v>
      </c>
      <c r="I1364" s="1">
        <v>46321</v>
      </c>
      <c r="J1364">
        <f t="array" ref="J1364">INDEX($D$3:$D$62,MATCH(1, (YEAR(I1364)=YEAR($A$3:$A$62))*(MONTH(I1364)=MONTH($A$3:$A$62)),0))</f>
        <v>40731.850818513594</v>
      </c>
      <c r="K1364">
        <f t="array" ref="K1364">INDEX($G$3:$G$200,MATCH(1, (YEAR(I1364)=YEAR($A$3:$A$2000))*(MONTH(I1364)=MONTH($A$3:$A$2000)),0))</f>
        <v>59801.910629754399</v>
      </c>
      <c r="L1364">
        <f t="shared" si="43"/>
        <v>40505.806070303981</v>
      </c>
    </row>
    <row r="1365" spans="4:12" x14ac:dyDescent="0.25">
      <c r="D1365">
        <f t="shared" si="42"/>
        <v>0</v>
      </c>
      <c r="H1365">
        <v>1363</v>
      </c>
      <c r="I1365" s="1">
        <v>46322</v>
      </c>
      <c r="J1365">
        <f t="array" ref="J1365">INDEX($D$3:$D$62,MATCH(1, (YEAR(I1365)=YEAR($A$3:$A$62))*(MONTH(I1365)=MONTH($A$3:$A$62)),0))</f>
        <v>40731.850818513594</v>
      </c>
      <c r="K1365">
        <f t="array" ref="K1365">INDEX($G$3:$G$200,MATCH(1, (YEAR(I1365)=YEAR($A$3:$A$2000))*(MONTH(I1365)=MONTH($A$3:$A$2000)),0))</f>
        <v>59801.910629754399</v>
      </c>
      <c r="L1365">
        <f t="shared" si="43"/>
        <v>40477.950805386994</v>
      </c>
    </row>
    <row r="1366" spans="4:12" x14ac:dyDescent="0.25">
      <c r="D1366">
        <f t="shared" si="42"/>
        <v>0</v>
      </c>
      <c r="H1366">
        <v>1364</v>
      </c>
      <c r="I1366" s="1">
        <v>46323</v>
      </c>
      <c r="J1366">
        <f t="array" ref="J1366">INDEX($D$3:$D$62,MATCH(1, (YEAR(I1366)=YEAR($A$3:$A$62))*(MONTH(I1366)=MONTH($A$3:$A$62)),0))</f>
        <v>40731.850818513594</v>
      </c>
      <c r="K1366">
        <f t="array" ref="K1366">INDEX($G$3:$G$200,MATCH(1, (YEAR(I1366)=YEAR($A$3:$A$2000))*(MONTH(I1366)=MONTH($A$3:$A$2000)),0))</f>
        <v>59801.910629754399</v>
      </c>
      <c r="L1366">
        <f t="shared" si="43"/>
        <v>40450.108385423984</v>
      </c>
    </row>
    <row r="1367" spans="4:12" x14ac:dyDescent="0.25">
      <c r="D1367">
        <f t="shared" si="42"/>
        <v>0</v>
      </c>
      <c r="H1367">
        <v>1365</v>
      </c>
      <c r="I1367" s="1">
        <v>46324</v>
      </c>
      <c r="J1367">
        <f t="array" ref="J1367">INDEX($D$3:$D$62,MATCH(1, (YEAR(I1367)=YEAR($A$3:$A$62))*(MONTH(I1367)=MONTH($A$3:$A$62)),0))</f>
        <v>40731.850818513594</v>
      </c>
      <c r="K1367">
        <f t="array" ref="K1367">INDEX($G$3:$G$200,MATCH(1, (YEAR(I1367)=YEAR($A$3:$A$2000))*(MONTH(I1367)=MONTH($A$3:$A$2000)),0))</f>
        <v>59801.910629754399</v>
      </c>
      <c r="L1367">
        <f t="shared" si="43"/>
        <v>40422.278780469002</v>
      </c>
    </row>
    <row r="1368" spans="4:12" x14ac:dyDescent="0.25">
      <c r="D1368">
        <f t="shared" si="42"/>
        <v>0</v>
      </c>
      <c r="H1368">
        <v>1366</v>
      </c>
      <c r="I1368" s="1">
        <v>46325</v>
      </c>
      <c r="J1368">
        <f t="array" ref="J1368">INDEX($D$3:$D$62,MATCH(1, (YEAR(I1368)=YEAR($A$3:$A$62))*(MONTH(I1368)=MONTH($A$3:$A$62)),0))</f>
        <v>40731.850818513594</v>
      </c>
      <c r="K1368">
        <f t="array" ref="K1368">INDEX($G$3:$G$200,MATCH(1, (YEAR(I1368)=YEAR($A$3:$A$2000))*(MONTH(I1368)=MONTH($A$3:$A$2000)),0))</f>
        <v>59801.910629754399</v>
      </c>
      <c r="L1368">
        <f t="shared" si="43"/>
        <v>40394.461960863962</v>
      </c>
    </row>
    <row r="1369" spans="4:12" x14ac:dyDescent="0.25">
      <c r="D1369">
        <f t="shared" si="42"/>
        <v>0</v>
      </c>
      <c r="H1369">
        <v>1367</v>
      </c>
      <c r="I1369" s="1">
        <v>46326</v>
      </c>
      <c r="J1369">
        <f t="array" ref="J1369">INDEX($D$3:$D$62,MATCH(1, (YEAR(I1369)=YEAR($A$3:$A$62))*(MONTH(I1369)=MONTH($A$3:$A$62)),0))</f>
        <v>40731.850818513594</v>
      </c>
      <c r="K1369">
        <f t="array" ref="K1369">INDEX($G$3:$G$200,MATCH(1, (YEAR(I1369)=YEAR($A$3:$A$2000))*(MONTH(I1369)=MONTH($A$3:$A$2000)),0))</f>
        <v>59801.910629754399</v>
      </c>
      <c r="L1369">
        <f t="shared" si="43"/>
        <v>40366.657897238969</v>
      </c>
    </row>
    <row r="1370" spans="4:12" x14ac:dyDescent="0.25">
      <c r="D1370">
        <f t="shared" si="42"/>
        <v>0</v>
      </c>
      <c r="H1370">
        <v>1368</v>
      </c>
      <c r="I1370" s="1">
        <v>46327</v>
      </c>
      <c r="J1370">
        <f t="array" ref="J1370">INDEX($D$3:$D$62,MATCH(1, (YEAR(I1370)=YEAR($A$3:$A$62))*(MONTH(I1370)=MONTH($A$3:$A$62)),0))</f>
        <v>39184.754134810559</v>
      </c>
      <c r="K1370">
        <f t="array" ref="K1370">INDEX($G$3:$G$200,MATCH(1, (YEAR(I1370)=YEAR($A$3:$A$2000))*(MONTH(I1370)=MONTH($A$3:$A$2000)),0))</f>
        <v>57893.103591276449</v>
      </c>
      <c r="L1370">
        <f t="shared" si="43"/>
        <v>40338.86656051199</v>
      </c>
    </row>
    <row r="1371" spans="4:12" x14ac:dyDescent="0.25">
      <c r="D1371">
        <f t="shared" si="42"/>
        <v>0</v>
      </c>
      <c r="H1371">
        <v>1369</v>
      </c>
      <c r="I1371" s="1">
        <v>46328</v>
      </c>
      <c r="J1371">
        <f t="array" ref="J1371">INDEX($D$3:$D$62,MATCH(1, (YEAR(I1371)=YEAR($A$3:$A$62))*(MONTH(I1371)=MONTH($A$3:$A$62)),0))</f>
        <v>39184.754134810559</v>
      </c>
      <c r="K1371">
        <f t="array" ref="K1371">INDEX($G$3:$G$200,MATCH(1, (YEAR(I1371)=YEAR($A$3:$A$2000))*(MONTH(I1371)=MONTH($A$3:$A$2000)),0))</f>
        <v>57893.103591276449</v>
      </c>
      <c r="L1371">
        <f t="shared" si="43"/>
        <v>40311.087921888975</v>
      </c>
    </row>
    <row r="1372" spans="4:12" x14ac:dyDescent="0.25">
      <c r="D1372">
        <f t="shared" si="42"/>
        <v>0</v>
      </c>
      <c r="H1372">
        <v>1370</v>
      </c>
      <c r="I1372" s="1">
        <v>46329</v>
      </c>
      <c r="J1372">
        <f t="array" ref="J1372">INDEX($D$3:$D$62,MATCH(1, (YEAR(I1372)=YEAR($A$3:$A$62))*(MONTH(I1372)=MONTH($A$3:$A$62)),0))</f>
        <v>39184.754134810559</v>
      </c>
      <c r="K1372">
        <f t="array" ref="K1372">INDEX($G$3:$G$200,MATCH(1, (YEAR(I1372)=YEAR($A$3:$A$2000))*(MONTH(I1372)=MONTH($A$3:$A$2000)),0))</f>
        <v>57893.103591276449</v>
      </c>
      <c r="L1372">
        <f t="shared" si="43"/>
        <v>40283.321952863975</v>
      </c>
    </row>
    <row r="1373" spans="4:12" x14ac:dyDescent="0.25">
      <c r="D1373">
        <f t="shared" si="42"/>
        <v>0</v>
      </c>
      <c r="H1373">
        <v>1371</v>
      </c>
      <c r="I1373" s="1">
        <v>46330</v>
      </c>
      <c r="J1373">
        <f t="array" ref="J1373">INDEX($D$3:$D$62,MATCH(1, (YEAR(I1373)=YEAR($A$3:$A$62))*(MONTH(I1373)=MONTH($A$3:$A$62)),0))</f>
        <v>39184.754134810559</v>
      </c>
      <c r="K1373">
        <f t="array" ref="K1373">INDEX($G$3:$G$200,MATCH(1, (YEAR(I1373)=YEAR($A$3:$A$2000))*(MONTH(I1373)=MONTH($A$3:$A$2000)),0))</f>
        <v>57893.103591276449</v>
      </c>
      <c r="L1373">
        <f t="shared" si="43"/>
        <v>40255.568625218992</v>
      </c>
    </row>
    <row r="1374" spans="4:12" x14ac:dyDescent="0.25">
      <c r="D1374">
        <f t="shared" si="42"/>
        <v>0</v>
      </c>
      <c r="H1374">
        <v>1372</v>
      </c>
      <c r="I1374" s="1">
        <v>46331</v>
      </c>
      <c r="J1374">
        <f t="array" ref="J1374">INDEX($D$3:$D$62,MATCH(1, (YEAR(I1374)=YEAR($A$3:$A$62))*(MONTH(I1374)=MONTH($A$3:$A$62)),0))</f>
        <v>39184.754134810559</v>
      </c>
      <c r="K1374">
        <f t="array" ref="K1374">INDEX($G$3:$G$200,MATCH(1, (YEAR(I1374)=YEAR($A$3:$A$2000))*(MONTH(I1374)=MONTH($A$3:$A$2000)),0))</f>
        <v>57893.103591276449</v>
      </c>
      <c r="L1374">
        <f t="shared" si="43"/>
        <v>40227.827911023982</v>
      </c>
    </row>
    <row r="1375" spans="4:12" x14ac:dyDescent="0.25">
      <c r="D1375">
        <f t="shared" si="42"/>
        <v>0</v>
      </c>
      <c r="H1375">
        <v>1373</v>
      </c>
      <c r="I1375" s="1">
        <v>46332</v>
      </c>
      <c r="J1375">
        <f t="array" ref="J1375">INDEX($D$3:$D$62,MATCH(1, (YEAR(I1375)=YEAR($A$3:$A$62))*(MONTH(I1375)=MONTH($A$3:$A$62)),0))</f>
        <v>39184.754134810559</v>
      </c>
      <c r="K1375">
        <f t="array" ref="K1375">INDEX($G$3:$G$200,MATCH(1, (YEAR(I1375)=YEAR($A$3:$A$2000))*(MONTH(I1375)=MONTH($A$3:$A$2000)),0))</f>
        <v>57893.103591276449</v>
      </c>
      <c r="L1375">
        <f t="shared" si="43"/>
        <v>40200.099782637029</v>
      </c>
    </row>
    <row r="1376" spans="4:12" x14ac:dyDescent="0.25">
      <c r="D1376">
        <f t="shared" si="42"/>
        <v>0</v>
      </c>
      <c r="H1376">
        <v>1374</v>
      </c>
      <c r="I1376" s="1">
        <v>46333</v>
      </c>
      <c r="J1376">
        <f t="array" ref="J1376">INDEX($D$3:$D$62,MATCH(1, (YEAR(I1376)=YEAR($A$3:$A$62))*(MONTH(I1376)=MONTH($A$3:$A$62)),0))</f>
        <v>39184.754134810559</v>
      </c>
      <c r="K1376">
        <f t="array" ref="K1376">INDEX($G$3:$G$200,MATCH(1, (YEAR(I1376)=YEAR($A$3:$A$2000))*(MONTH(I1376)=MONTH($A$3:$A$2000)),0))</f>
        <v>57893.103591276449</v>
      </c>
      <c r="L1376">
        <f t="shared" si="43"/>
        <v>40172.384212703968</v>
      </c>
    </row>
    <row r="1377" spans="4:12" x14ac:dyDescent="0.25">
      <c r="D1377">
        <f t="shared" si="42"/>
        <v>0</v>
      </c>
      <c r="H1377">
        <v>1375</v>
      </c>
      <c r="I1377" s="1">
        <v>46334</v>
      </c>
      <c r="J1377">
        <f t="array" ref="J1377">INDEX($D$3:$D$62,MATCH(1, (YEAR(I1377)=YEAR($A$3:$A$62))*(MONTH(I1377)=MONTH($A$3:$A$62)),0))</f>
        <v>39184.754134810559</v>
      </c>
      <c r="K1377">
        <f t="array" ref="K1377">INDEX($G$3:$G$200,MATCH(1, (YEAR(I1377)=YEAR($A$3:$A$2000))*(MONTH(I1377)=MONTH($A$3:$A$2000)),0))</f>
        <v>57893.103591276449</v>
      </c>
      <c r="L1377">
        <f t="shared" si="43"/>
        <v>40144.681174158963</v>
      </c>
    </row>
    <row r="1378" spans="4:12" x14ac:dyDescent="0.25">
      <c r="D1378">
        <f t="shared" si="42"/>
        <v>0</v>
      </c>
      <c r="H1378">
        <v>1376</v>
      </c>
      <c r="I1378" s="1">
        <v>46335</v>
      </c>
      <c r="J1378">
        <f t="array" ref="J1378">INDEX($D$3:$D$62,MATCH(1, (YEAR(I1378)=YEAR($A$3:$A$62))*(MONTH(I1378)=MONTH($A$3:$A$62)),0))</f>
        <v>39184.754134810559</v>
      </c>
      <c r="K1378">
        <f t="array" ref="K1378">INDEX($G$3:$G$200,MATCH(1, (YEAR(I1378)=YEAR($A$3:$A$2000))*(MONTH(I1378)=MONTH($A$3:$A$2000)),0))</f>
        <v>57893.103591276449</v>
      </c>
      <c r="L1378">
        <f t="shared" si="43"/>
        <v>40116.990640223958</v>
      </c>
    </row>
    <row r="1379" spans="4:12" x14ac:dyDescent="0.25">
      <c r="D1379">
        <f t="shared" si="42"/>
        <v>0</v>
      </c>
      <c r="H1379">
        <v>1377</v>
      </c>
      <c r="I1379" s="1">
        <v>46336</v>
      </c>
      <c r="J1379">
        <f t="array" ref="J1379">INDEX($D$3:$D$62,MATCH(1, (YEAR(I1379)=YEAR($A$3:$A$62))*(MONTH(I1379)=MONTH($A$3:$A$62)),0))</f>
        <v>39184.754134810559</v>
      </c>
      <c r="K1379">
        <f t="array" ref="K1379">INDEX($G$3:$G$200,MATCH(1, (YEAR(I1379)=YEAR($A$3:$A$2000))*(MONTH(I1379)=MONTH($A$3:$A$2000)),0))</f>
        <v>57893.103591276449</v>
      </c>
      <c r="L1379">
        <f t="shared" si="43"/>
        <v>40089.312584408995</v>
      </c>
    </row>
    <row r="1380" spans="4:12" x14ac:dyDescent="0.25">
      <c r="D1380">
        <f t="shared" si="42"/>
        <v>0</v>
      </c>
      <c r="H1380">
        <v>1378</v>
      </c>
      <c r="I1380" s="1">
        <v>46337</v>
      </c>
      <c r="J1380">
        <f t="array" ref="J1380">INDEX($D$3:$D$62,MATCH(1, (YEAR(I1380)=YEAR($A$3:$A$62))*(MONTH(I1380)=MONTH($A$3:$A$62)),0))</f>
        <v>39184.754134810559</v>
      </c>
      <c r="K1380">
        <f t="array" ref="K1380">INDEX($G$3:$G$200,MATCH(1, (YEAR(I1380)=YEAR($A$3:$A$2000))*(MONTH(I1380)=MONTH($A$3:$A$2000)),0))</f>
        <v>57893.103591276449</v>
      </c>
      <c r="L1380">
        <f t="shared" si="43"/>
        <v>40061.646980511956</v>
      </c>
    </row>
    <row r="1381" spans="4:12" x14ac:dyDescent="0.25">
      <c r="D1381">
        <f t="shared" si="42"/>
        <v>0</v>
      </c>
      <c r="H1381">
        <v>1379</v>
      </c>
      <c r="I1381" s="1">
        <v>46338</v>
      </c>
      <c r="J1381">
        <f t="array" ref="J1381">INDEX($D$3:$D$62,MATCH(1, (YEAR(I1381)=YEAR($A$3:$A$62))*(MONTH(I1381)=MONTH($A$3:$A$62)),0))</f>
        <v>39184.754134810559</v>
      </c>
      <c r="K1381">
        <f t="array" ref="K1381">INDEX($G$3:$G$200,MATCH(1, (YEAR(I1381)=YEAR($A$3:$A$2000))*(MONTH(I1381)=MONTH($A$3:$A$2000)),0))</f>
        <v>57893.103591276449</v>
      </c>
      <c r="L1381">
        <f t="shared" si="43"/>
        <v>40033.993802618992</v>
      </c>
    </row>
    <row r="1382" spans="4:12" x14ac:dyDescent="0.25">
      <c r="D1382">
        <f t="shared" si="42"/>
        <v>0</v>
      </c>
      <c r="H1382">
        <v>1380</v>
      </c>
      <c r="I1382" s="1">
        <v>46339</v>
      </c>
      <c r="J1382">
        <f t="array" ref="J1382">INDEX($D$3:$D$62,MATCH(1, (YEAR(I1382)=YEAR($A$3:$A$62))*(MONTH(I1382)=MONTH($A$3:$A$62)),0))</f>
        <v>39184.754134810559</v>
      </c>
      <c r="K1382">
        <f t="array" ref="K1382">INDEX($G$3:$G$200,MATCH(1, (YEAR(I1382)=YEAR($A$3:$A$2000))*(MONTH(I1382)=MONTH($A$3:$A$2000)),0))</f>
        <v>57893.103591276449</v>
      </c>
      <c r="L1382">
        <f t="shared" si="43"/>
        <v>40006.353025103977</v>
      </c>
    </row>
    <row r="1383" spans="4:12" x14ac:dyDescent="0.25">
      <c r="D1383">
        <f t="shared" si="42"/>
        <v>0</v>
      </c>
      <c r="H1383">
        <v>1381</v>
      </c>
      <c r="I1383" s="1">
        <v>46340</v>
      </c>
      <c r="J1383">
        <f t="array" ref="J1383">INDEX($D$3:$D$62,MATCH(1, (YEAR(I1383)=YEAR($A$3:$A$62))*(MONTH(I1383)=MONTH($A$3:$A$62)),0))</f>
        <v>39184.754134810559</v>
      </c>
      <c r="K1383">
        <f t="array" ref="K1383">INDEX($G$3:$G$200,MATCH(1, (YEAR(I1383)=YEAR($A$3:$A$2000))*(MONTH(I1383)=MONTH($A$3:$A$2000)),0))</f>
        <v>57893.103591276449</v>
      </c>
      <c r="L1383">
        <f t="shared" si="43"/>
        <v>39978.724622628972</v>
      </c>
    </row>
    <row r="1384" spans="4:12" x14ac:dyDescent="0.25">
      <c r="D1384">
        <f t="shared" si="42"/>
        <v>0</v>
      </c>
      <c r="H1384">
        <v>1382</v>
      </c>
      <c r="I1384" s="1">
        <v>46341</v>
      </c>
      <c r="J1384">
        <f t="array" ref="J1384">INDEX($D$3:$D$62,MATCH(1, (YEAR(I1384)=YEAR($A$3:$A$62))*(MONTH(I1384)=MONTH($A$3:$A$62)),0))</f>
        <v>39184.754134810559</v>
      </c>
      <c r="K1384">
        <f t="array" ref="K1384">INDEX($G$3:$G$200,MATCH(1, (YEAR(I1384)=YEAR($A$3:$A$2000))*(MONTH(I1384)=MONTH($A$3:$A$2000)),0))</f>
        <v>57893.103591276449</v>
      </c>
      <c r="L1384">
        <f t="shared" si="43"/>
        <v>39951.108570143959</v>
      </c>
    </row>
    <row r="1385" spans="4:12" x14ac:dyDescent="0.25">
      <c r="D1385">
        <f t="shared" si="42"/>
        <v>0</v>
      </c>
      <c r="H1385">
        <v>1383</v>
      </c>
      <c r="I1385" s="1">
        <v>46342</v>
      </c>
      <c r="J1385">
        <f t="array" ref="J1385">INDEX($D$3:$D$62,MATCH(1, (YEAR(I1385)=YEAR($A$3:$A$62))*(MONTH(I1385)=MONTH($A$3:$A$62)),0))</f>
        <v>39184.754134810559</v>
      </c>
      <c r="K1385">
        <f t="array" ref="K1385">INDEX($G$3:$G$200,MATCH(1, (YEAR(I1385)=YEAR($A$3:$A$2000))*(MONTH(I1385)=MONTH($A$3:$A$2000)),0))</f>
        <v>57893.103591276449</v>
      </c>
      <c r="L1385">
        <f t="shared" si="43"/>
        <v>39923.504842886992</v>
      </c>
    </row>
    <row r="1386" spans="4:12" x14ac:dyDescent="0.25">
      <c r="D1386">
        <f t="shared" si="42"/>
        <v>0</v>
      </c>
      <c r="H1386">
        <v>1384</v>
      </c>
      <c r="I1386" s="1">
        <v>46343</v>
      </c>
      <c r="J1386">
        <f t="array" ref="J1386">INDEX($D$3:$D$62,MATCH(1, (YEAR(I1386)=YEAR($A$3:$A$62))*(MONTH(I1386)=MONTH($A$3:$A$62)),0))</f>
        <v>39184.754134810559</v>
      </c>
      <c r="K1386">
        <f t="array" ref="K1386">INDEX($G$3:$G$200,MATCH(1, (YEAR(I1386)=YEAR($A$3:$A$2000))*(MONTH(I1386)=MONTH($A$3:$A$2000)),0))</f>
        <v>57893.103591276449</v>
      </c>
      <c r="L1386">
        <f t="shared" si="43"/>
        <v>39895.913416383963</v>
      </c>
    </row>
    <row r="1387" spans="4:12" x14ac:dyDescent="0.25">
      <c r="D1387">
        <f t="shared" si="42"/>
        <v>0</v>
      </c>
      <c r="H1387">
        <v>1385</v>
      </c>
      <c r="I1387" s="1">
        <v>46344</v>
      </c>
      <c r="J1387">
        <f t="array" ref="J1387">INDEX($D$3:$D$62,MATCH(1, (YEAR(I1387)=YEAR($A$3:$A$62))*(MONTH(I1387)=MONTH($A$3:$A$62)),0))</f>
        <v>39184.754134810559</v>
      </c>
      <c r="K1387">
        <f t="array" ref="K1387">INDEX($G$3:$G$200,MATCH(1, (YEAR(I1387)=YEAR($A$3:$A$2000))*(MONTH(I1387)=MONTH($A$3:$A$2000)),0))</f>
        <v>57893.103591276449</v>
      </c>
      <c r="L1387">
        <f t="shared" si="43"/>
        <v>39868.334266449005</v>
      </c>
    </row>
    <row r="1388" spans="4:12" x14ac:dyDescent="0.25">
      <c r="D1388">
        <f t="shared" si="42"/>
        <v>0</v>
      </c>
      <c r="H1388">
        <v>1386</v>
      </c>
      <c r="I1388" s="1">
        <v>46345</v>
      </c>
      <c r="J1388">
        <f t="array" ref="J1388">INDEX($D$3:$D$62,MATCH(1, (YEAR(I1388)=YEAR($A$3:$A$62))*(MONTH(I1388)=MONTH($A$3:$A$62)),0))</f>
        <v>39184.754134810559</v>
      </c>
      <c r="K1388">
        <f t="array" ref="K1388">INDEX($G$3:$G$200,MATCH(1, (YEAR(I1388)=YEAR($A$3:$A$2000))*(MONTH(I1388)=MONTH($A$3:$A$2000)),0))</f>
        <v>57893.103591276449</v>
      </c>
      <c r="L1388">
        <f t="shared" si="43"/>
        <v>39840.767369184003</v>
      </c>
    </row>
    <row r="1389" spans="4:12" x14ac:dyDescent="0.25">
      <c r="D1389">
        <f t="shared" si="42"/>
        <v>0</v>
      </c>
      <c r="H1389">
        <v>1387</v>
      </c>
      <c r="I1389" s="1">
        <v>46346</v>
      </c>
      <c r="J1389">
        <f t="array" ref="J1389">INDEX($D$3:$D$62,MATCH(1, (YEAR(I1389)=YEAR($A$3:$A$62))*(MONTH(I1389)=MONTH($A$3:$A$62)),0))</f>
        <v>39184.754134810559</v>
      </c>
      <c r="K1389">
        <f t="array" ref="K1389">INDEX($G$3:$G$200,MATCH(1, (YEAR(I1389)=YEAR($A$3:$A$2000))*(MONTH(I1389)=MONTH($A$3:$A$2000)),0))</f>
        <v>57893.103591276449</v>
      </c>
      <c r="L1389">
        <f t="shared" si="43"/>
        <v>39813.212700978969</v>
      </c>
    </row>
    <row r="1390" spans="4:12" x14ac:dyDescent="0.25">
      <c r="D1390">
        <f t="shared" si="42"/>
        <v>0</v>
      </c>
      <c r="H1390">
        <v>1388</v>
      </c>
      <c r="I1390" s="1">
        <v>46347</v>
      </c>
      <c r="J1390">
        <f t="array" ref="J1390">INDEX($D$3:$D$62,MATCH(1, (YEAR(I1390)=YEAR($A$3:$A$62))*(MONTH(I1390)=MONTH($A$3:$A$62)),0))</f>
        <v>39184.754134810559</v>
      </c>
      <c r="K1390">
        <f t="array" ref="K1390">INDEX($G$3:$G$200,MATCH(1, (YEAR(I1390)=YEAR($A$3:$A$2000))*(MONTH(I1390)=MONTH($A$3:$A$2000)),0))</f>
        <v>57893.103591276449</v>
      </c>
      <c r="L1390">
        <f t="shared" si="43"/>
        <v>39785.670238511986</v>
      </c>
    </row>
    <row r="1391" spans="4:12" x14ac:dyDescent="0.25">
      <c r="D1391">
        <f t="shared" si="42"/>
        <v>0</v>
      </c>
      <c r="H1391">
        <v>1389</v>
      </c>
      <c r="I1391" s="1">
        <v>46348</v>
      </c>
      <c r="J1391">
        <f t="array" ref="J1391">INDEX($D$3:$D$62,MATCH(1, (YEAR(I1391)=YEAR($A$3:$A$62))*(MONTH(I1391)=MONTH($A$3:$A$62)),0))</f>
        <v>39184.754134810559</v>
      </c>
      <c r="K1391">
        <f t="array" ref="K1391">INDEX($G$3:$G$200,MATCH(1, (YEAR(I1391)=YEAR($A$3:$A$2000))*(MONTH(I1391)=MONTH($A$3:$A$2000)),0))</f>
        <v>57893.103591276449</v>
      </c>
      <c r="L1391">
        <f t="shared" si="43"/>
        <v>39758.139958749001</v>
      </c>
    </row>
    <row r="1392" spans="4:12" x14ac:dyDescent="0.25">
      <c r="D1392">
        <f t="shared" si="42"/>
        <v>0</v>
      </c>
      <c r="H1392">
        <v>1390</v>
      </c>
      <c r="I1392" s="1">
        <v>46349</v>
      </c>
      <c r="J1392">
        <f t="array" ref="J1392">INDEX($D$3:$D$62,MATCH(1, (YEAR(I1392)=YEAR($A$3:$A$62))*(MONTH(I1392)=MONTH($A$3:$A$62)),0))</f>
        <v>39184.754134810559</v>
      </c>
      <c r="K1392">
        <f t="array" ref="K1392">INDEX($G$3:$G$200,MATCH(1, (YEAR(I1392)=YEAR($A$3:$A$2000))*(MONTH(I1392)=MONTH($A$3:$A$2000)),0))</f>
        <v>57893.103591276449</v>
      </c>
      <c r="L1392">
        <f t="shared" si="43"/>
        <v>39730.621838943945</v>
      </c>
    </row>
    <row r="1393" spans="4:12" x14ac:dyDescent="0.25">
      <c r="D1393">
        <f t="shared" si="42"/>
        <v>0</v>
      </c>
      <c r="H1393">
        <v>1391</v>
      </c>
      <c r="I1393" s="1">
        <v>46350</v>
      </c>
      <c r="J1393">
        <f t="array" ref="J1393">INDEX($D$3:$D$62,MATCH(1, (YEAR(I1393)=YEAR($A$3:$A$62))*(MONTH(I1393)=MONTH($A$3:$A$62)),0))</f>
        <v>39184.754134810559</v>
      </c>
      <c r="K1393">
        <f t="array" ref="K1393">INDEX($G$3:$G$200,MATCH(1, (YEAR(I1393)=YEAR($A$3:$A$2000))*(MONTH(I1393)=MONTH($A$3:$A$2000)),0))</f>
        <v>57893.103591276449</v>
      </c>
      <c r="L1393">
        <f t="shared" si="43"/>
        <v>39703.115856638935</v>
      </c>
    </row>
    <row r="1394" spans="4:12" x14ac:dyDescent="0.25">
      <c r="D1394">
        <f t="shared" si="42"/>
        <v>0</v>
      </c>
      <c r="H1394">
        <v>1392</v>
      </c>
      <c r="I1394" s="1">
        <v>46351</v>
      </c>
      <c r="J1394">
        <f t="array" ref="J1394">INDEX($D$3:$D$62,MATCH(1, (YEAR(I1394)=YEAR($A$3:$A$62))*(MONTH(I1394)=MONTH($A$3:$A$62)),0))</f>
        <v>39184.754134810559</v>
      </c>
      <c r="K1394">
        <f t="array" ref="K1394">INDEX($G$3:$G$200,MATCH(1, (YEAR(I1394)=YEAR($A$3:$A$2000))*(MONTH(I1394)=MONTH($A$3:$A$2000)),0))</f>
        <v>57893.103591276449</v>
      </c>
      <c r="L1394">
        <f t="shared" si="43"/>
        <v>39675.621989663981</v>
      </c>
    </row>
    <row r="1395" spans="4:12" x14ac:dyDescent="0.25">
      <c r="D1395">
        <f t="shared" si="42"/>
        <v>0</v>
      </c>
      <c r="H1395">
        <v>1393</v>
      </c>
      <c r="I1395" s="1">
        <v>46352</v>
      </c>
      <c r="J1395">
        <f t="array" ref="J1395">INDEX($D$3:$D$62,MATCH(1, (YEAR(I1395)=YEAR($A$3:$A$62))*(MONTH(I1395)=MONTH($A$3:$A$62)),0))</f>
        <v>39184.754134810559</v>
      </c>
      <c r="K1395">
        <f t="array" ref="K1395">INDEX($G$3:$G$200,MATCH(1, (YEAR(I1395)=YEAR($A$3:$A$2000))*(MONTH(I1395)=MONTH($A$3:$A$2000)),0))</f>
        <v>57893.103591276449</v>
      </c>
      <c r="L1395">
        <f t="shared" si="43"/>
        <v>39648.140216136992</v>
      </c>
    </row>
    <row r="1396" spans="4:12" x14ac:dyDescent="0.25">
      <c r="D1396">
        <f t="shared" si="42"/>
        <v>0</v>
      </c>
      <c r="H1396">
        <v>1394</v>
      </c>
      <c r="I1396" s="1">
        <v>46353</v>
      </c>
      <c r="J1396">
        <f t="array" ref="J1396">INDEX($D$3:$D$62,MATCH(1, (YEAR(I1396)=YEAR($A$3:$A$62))*(MONTH(I1396)=MONTH($A$3:$A$62)),0))</f>
        <v>39184.754134810559</v>
      </c>
      <c r="K1396">
        <f t="array" ref="K1396">INDEX($G$3:$G$200,MATCH(1, (YEAR(I1396)=YEAR($A$3:$A$2000))*(MONTH(I1396)=MONTH($A$3:$A$2000)),0))</f>
        <v>57893.103591276449</v>
      </c>
      <c r="L1396">
        <f t="shared" si="43"/>
        <v>39620.670514463971</v>
      </c>
    </row>
    <row r="1397" spans="4:12" x14ac:dyDescent="0.25">
      <c r="D1397">
        <f t="shared" si="42"/>
        <v>0</v>
      </c>
      <c r="H1397">
        <v>1395</v>
      </c>
      <c r="I1397" s="1">
        <v>46354</v>
      </c>
      <c r="J1397">
        <f t="array" ref="J1397">INDEX($D$3:$D$62,MATCH(1, (YEAR(I1397)=YEAR($A$3:$A$62))*(MONTH(I1397)=MONTH($A$3:$A$62)),0))</f>
        <v>39184.754134810559</v>
      </c>
      <c r="K1397">
        <f t="array" ref="K1397">INDEX($G$3:$G$200,MATCH(1, (YEAR(I1397)=YEAR($A$3:$A$2000))*(MONTH(I1397)=MONTH($A$3:$A$2000)),0))</f>
        <v>57893.103591276449</v>
      </c>
      <c r="L1397">
        <f t="shared" si="43"/>
        <v>39593.212863338995</v>
      </c>
    </row>
    <row r="1398" spans="4:12" x14ac:dyDescent="0.25">
      <c r="D1398">
        <f t="shared" si="42"/>
        <v>0</v>
      </c>
      <c r="H1398">
        <v>1396</v>
      </c>
      <c r="I1398" s="1">
        <v>46355</v>
      </c>
      <c r="J1398">
        <f t="array" ref="J1398">INDEX($D$3:$D$62,MATCH(1, (YEAR(I1398)=YEAR($A$3:$A$62))*(MONTH(I1398)=MONTH($A$3:$A$62)),0))</f>
        <v>39184.754134810559</v>
      </c>
      <c r="K1398">
        <f t="array" ref="K1398">INDEX($G$3:$G$200,MATCH(1, (YEAR(I1398)=YEAR($A$3:$A$2000))*(MONTH(I1398)=MONTH($A$3:$A$2000)),0))</f>
        <v>57893.103591276449</v>
      </c>
      <c r="L1398">
        <f t="shared" si="43"/>
        <v>39565.767241743975</v>
      </c>
    </row>
    <row r="1399" spans="4:12" x14ac:dyDescent="0.25">
      <c r="D1399">
        <f t="shared" si="42"/>
        <v>0</v>
      </c>
      <c r="H1399">
        <v>1397</v>
      </c>
      <c r="I1399" s="1">
        <v>46356</v>
      </c>
      <c r="J1399">
        <f t="array" ref="J1399">INDEX($D$3:$D$62,MATCH(1, (YEAR(I1399)=YEAR($A$3:$A$62))*(MONTH(I1399)=MONTH($A$3:$A$62)),0))</f>
        <v>39184.754134810559</v>
      </c>
      <c r="K1399">
        <f t="array" ref="K1399">INDEX($G$3:$G$200,MATCH(1, (YEAR(I1399)=YEAR($A$3:$A$2000))*(MONTH(I1399)=MONTH($A$3:$A$2000)),0))</f>
        <v>57893.103591276449</v>
      </c>
      <c r="L1399">
        <f t="shared" si="43"/>
        <v>39538.333628948953</v>
      </c>
    </row>
    <row r="1400" spans="4:12" x14ac:dyDescent="0.25">
      <c r="D1400">
        <f t="shared" si="42"/>
        <v>0</v>
      </c>
      <c r="H1400">
        <v>1398</v>
      </c>
      <c r="I1400" s="1">
        <v>46357</v>
      </c>
      <c r="J1400">
        <f t="array" ref="J1400">INDEX($D$3:$D$62,MATCH(1, (YEAR(I1400)=YEAR($A$3:$A$62))*(MONTH(I1400)=MONTH($A$3:$A$62)),0))</f>
        <v>38468.439199026048</v>
      </c>
      <c r="K1400">
        <f t="array" ref="K1400">INDEX($G$3:$G$200,MATCH(1, (YEAR(I1400)=YEAR($A$3:$A$2000))*(MONTH(I1400)=MONTH($A$3:$A$2000)),0))</f>
        <v>56824.219292570429</v>
      </c>
      <c r="L1400">
        <f t="shared" si="43"/>
        <v>39510.912004511978</v>
      </c>
    </row>
    <row r="1401" spans="4:12" x14ac:dyDescent="0.25">
      <c r="D1401">
        <f t="shared" si="42"/>
        <v>0</v>
      </c>
      <c r="H1401">
        <v>1399</v>
      </c>
      <c r="I1401" s="1">
        <v>46358</v>
      </c>
      <c r="J1401">
        <f t="array" ref="J1401">INDEX($D$3:$D$62,MATCH(1, (YEAR(I1401)=YEAR($A$3:$A$62))*(MONTH(I1401)=MONTH($A$3:$A$62)),0))</f>
        <v>38468.439199026048</v>
      </c>
      <c r="K1401">
        <f t="array" ref="K1401">INDEX($G$3:$G$200,MATCH(1, (YEAR(I1401)=YEAR($A$3:$A$2000))*(MONTH(I1401)=MONTH($A$3:$A$2000)),0))</f>
        <v>56824.219292570429</v>
      </c>
      <c r="L1401">
        <f t="shared" si="43"/>
        <v>39483.502348278969</v>
      </c>
    </row>
    <row r="1402" spans="4:12" x14ac:dyDescent="0.25">
      <c r="D1402">
        <f t="shared" si="42"/>
        <v>0</v>
      </c>
      <c r="H1402">
        <v>1400</v>
      </c>
      <c r="I1402" s="1">
        <v>46359</v>
      </c>
      <c r="J1402">
        <f t="array" ref="J1402">INDEX($D$3:$D$62,MATCH(1, (YEAR(I1402)=YEAR($A$3:$A$62))*(MONTH(I1402)=MONTH($A$3:$A$62)),0))</f>
        <v>38468.439199026048</v>
      </c>
      <c r="K1402">
        <f t="array" ref="K1402">INDEX($G$3:$G$200,MATCH(1, (YEAR(I1402)=YEAR($A$3:$A$2000))*(MONTH(I1402)=MONTH($A$3:$A$2000)),0))</f>
        <v>56824.219292570429</v>
      </c>
      <c r="L1402">
        <f t="shared" si="43"/>
        <v>39456.104640383972</v>
      </c>
    </row>
    <row r="1403" spans="4:12" x14ac:dyDescent="0.25">
      <c r="D1403">
        <f t="shared" si="42"/>
        <v>0</v>
      </c>
      <c r="H1403">
        <v>1401</v>
      </c>
      <c r="I1403" s="1">
        <v>46360</v>
      </c>
      <c r="J1403">
        <f t="array" ref="J1403">INDEX($D$3:$D$62,MATCH(1, (YEAR(I1403)=YEAR($A$3:$A$62))*(MONTH(I1403)=MONTH($A$3:$A$62)),0))</f>
        <v>38468.439199026048</v>
      </c>
      <c r="K1403">
        <f t="array" ref="K1403">INDEX($G$3:$G$200,MATCH(1, (YEAR(I1403)=YEAR($A$3:$A$2000))*(MONTH(I1403)=MONTH($A$3:$A$2000)),0))</f>
        <v>56824.219292570429</v>
      </c>
      <c r="L1403">
        <f t="shared" si="43"/>
        <v>39428.718861249014</v>
      </c>
    </row>
    <row r="1404" spans="4:12" x14ac:dyDescent="0.25">
      <c r="D1404">
        <f t="shared" si="42"/>
        <v>0</v>
      </c>
      <c r="H1404">
        <v>1402</v>
      </c>
      <c r="I1404" s="1">
        <v>46361</v>
      </c>
      <c r="J1404">
        <f t="array" ref="J1404">INDEX($D$3:$D$62,MATCH(1, (YEAR(I1404)=YEAR($A$3:$A$62))*(MONTH(I1404)=MONTH($A$3:$A$62)),0))</f>
        <v>38468.439199026048</v>
      </c>
      <c r="K1404">
        <f t="array" ref="K1404">INDEX($G$3:$G$200,MATCH(1, (YEAR(I1404)=YEAR($A$3:$A$2000))*(MONTH(I1404)=MONTH($A$3:$A$2000)),0))</f>
        <v>56824.219292570429</v>
      </c>
      <c r="L1404">
        <f t="shared" si="43"/>
        <v>39401.344991584017</v>
      </c>
    </row>
    <row r="1405" spans="4:12" x14ac:dyDescent="0.25">
      <c r="D1405">
        <f t="shared" si="42"/>
        <v>0</v>
      </c>
      <c r="H1405">
        <v>1403</v>
      </c>
      <c r="I1405" s="1">
        <v>46362</v>
      </c>
      <c r="J1405">
        <f t="array" ref="J1405">INDEX($D$3:$D$62,MATCH(1, (YEAR(I1405)=YEAR($A$3:$A$62))*(MONTH(I1405)=MONTH($A$3:$A$62)),0))</f>
        <v>38468.439199026048</v>
      </c>
      <c r="K1405">
        <f t="array" ref="K1405">INDEX($G$3:$G$200,MATCH(1, (YEAR(I1405)=YEAR($A$3:$A$2000))*(MONTH(I1405)=MONTH($A$3:$A$2000)),0))</f>
        <v>56824.219292570429</v>
      </c>
      <c r="L1405">
        <f t="shared" si="43"/>
        <v>39373.983012386976</v>
      </c>
    </row>
    <row r="1406" spans="4:12" x14ac:dyDescent="0.25">
      <c r="D1406">
        <f t="shared" si="42"/>
        <v>0</v>
      </c>
      <c r="H1406">
        <v>1404</v>
      </c>
      <c r="I1406" s="1">
        <v>46363</v>
      </c>
      <c r="J1406">
        <f t="array" ref="J1406">INDEX($D$3:$D$62,MATCH(1, (YEAR(I1406)=YEAR($A$3:$A$62))*(MONTH(I1406)=MONTH($A$3:$A$62)),0))</f>
        <v>38468.439199026048</v>
      </c>
      <c r="K1406">
        <f t="array" ref="K1406">INDEX($G$3:$G$200,MATCH(1, (YEAR(I1406)=YEAR($A$3:$A$2000))*(MONTH(I1406)=MONTH($A$3:$A$2000)),0))</f>
        <v>56824.219292570429</v>
      </c>
      <c r="L1406">
        <f t="shared" si="43"/>
        <v>39346.63290494401</v>
      </c>
    </row>
    <row r="1407" spans="4:12" x14ac:dyDescent="0.25">
      <c r="D1407">
        <f t="shared" si="42"/>
        <v>0</v>
      </c>
      <c r="H1407">
        <v>1405</v>
      </c>
      <c r="I1407" s="1">
        <v>46364</v>
      </c>
      <c r="J1407">
        <f t="array" ref="J1407">INDEX($D$3:$D$62,MATCH(1, (YEAR(I1407)=YEAR($A$3:$A$62))*(MONTH(I1407)=MONTH($A$3:$A$62)),0))</f>
        <v>38468.439199026048</v>
      </c>
      <c r="K1407">
        <f t="array" ref="K1407">INDEX($G$3:$G$200,MATCH(1, (YEAR(I1407)=YEAR($A$3:$A$2000))*(MONTH(I1407)=MONTH($A$3:$A$2000)),0))</f>
        <v>56824.219292570429</v>
      </c>
      <c r="L1407">
        <f t="shared" si="43"/>
        <v>39319.294650828961</v>
      </c>
    </row>
    <row r="1408" spans="4:12" x14ac:dyDescent="0.25">
      <c r="D1408">
        <f t="shared" si="42"/>
        <v>0</v>
      </c>
      <c r="H1408">
        <v>1406</v>
      </c>
      <c r="I1408" s="1">
        <v>46365</v>
      </c>
      <c r="J1408">
        <f t="array" ref="J1408">INDEX($D$3:$D$62,MATCH(1, (YEAR(I1408)=YEAR($A$3:$A$62))*(MONTH(I1408)=MONTH($A$3:$A$62)),0))</f>
        <v>38468.439199026048</v>
      </c>
      <c r="K1408">
        <f t="array" ref="K1408">INDEX($G$3:$G$200,MATCH(1, (YEAR(I1408)=YEAR($A$3:$A$2000))*(MONTH(I1408)=MONTH($A$3:$A$2000)),0))</f>
        <v>56824.219292570429</v>
      </c>
      <c r="L1408">
        <f t="shared" si="43"/>
        <v>39291.968231903971</v>
      </c>
    </row>
    <row r="1409" spans="4:12" x14ac:dyDescent="0.25">
      <c r="D1409">
        <f t="shared" si="42"/>
        <v>0</v>
      </c>
      <c r="H1409">
        <v>1407</v>
      </c>
      <c r="I1409" s="1">
        <v>46366</v>
      </c>
      <c r="J1409">
        <f t="array" ref="J1409">INDEX($D$3:$D$62,MATCH(1, (YEAR(I1409)=YEAR($A$3:$A$62))*(MONTH(I1409)=MONTH($A$3:$A$62)),0))</f>
        <v>38468.439199026048</v>
      </c>
      <c r="K1409">
        <f t="array" ref="K1409">INDEX($G$3:$G$200,MATCH(1, (YEAR(I1409)=YEAR($A$3:$A$2000))*(MONTH(I1409)=MONTH($A$3:$A$2000)),0))</f>
        <v>56824.219292570429</v>
      </c>
      <c r="L1409">
        <f t="shared" si="43"/>
        <v>39264.653630318964</v>
      </c>
    </row>
    <row r="1410" spans="4:12" x14ac:dyDescent="0.25">
      <c r="D1410">
        <f t="shared" si="42"/>
        <v>0</v>
      </c>
      <c r="H1410">
        <v>1408</v>
      </c>
      <c r="I1410" s="1">
        <v>46367</v>
      </c>
      <c r="J1410">
        <f t="array" ref="J1410">INDEX($D$3:$D$62,MATCH(1, (YEAR(I1410)=YEAR($A$3:$A$62))*(MONTH(I1410)=MONTH($A$3:$A$62)),0))</f>
        <v>38468.439199026048</v>
      </c>
      <c r="K1410">
        <f t="array" ref="K1410">INDEX($G$3:$G$200,MATCH(1, (YEAR(I1410)=YEAR($A$3:$A$2000))*(MONTH(I1410)=MONTH($A$3:$A$2000)),0))</f>
        <v>56824.219292570429</v>
      </c>
      <c r="L1410">
        <f t="shared" si="43"/>
        <v>39237.35082851199</v>
      </c>
    </row>
    <row r="1411" spans="4:12" x14ac:dyDescent="0.25">
      <c r="D1411">
        <f t="shared" si="42"/>
        <v>0</v>
      </c>
      <c r="H1411">
        <v>1409</v>
      </c>
      <c r="I1411" s="1">
        <v>46368</v>
      </c>
      <c r="J1411">
        <f t="array" ref="J1411">INDEX($D$3:$D$62,MATCH(1, (YEAR(I1411)=YEAR($A$3:$A$62))*(MONTH(I1411)=MONTH($A$3:$A$62)),0))</f>
        <v>38468.439199026048</v>
      </c>
      <c r="K1411">
        <f t="array" ref="K1411">INDEX($G$3:$G$200,MATCH(1, (YEAR(I1411)=YEAR($A$3:$A$2000))*(MONTH(I1411)=MONTH($A$3:$A$2000)),0))</f>
        <v>56824.219292570429</v>
      </c>
      <c r="L1411">
        <f t="shared" si="43"/>
        <v>39210.059809209022</v>
      </c>
    </row>
    <row r="1412" spans="4:12" x14ac:dyDescent="0.25">
      <c r="D1412">
        <f t="shared" ref="D1412:D1475" si="44">SUM(B1412:C1412)</f>
        <v>0</v>
      </c>
      <c r="H1412">
        <v>1410</v>
      </c>
      <c r="I1412" s="1">
        <v>46369</v>
      </c>
      <c r="J1412">
        <f t="array" ref="J1412">INDEX($D$3:$D$62,MATCH(1, (YEAR(I1412)=YEAR($A$3:$A$62))*(MONTH(I1412)=MONTH($A$3:$A$62)),0))</f>
        <v>38468.439199026048</v>
      </c>
      <c r="K1412">
        <f t="array" ref="K1412">INDEX($G$3:$G$200,MATCH(1, (YEAR(I1412)=YEAR($A$3:$A$2000))*(MONTH(I1412)=MONTH($A$3:$A$2000)),0))</f>
        <v>56824.219292570429</v>
      </c>
      <c r="L1412">
        <f t="shared" ref="L1412:L1475" si="45">0.000000012*H1412^4-0.000070439*H1412^3+0.160688168*H1412^2-194.849290676*H1412+144481.718306784</f>
        <v>39182.780555424019</v>
      </c>
    </row>
    <row r="1413" spans="4:12" x14ac:dyDescent="0.25">
      <c r="D1413">
        <f t="shared" si="44"/>
        <v>0</v>
      </c>
      <c r="H1413">
        <v>1411</v>
      </c>
      <c r="I1413" s="1">
        <v>46370</v>
      </c>
      <c r="J1413">
        <f t="array" ref="J1413">INDEX($D$3:$D$62,MATCH(1, (YEAR(I1413)=YEAR($A$3:$A$62))*(MONTH(I1413)=MONTH($A$3:$A$62)),0))</f>
        <v>38468.439199026048</v>
      </c>
      <c r="K1413">
        <f t="array" ref="K1413">INDEX($G$3:$G$200,MATCH(1, (YEAR(I1413)=YEAR($A$3:$A$2000))*(MONTH(I1413)=MONTH($A$3:$A$2000)),0))</f>
        <v>56824.219292570429</v>
      </c>
      <c r="L1413">
        <f t="shared" si="45"/>
        <v>39155.513050458976</v>
      </c>
    </row>
    <row r="1414" spans="4:12" x14ac:dyDescent="0.25">
      <c r="D1414">
        <f t="shared" si="44"/>
        <v>0</v>
      </c>
      <c r="H1414">
        <v>1412</v>
      </c>
      <c r="I1414" s="1">
        <v>46371</v>
      </c>
      <c r="J1414">
        <f t="array" ref="J1414">INDEX($D$3:$D$62,MATCH(1, (YEAR(I1414)=YEAR($A$3:$A$62))*(MONTH(I1414)=MONTH($A$3:$A$62)),0))</f>
        <v>38468.439199026048</v>
      </c>
      <c r="K1414">
        <f t="array" ref="K1414">INDEX($G$3:$G$200,MATCH(1, (YEAR(I1414)=YEAR($A$3:$A$2000))*(MONTH(I1414)=MONTH($A$3:$A$2000)),0))</f>
        <v>56824.219292570429</v>
      </c>
      <c r="L1414">
        <f t="shared" si="45"/>
        <v>39128.257277903991</v>
      </c>
    </row>
    <row r="1415" spans="4:12" x14ac:dyDescent="0.25">
      <c r="D1415">
        <f t="shared" si="44"/>
        <v>0</v>
      </c>
      <c r="H1415">
        <v>1413</v>
      </c>
      <c r="I1415" s="1">
        <v>46372</v>
      </c>
      <c r="J1415">
        <f t="array" ref="J1415">INDEX($D$3:$D$62,MATCH(1, (YEAR(I1415)=YEAR($A$3:$A$62))*(MONTH(I1415)=MONTH($A$3:$A$62)),0))</f>
        <v>38468.439199026048</v>
      </c>
      <c r="K1415">
        <f t="array" ref="K1415">INDEX($G$3:$G$200,MATCH(1, (YEAR(I1415)=YEAR($A$3:$A$2000))*(MONTH(I1415)=MONTH($A$3:$A$2000)),0))</f>
        <v>56824.219292570429</v>
      </c>
      <c r="L1415">
        <f t="shared" si="45"/>
        <v>39101.013221636997</v>
      </c>
    </row>
    <row r="1416" spans="4:12" x14ac:dyDescent="0.25">
      <c r="D1416">
        <f t="shared" si="44"/>
        <v>0</v>
      </c>
      <c r="H1416">
        <v>1414</v>
      </c>
      <c r="I1416" s="1">
        <v>46373</v>
      </c>
      <c r="J1416">
        <f t="array" ref="J1416">INDEX($D$3:$D$62,MATCH(1, (YEAR(I1416)=YEAR($A$3:$A$62))*(MONTH(I1416)=MONTH($A$3:$A$62)),0))</f>
        <v>38468.439199026048</v>
      </c>
      <c r="K1416">
        <f t="array" ref="K1416">INDEX($G$3:$G$200,MATCH(1, (YEAR(I1416)=YEAR($A$3:$A$2000))*(MONTH(I1416)=MONTH($A$3:$A$2000)),0))</f>
        <v>56824.219292570429</v>
      </c>
      <c r="L1416">
        <f t="shared" si="45"/>
        <v>39073.780865823966</v>
      </c>
    </row>
    <row r="1417" spans="4:12" x14ac:dyDescent="0.25">
      <c r="D1417">
        <f t="shared" si="44"/>
        <v>0</v>
      </c>
      <c r="H1417">
        <v>1415</v>
      </c>
      <c r="I1417" s="1">
        <v>46374</v>
      </c>
      <c r="J1417">
        <f t="array" ref="J1417">INDEX($D$3:$D$62,MATCH(1, (YEAR(I1417)=YEAR($A$3:$A$62))*(MONTH(I1417)=MONTH($A$3:$A$62)),0))</f>
        <v>38468.439199026048</v>
      </c>
      <c r="K1417">
        <f t="array" ref="K1417">INDEX($G$3:$G$200,MATCH(1, (YEAR(I1417)=YEAR($A$3:$A$2000))*(MONTH(I1417)=MONTH($A$3:$A$2000)),0))</f>
        <v>56824.219292570429</v>
      </c>
      <c r="L1417">
        <f t="shared" si="45"/>
        <v>39046.560194919002</v>
      </c>
    </row>
    <row r="1418" spans="4:12" x14ac:dyDescent="0.25">
      <c r="D1418">
        <f t="shared" si="44"/>
        <v>0</v>
      </c>
      <c r="H1418">
        <v>1416</v>
      </c>
      <c r="I1418" s="1">
        <v>46375</v>
      </c>
      <c r="J1418">
        <f t="array" ref="J1418">INDEX($D$3:$D$62,MATCH(1, (YEAR(I1418)=YEAR($A$3:$A$62))*(MONTH(I1418)=MONTH($A$3:$A$62)),0))</f>
        <v>38468.439199026048</v>
      </c>
      <c r="K1418">
        <f t="array" ref="K1418">INDEX($G$3:$G$200,MATCH(1, (YEAR(I1418)=YEAR($A$3:$A$2000))*(MONTH(I1418)=MONTH($A$3:$A$2000)),0))</f>
        <v>56824.219292570429</v>
      </c>
      <c r="L1418">
        <f t="shared" si="45"/>
        <v>39019.351193663984</v>
      </c>
    </row>
    <row r="1419" spans="4:12" x14ac:dyDescent="0.25">
      <c r="D1419">
        <f t="shared" si="44"/>
        <v>0</v>
      </c>
      <c r="H1419">
        <v>1417</v>
      </c>
      <c r="I1419" s="1">
        <v>46376</v>
      </c>
      <c r="J1419">
        <f t="array" ref="J1419">INDEX($D$3:$D$62,MATCH(1, (YEAR(I1419)=YEAR($A$3:$A$62))*(MONTH(I1419)=MONTH($A$3:$A$62)),0))</f>
        <v>38468.439199026048</v>
      </c>
      <c r="K1419">
        <f t="array" ref="K1419">INDEX($G$3:$G$200,MATCH(1, (YEAR(I1419)=YEAR($A$3:$A$2000))*(MONTH(I1419)=MONTH($A$3:$A$2000)),0))</f>
        <v>56824.219292570429</v>
      </c>
      <c r="L1419">
        <f t="shared" si="45"/>
        <v>38992.153847089037</v>
      </c>
    </row>
    <row r="1420" spans="4:12" x14ac:dyDescent="0.25">
      <c r="D1420">
        <f t="shared" si="44"/>
        <v>0</v>
      </c>
      <c r="H1420">
        <v>1418</v>
      </c>
      <c r="I1420" s="1">
        <v>46377</v>
      </c>
      <c r="J1420">
        <f t="array" ref="J1420">INDEX($D$3:$D$62,MATCH(1, (YEAR(I1420)=YEAR($A$3:$A$62))*(MONTH(I1420)=MONTH($A$3:$A$62)),0))</f>
        <v>38468.439199026048</v>
      </c>
      <c r="K1420">
        <f t="array" ref="K1420">INDEX($G$3:$G$200,MATCH(1, (YEAR(I1420)=YEAR($A$3:$A$2000))*(MONTH(I1420)=MONTH($A$3:$A$2000)),0))</f>
        <v>56824.219292570429</v>
      </c>
      <c r="L1420">
        <f t="shared" si="45"/>
        <v>38964.968140512006</v>
      </c>
    </row>
    <row r="1421" spans="4:12" x14ac:dyDescent="0.25">
      <c r="D1421">
        <f t="shared" si="44"/>
        <v>0</v>
      </c>
      <c r="H1421">
        <v>1419</v>
      </c>
      <c r="I1421" s="1">
        <v>46378</v>
      </c>
      <c r="J1421">
        <f t="array" ref="J1421">INDEX($D$3:$D$62,MATCH(1, (YEAR(I1421)=YEAR($A$3:$A$62))*(MONTH(I1421)=MONTH($A$3:$A$62)),0))</f>
        <v>38468.439199026048</v>
      </c>
      <c r="K1421">
        <f t="array" ref="K1421">INDEX($G$3:$G$200,MATCH(1, (YEAR(I1421)=YEAR($A$3:$A$2000))*(MONTH(I1421)=MONTH($A$3:$A$2000)),0))</f>
        <v>56824.219292570429</v>
      </c>
      <c r="L1421">
        <f t="shared" si="45"/>
        <v>38937.794059538981</v>
      </c>
    </row>
    <row r="1422" spans="4:12" x14ac:dyDescent="0.25">
      <c r="D1422">
        <f t="shared" si="44"/>
        <v>0</v>
      </c>
      <c r="H1422">
        <v>1420</v>
      </c>
      <c r="I1422" s="1">
        <v>46379</v>
      </c>
      <c r="J1422">
        <f t="array" ref="J1422">INDEX($D$3:$D$62,MATCH(1, (YEAR(I1422)=YEAR($A$3:$A$62))*(MONTH(I1422)=MONTH($A$3:$A$62)),0))</f>
        <v>38468.439199026048</v>
      </c>
      <c r="K1422">
        <f t="array" ref="K1422">INDEX($G$3:$G$200,MATCH(1, (YEAR(I1422)=YEAR($A$3:$A$2000))*(MONTH(I1422)=MONTH($A$3:$A$2000)),0))</f>
        <v>56824.219292570429</v>
      </c>
      <c r="L1422">
        <f t="shared" si="45"/>
        <v>38910.631590063975</v>
      </c>
    </row>
    <row r="1423" spans="4:12" x14ac:dyDescent="0.25">
      <c r="D1423">
        <f t="shared" si="44"/>
        <v>0</v>
      </c>
      <c r="H1423">
        <v>1421</v>
      </c>
      <c r="I1423" s="1">
        <v>46380</v>
      </c>
      <c r="J1423">
        <f t="array" ref="J1423">INDEX($D$3:$D$62,MATCH(1, (YEAR(I1423)=YEAR($A$3:$A$62))*(MONTH(I1423)=MONTH($A$3:$A$62)),0))</f>
        <v>38468.439199026048</v>
      </c>
      <c r="K1423">
        <f t="array" ref="K1423">INDEX($G$3:$G$200,MATCH(1, (YEAR(I1423)=YEAR($A$3:$A$2000))*(MONTH(I1423)=MONTH($A$3:$A$2000)),0))</f>
        <v>56824.219292570429</v>
      </c>
      <c r="L1423">
        <f t="shared" si="45"/>
        <v>38883.480718268955</v>
      </c>
    </row>
    <row r="1424" spans="4:12" x14ac:dyDescent="0.25">
      <c r="D1424">
        <f t="shared" si="44"/>
        <v>0</v>
      </c>
      <c r="H1424">
        <v>1422</v>
      </c>
      <c r="I1424" s="1">
        <v>46381</v>
      </c>
      <c r="J1424">
        <f t="array" ref="J1424">INDEX($D$3:$D$62,MATCH(1, (YEAR(I1424)=YEAR($A$3:$A$62))*(MONTH(I1424)=MONTH($A$3:$A$62)),0))</f>
        <v>38468.439199026048</v>
      </c>
      <c r="K1424">
        <f t="array" ref="K1424">INDEX($G$3:$G$200,MATCH(1, (YEAR(I1424)=YEAR($A$3:$A$2000))*(MONTH(I1424)=MONTH($A$3:$A$2000)),0))</f>
        <v>56824.219292570429</v>
      </c>
      <c r="L1424">
        <f t="shared" si="45"/>
        <v>38856.341430623957</v>
      </c>
    </row>
    <row r="1425" spans="4:12" x14ac:dyDescent="0.25">
      <c r="D1425">
        <f t="shared" si="44"/>
        <v>0</v>
      </c>
      <c r="H1425">
        <v>1423</v>
      </c>
      <c r="I1425" s="1">
        <v>46382</v>
      </c>
      <c r="J1425">
        <f t="array" ref="J1425">INDEX($D$3:$D$62,MATCH(1, (YEAR(I1425)=YEAR($A$3:$A$62))*(MONTH(I1425)=MONTH($A$3:$A$62)),0))</f>
        <v>38468.439199026048</v>
      </c>
      <c r="K1425">
        <f t="array" ref="K1425">INDEX($G$3:$G$200,MATCH(1, (YEAR(I1425)=YEAR($A$3:$A$2000))*(MONTH(I1425)=MONTH($A$3:$A$2000)),0))</f>
        <v>56824.219292570429</v>
      </c>
      <c r="L1425">
        <f t="shared" si="45"/>
        <v>38829.213713886944</v>
      </c>
    </row>
    <row r="1426" spans="4:12" x14ac:dyDescent="0.25">
      <c r="D1426">
        <f t="shared" si="44"/>
        <v>0</v>
      </c>
      <c r="H1426">
        <v>1424</v>
      </c>
      <c r="I1426" s="1">
        <v>46383</v>
      </c>
      <c r="J1426">
        <f t="array" ref="J1426">INDEX($D$3:$D$62,MATCH(1, (YEAR(I1426)=YEAR($A$3:$A$62))*(MONTH(I1426)=MONTH($A$3:$A$62)),0))</f>
        <v>38468.439199026048</v>
      </c>
      <c r="K1426">
        <f t="array" ref="K1426">INDEX($G$3:$G$200,MATCH(1, (YEAR(I1426)=YEAR($A$3:$A$2000))*(MONTH(I1426)=MONTH($A$3:$A$2000)),0))</f>
        <v>56824.219292570429</v>
      </c>
      <c r="L1426">
        <f t="shared" si="45"/>
        <v>38802.097555104032</v>
      </c>
    </row>
    <row r="1427" spans="4:12" x14ac:dyDescent="0.25">
      <c r="D1427">
        <f t="shared" si="44"/>
        <v>0</v>
      </c>
      <c r="H1427">
        <v>1425</v>
      </c>
      <c r="I1427" s="1">
        <v>46384</v>
      </c>
      <c r="J1427">
        <f t="array" ref="J1427">INDEX($D$3:$D$62,MATCH(1, (YEAR(I1427)=YEAR($A$3:$A$62))*(MONTH(I1427)=MONTH($A$3:$A$62)),0))</f>
        <v>38468.439199026048</v>
      </c>
      <c r="K1427">
        <f t="array" ref="K1427">INDEX($G$3:$G$200,MATCH(1, (YEAR(I1427)=YEAR($A$3:$A$2000))*(MONTH(I1427)=MONTH($A$3:$A$2000)),0))</f>
        <v>56824.219292570429</v>
      </c>
      <c r="L1427">
        <f t="shared" si="45"/>
        <v>38774.992941609002</v>
      </c>
    </row>
    <row r="1428" spans="4:12" x14ac:dyDescent="0.25">
      <c r="D1428">
        <f t="shared" si="44"/>
        <v>0</v>
      </c>
      <c r="H1428">
        <v>1426</v>
      </c>
      <c r="I1428" s="1">
        <v>46385</v>
      </c>
      <c r="J1428">
        <f t="array" ref="J1428">INDEX($D$3:$D$62,MATCH(1, (YEAR(I1428)=YEAR($A$3:$A$62))*(MONTH(I1428)=MONTH($A$3:$A$62)),0))</f>
        <v>38468.439199026048</v>
      </c>
      <c r="K1428">
        <f t="array" ref="K1428">INDEX($G$3:$G$200,MATCH(1, (YEAR(I1428)=YEAR($A$3:$A$2000))*(MONTH(I1428)=MONTH($A$3:$A$2000)),0))</f>
        <v>56824.219292570429</v>
      </c>
      <c r="L1428">
        <f t="shared" si="45"/>
        <v>38747.899861023965</v>
      </c>
    </row>
    <row r="1429" spans="4:12" x14ac:dyDescent="0.25">
      <c r="D1429">
        <f t="shared" si="44"/>
        <v>0</v>
      </c>
      <c r="H1429">
        <v>1427</v>
      </c>
      <c r="I1429" s="1">
        <v>46386</v>
      </c>
      <c r="J1429">
        <f t="array" ref="J1429">INDEX($D$3:$D$62,MATCH(1, (YEAR(I1429)=YEAR($A$3:$A$62))*(MONTH(I1429)=MONTH($A$3:$A$62)),0))</f>
        <v>38468.439199026048</v>
      </c>
      <c r="K1429">
        <f t="array" ref="K1429">INDEX($G$3:$G$200,MATCH(1, (YEAR(I1429)=YEAR($A$3:$A$2000))*(MONTH(I1429)=MONTH($A$3:$A$2000)),0))</f>
        <v>56824.219292570429</v>
      </c>
      <c r="L1429">
        <f t="shared" si="45"/>
        <v>38720.818301259016</v>
      </c>
    </row>
    <row r="1430" spans="4:12" x14ac:dyDescent="0.25">
      <c r="D1430">
        <f t="shared" si="44"/>
        <v>0</v>
      </c>
      <c r="H1430">
        <v>1428</v>
      </c>
      <c r="I1430" s="1">
        <v>46387</v>
      </c>
      <c r="J1430">
        <f t="array" ref="J1430">INDEX($D$3:$D$62,MATCH(1, (YEAR(I1430)=YEAR($A$3:$A$62))*(MONTH(I1430)=MONTH($A$3:$A$62)),0))</f>
        <v>38468.439199026048</v>
      </c>
      <c r="K1430">
        <f t="array" ref="K1430">INDEX($G$3:$G$200,MATCH(1, (YEAR(I1430)=YEAR($A$3:$A$2000))*(MONTH(I1430)=MONTH($A$3:$A$2000)),0))</f>
        <v>56824.219292570429</v>
      </c>
      <c r="L1430">
        <f t="shared" si="45"/>
        <v>38693.748250511941</v>
      </c>
    </row>
    <row r="1431" spans="4:12" x14ac:dyDescent="0.25">
      <c r="D1431">
        <f t="shared" si="44"/>
        <v>0</v>
      </c>
      <c r="H1431">
        <v>1429</v>
      </c>
      <c r="I1431" s="1">
        <v>46388</v>
      </c>
      <c r="J1431">
        <f t="array" ref="J1431">INDEX($D$3:$D$62,MATCH(1, (YEAR(I1431)=YEAR($A$3:$A$62))*(MONTH(I1431)=MONTH($A$3:$A$62)),0))</f>
        <v>37173.838396734995</v>
      </c>
      <c r="K1431">
        <f t="array" ref="K1431">INDEX($G$3:$G$200,MATCH(1, (YEAR(I1431)=YEAR($A$3:$A$2000))*(MONTH(I1431)=MONTH($A$3:$A$2000)),0))</f>
        <v>55185.926680554949</v>
      </c>
      <c r="L1431">
        <f t="shared" si="45"/>
        <v>38666.689697268943</v>
      </c>
    </row>
    <row r="1432" spans="4:12" x14ac:dyDescent="0.25">
      <c r="D1432">
        <f t="shared" si="44"/>
        <v>0</v>
      </c>
      <c r="H1432">
        <v>1430</v>
      </c>
      <c r="I1432" s="1">
        <v>46389</v>
      </c>
      <c r="J1432">
        <f t="array" ref="J1432">INDEX($D$3:$D$62,MATCH(1, (YEAR(I1432)=YEAR($A$3:$A$62))*(MONTH(I1432)=MONTH($A$3:$A$62)),0))</f>
        <v>37173.838396734995</v>
      </c>
      <c r="K1432">
        <f t="array" ref="K1432">INDEX($G$3:$G$200,MATCH(1, (YEAR(I1432)=YEAR($A$3:$A$2000))*(MONTH(I1432)=MONTH($A$3:$A$2000)),0))</f>
        <v>55185.926680554949</v>
      </c>
      <c r="L1432">
        <f t="shared" si="45"/>
        <v>38639.642630303977</v>
      </c>
    </row>
    <row r="1433" spans="4:12" x14ac:dyDescent="0.25">
      <c r="D1433">
        <f t="shared" si="44"/>
        <v>0</v>
      </c>
      <c r="H1433">
        <v>1431</v>
      </c>
      <c r="I1433" s="1">
        <v>46390</v>
      </c>
      <c r="J1433">
        <f t="array" ref="J1433">INDEX($D$3:$D$62,MATCH(1, (YEAR(I1433)=YEAR($A$3:$A$62))*(MONTH(I1433)=MONTH($A$3:$A$62)),0))</f>
        <v>37173.838396734995</v>
      </c>
      <c r="K1433">
        <f t="array" ref="K1433">INDEX($G$3:$G$200,MATCH(1, (YEAR(I1433)=YEAR($A$3:$A$2000))*(MONTH(I1433)=MONTH($A$3:$A$2000)),0))</f>
        <v>55185.926680554949</v>
      </c>
      <c r="L1433">
        <f t="shared" si="45"/>
        <v>38612.607038678951</v>
      </c>
    </row>
    <row r="1434" spans="4:12" x14ac:dyDescent="0.25">
      <c r="D1434">
        <f t="shared" si="44"/>
        <v>0</v>
      </c>
      <c r="H1434">
        <v>1432</v>
      </c>
      <c r="I1434" s="1">
        <v>46391</v>
      </c>
      <c r="J1434">
        <f t="array" ref="J1434">INDEX($D$3:$D$62,MATCH(1, (YEAR(I1434)=YEAR($A$3:$A$62))*(MONTH(I1434)=MONTH($A$3:$A$62)),0))</f>
        <v>37173.838396734995</v>
      </c>
      <c r="K1434">
        <f t="array" ref="K1434">INDEX($G$3:$G$200,MATCH(1, (YEAR(I1434)=YEAR($A$3:$A$2000))*(MONTH(I1434)=MONTH($A$3:$A$2000)),0))</f>
        <v>55185.926680554949</v>
      </c>
      <c r="L1434">
        <f t="shared" si="45"/>
        <v>38585.582911743986</v>
      </c>
    </row>
    <row r="1435" spans="4:12" x14ac:dyDescent="0.25">
      <c r="D1435">
        <f t="shared" si="44"/>
        <v>0</v>
      </c>
      <c r="H1435">
        <v>1433</v>
      </c>
      <c r="I1435" s="1">
        <v>46392</v>
      </c>
      <c r="J1435">
        <f t="array" ref="J1435">INDEX($D$3:$D$62,MATCH(1, (YEAR(I1435)=YEAR($A$3:$A$62))*(MONTH(I1435)=MONTH($A$3:$A$62)),0))</f>
        <v>37173.838396734995</v>
      </c>
      <c r="K1435">
        <f t="array" ref="K1435">INDEX($G$3:$G$200,MATCH(1, (YEAR(I1435)=YEAR($A$3:$A$2000))*(MONTH(I1435)=MONTH($A$3:$A$2000)),0))</f>
        <v>55185.926680554949</v>
      </c>
      <c r="L1435">
        <f t="shared" si="45"/>
        <v>38558.570239136985</v>
      </c>
    </row>
    <row r="1436" spans="4:12" x14ac:dyDescent="0.25">
      <c r="D1436">
        <f t="shared" si="44"/>
        <v>0</v>
      </c>
      <c r="H1436">
        <v>1434</v>
      </c>
      <c r="I1436" s="1">
        <v>46393</v>
      </c>
      <c r="J1436">
        <f t="array" ref="J1436">INDEX($D$3:$D$62,MATCH(1, (YEAR(I1436)=YEAR($A$3:$A$62))*(MONTH(I1436)=MONTH($A$3:$A$62)),0))</f>
        <v>37173.838396734995</v>
      </c>
      <c r="K1436">
        <f t="array" ref="K1436">INDEX($G$3:$G$200,MATCH(1, (YEAR(I1436)=YEAR($A$3:$A$2000))*(MONTH(I1436)=MONTH($A$3:$A$2000)),0))</f>
        <v>55185.926680554949</v>
      </c>
      <c r="L1436">
        <f t="shared" si="45"/>
        <v>38531.569010784006</v>
      </c>
    </row>
    <row r="1437" spans="4:12" x14ac:dyDescent="0.25">
      <c r="D1437">
        <f t="shared" si="44"/>
        <v>0</v>
      </c>
      <c r="H1437">
        <v>1435</v>
      </c>
      <c r="I1437" s="1">
        <v>46394</v>
      </c>
      <c r="J1437">
        <f t="array" ref="J1437">INDEX($D$3:$D$62,MATCH(1, (YEAR(I1437)=YEAR($A$3:$A$62))*(MONTH(I1437)=MONTH($A$3:$A$62)),0))</f>
        <v>37173.838396734995</v>
      </c>
      <c r="K1437">
        <f t="array" ref="K1437">INDEX($G$3:$G$200,MATCH(1, (YEAR(I1437)=YEAR($A$3:$A$2000))*(MONTH(I1437)=MONTH($A$3:$A$2000)),0))</f>
        <v>55185.926680554949</v>
      </c>
      <c r="L1437">
        <f t="shared" si="45"/>
        <v>38504.579216899001</v>
      </c>
    </row>
    <row r="1438" spans="4:12" x14ac:dyDescent="0.25">
      <c r="D1438">
        <f t="shared" si="44"/>
        <v>0</v>
      </c>
      <c r="H1438">
        <v>1436</v>
      </c>
      <c r="I1438" s="1">
        <v>46395</v>
      </c>
      <c r="J1438">
        <f t="array" ref="J1438">INDEX($D$3:$D$62,MATCH(1, (YEAR(I1438)=YEAR($A$3:$A$62))*(MONTH(I1438)=MONTH($A$3:$A$62)),0))</f>
        <v>37173.838396734995</v>
      </c>
      <c r="K1438">
        <f t="array" ref="K1438">INDEX($G$3:$G$200,MATCH(1, (YEAR(I1438)=YEAR($A$3:$A$2000))*(MONTH(I1438)=MONTH($A$3:$A$2000)),0))</f>
        <v>55185.926680554949</v>
      </c>
      <c r="L1438">
        <f t="shared" si="45"/>
        <v>38477.600847983966</v>
      </c>
    </row>
    <row r="1439" spans="4:12" x14ac:dyDescent="0.25">
      <c r="D1439">
        <f t="shared" si="44"/>
        <v>0</v>
      </c>
      <c r="H1439">
        <v>1437</v>
      </c>
      <c r="I1439" s="1">
        <v>46396</v>
      </c>
      <c r="J1439">
        <f t="array" ref="J1439">INDEX($D$3:$D$62,MATCH(1, (YEAR(I1439)=YEAR($A$3:$A$62))*(MONTH(I1439)=MONTH($A$3:$A$62)),0))</f>
        <v>37173.838396734995</v>
      </c>
      <c r="K1439">
        <f t="array" ref="K1439">INDEX($G$3:$G$200,MATCH(1, (YEAR(I1439)=YEAR($A$3:$A$2000))*(MONTH(I1439)=MONTH($A$3:$A$2000)),0))</f>
        <v>55185.926680554949</v>
      </c>
      <c r="L1439">
        <f t="shared" si="45"/>
        <v>38450.633894828963</v>
      </c>
    </row>
    <row r="1440" spans="4:12" x14ac:dyDescent="0.25">
      <c r="D1440">
        <f t="shared" si="44"/>
        <v>0</v>
      </c>
      <c r="H1440">
        <v>1438</v>
      </c>
      <c r="I1440" s="1">
        <v>46397</v>
      </c>
      <c r="J1440">
        <f t="array" ref="J1440">INDEX($D$3:$D$62,MATCH(1, (YEAR(I1440)=YEAR($A$3:$A$62))*(MONTH(I1440)=MONTH($A$3:$A$62)),0))</f>
        <v>37173.838396734995</v>
      </c>
      <c r="K1440">
        <f t="array" ref="K1440">INDEX($G$3:$G$200,MATCH(1, (YEAR(I1440)=YEAR($A$3:$A$2000))*(MONTH(I1440)=MONTH($A$3:$A$2000)),0))</f>
        <v>55185.926680554949</v>
      </c>
      <c r="L1440">
        <f t="shared" si="45"/>
        <v>38423.678348511981</v>
      </c>
    </row>
    <row r="1441" spans="4:12" x14ac:dyDescent="0.25">
      <c r="D1441">
        <f t="shared" si="44"/>
        <v>0</v>
      </c>
      <c r="H1441">
        <v>1439</v>
      </c>
      <c r="I1441" s="1">
        <v>46398</v>
      </c>
      <c r="J1441">
        <f t="array" ref="J1441">INDEX($D$3:$D$62,MATCH(1, (YEAR(I1441)=YEAR($A$3:$A$62))*(MONTH(I1441)=MONTH($A$3:$A$62)),0))</f>
        <v>37173.838396734995</v>
      </c>
      <c r="K1441">
        <f t="array" ref="K1441">INDEX($G$3:$G$200,MATCH(1, (YEAR(I1441)=YEAR($A$3:$A$2000))*(MONTH(I1441)=MONTH($A$3:$A$2000)),0))</f>
        <v>55185.926680554949</v>
      </c>
      <c r="L1441">
        <f t="shared" si="45"/>
        <v>38396.734200398962</v>
      </c>
    </row>
    <row r="1442" spans="4:12" x14ac:dyDescent="0.25">
      <c r="D1442">
        <f t="shared" si="44"/>
        <v>0</v>
      </c>
      <c r="H1442">
        <v>1440</v>
      </c>
      <c r="I1442" s="1">
        <v>46399</v>
      </c>
      <c r="J1442">
        <f t="array" ref="J1442">INDEX($D$3:$D$62,MATCH(1, (YEAR(I1442)=YEAR($A$3:$A$62))*(MONTH(I1442)=MONTH($A$3:$A$62)),0))</f>
        <v>37173.838396734995</v>
      </c>
      <c r="K1442">
        <f t="array" ref="K1442">INDEX($G$3:$G$200,MATCH(1, (YEAR(I1442)=YEAR($A$3:$A$2000))*(MONTH(I1442)=MONTH($A$3:$A$2000)),0))</f>
        <v>55185.926680554949</v>
      </c>
      <c r="L1442">
        <f t="shared" si="45"/>
        <v>38369.801442143973</v>
      </c>
    </row>
    <row r="1443" spans="4:12" x14ac:dyDescent="0.25">
      <c r="D1443">
        <f t="shared" si="44"/>
        <v>0</v>
      </c>
      <c r="H1443">
        <v>1441</v>
      </c>
      <c r="I1443" s="1">
        <v>46400</v>
      </c>
      <c r="J1443">
        <f t="array" ref="J1443">INDEX($D$3:$D$62,MATCH(1, (YEAR(I1443)=YEAR($A$3:$A$62))*(MONTH(I1443)=MONTH($A$3:$A$62)),0))</f>
        <v>37173.838396734995</v>
      </c>
      <c r="K1443">
        <f t="array" ref="K1443">INDEX($G$3:$G$200,MATCH(1, (YEAR(I1443)=YEAR($A$3:$A$2000))*(MONTH(I1443)=MONTH($A$3:$A$2000)),0))</f>
        <v>55185.926680554949</v>
      </c>
      <c r="L1443">
        <f t="shared" si="45"/>
        <v>38342.88006568898</v>
      </c>
    </row>
    <row r="1444" spans="4:12" x14ac:dyDescent="0.25">
      <c r="D1444">
        <f t="shared" si="44"/>
        <v>0</v>
      </c>
      <c r="H1444">
        <v>1442</v>
      </c>
      <c r="I1444" s="1">
        <v>46401</v>
      </c>
      <c r="J1444">
        <f t="array" ref="J1444">INDEX($D$3:$D$62,MATCH(1, (YEAR(I1444)=YEAR($A$3:$A$62))*(MONTH(I1444)=MONTH($A$3:$A$62)),0))</f>
        <v>37173.838396734995</v>
      </c>
      <c r="K1444">
        <f t="array" ref="K1444">INDEX($G$3:$G$200,MATCH(1, (YEAR(I1444)=YEAR($A$3:$A$2000))*(MONTH(I1444)=MONTH($A$3:$A$2000)),0))</f>
        <v>55185.926680554949</v>
      </c>
      <c r="L1444">
        <f t="shared" si="45"/>
        <v>38315.970063263987</v>
      </c>
    </row>
    <row r="1445" spans="4:12" x14ac:dyDescent="0.25">
      <c r="D1445">
        <f t="shared" si="44"/>
        <v>0</v>
      </c>
      <c r="H1445">
        <v>1443</v>
      </c>
      <c r="I1445" s="1">
        <v>46402</v>
      </c>
      <c r="J1445">
        <f t="array" ref="J1445">INDEX($D$3:$D$62,MATCH(1, (YEAR(I1445)=YEAR($A$3:$A$62))*(MONTH(I1445)=MONTH($A$3:$A$62)),0))</f>
        <v>37173.838396734995</v>
      </c>
      <c r="K1445">
        <f t="array" ref="K1445">INDEX($G$3:$G$200,MATCH(1, (YEAR(I1445)=YEAR($A$3:$A$2000))*(MONTH(I1445)=MONTH($A$3:$A$2000)),0))</f>
        <v>55185.926680554949</v>
      </c>
      <c r="L1445">
        <f t="shared" si="45"/>
        <v>38289.071427386953</v>
      </c>
    </row>
    <row r="1446" spans="4:12" x14ac:dyDescent="0.25">
      <c r="D1446">
        <f t="shared" si="44"/>
        <v>0</v>
      </c>
      <c r="H1446">
        <v>1444</v>
      </c>
      <c r="I1446" s="1">
        <v>46403</v>
      </c>
      <c r="J1446">
        <f t="array" ref="J1446">INDEX($D$3:$D$62,MATCH(1, (YEAR(I1446)=YEAR($A$3:$A$62))*(MONTH(I1446)=MONTH($A$3:$A$62)),0))</f>
        <v>37173.838396734995</v>
      </c>
      <c r="K1446">
        <f t="array" ref="K1446">INDEX($G$3:$G$200,MATCH(1, (YEAR(I1446)=YEAR($A$3:$A$2000))*(MONTH(I1446)=MONTH($A$3:$A$2000)),0))</f>
        <v>55185.926680554949</v>
      </c>
      <c r="L1446">
        <f t="shared" si="45"/>
        <v>38262.184150863963</v>
      </c>
    </row>
    <row r="1447" spans="4:12" x14ac:dyDescent="0.25">
      <c r="D1447">
        <f t="shared" si="44"/>
        <v>0</v>
      </c>
      <c r="H1447">
        <v>1445</v>
      </c>
      <c r="I1447" s="1">
        <v>46404</v>
      </c>
      <c r="J1447">
        <f t="array" ref="J1447">INDEX($D$3:$D$62,MATCH(1, (YEAR(I1447)=YEAR($A$3:$A$62))*(MONTH(I1447)=MONTH($A$3:$A$62)),0))</f>
        <v>37173.838396734995</v>
      </c>
      <c r="K1447">
        <f t="array" ref="K1447">INDEX($G$3:$G$200,MATCH(1, (YEAR(I1447)=YEAR($A$3:$A$2000))*(MONTH(I1447)=MONTH($A$3:$A$2000)),0))</f>
        <v>55185.926680554949</v>
      </c>
      <c r="L1447">
        <f t="shared" si="45"/>
        <v>38235.308226788969</v>
      </c>
    </row>
    <row r="1448" spans="4:12" x14ac:dyDescent="0.25">
      <c r="D1448">
        <f t="shared" si="44"/>
        <v>0</v>
      </c>
      <c r="H1448">
        <v>1446</v>
      </c>
      <c r="I1448" s="1">
        <v>46405</v>
      </c>
      <c r="J1448">
        <f t="array" ref="J1448">INDEX($D$3:$D$62,MATCH(1, (YEAR(I1448)=YEAR($A$3:$A$62))*(MONTH(I1448)=MONTH($A$3:$A$62)),0))</f>
        <v>37173.838396734995</v>
      </c>
      <c r="K1448">
        <f t="array" ref="K1448">INDEX($G$3:$G$200,MATCH(1, (YEAR(I1448)=YEAR($A$3:$A$2000))*(MONTH(I1448)=MONTH($A$3:$A$2000)),0))</f>
        <v>55185.926680554949</v>
      </c>
      <c r="L1448">
        <f t="shared" si="45"/>
        <v>38208.443648543936</v>
      </c>
    </row>
    <row r="1449" spans="4:12" x14ac:dyDescent="0.25">
      <c r="D1449">
        <f t="shared" si="44"/>
        <v>0</v>
      </c>
      <c r="H1449">
        <v>1447</v>
      </c>
      <c r="I1449" s="1">
        <v>46406</v>
      </c>
      <c r="J1449">
        <f t="array" ref="J1449">INDEX($D$3:$D$62,MATCH(1, (YEAR(I1449)=YEAR($A$3:$A$62))*(MONTH(I1449)=MONTH($A$3:$A$62)),0))</f>
        <v>37173.838396734995</v>
      </c>
      <c r="K1449">
        <f t="array" ref="K1449">INDEX($G$3:$G$200,MATCH(1, (YEAR(I1449)=YEAR($A$3:$A$2000))*(MONTH(I1449)=MONTH($A$3:$A$2000)),0))</f>
        <v>55185.926680554949</v>
      </c>
      <c r="L1449">
        <f t="shared" si="45"/>
        <v>38181.590409799013</v>
      </c>
    </row>
    <row r="1450" spans="4:12" x14ac:dyDescent="0.25">
      <c r="D1450">
        <f t="shared" si="44"/>
        <v>0</v>
      </c>
      <c r="H1450">
        <v>1448</v>
      </c>
      <c r="I1450" s="1">
        <v>46407</v>
      </c>
      <c r="J1450">
        <f t="array" ref="J1450">INDEX($D$3:$D$62,MATCH(1, (YEAR(I1450)=YEAR($A$3:$A$62))*(MONTH(I1450)=MONTH($A$3:$A$62)),0))</f>
        <v>37173.838396734995</v>
      </c>
      <c r="K1450">
        <f t="array" ref="K1450">INDEX($G$3:$G$200,MATCH(1, (YEAR(I1450)=YEAR($A$3:$A$2000))*(MONTH(I1450)=MONTH($A$3:$A$2000)),0))</f>
        <v>55185.926680554949</v>
      </c>
      <c r="L1450">
        <f t="shared" si="45"/>
        <v>38154.748504512012</v>
      </c>
    </row>
    <row r="1451" spans="4:12" x14ac:dyDescent="0.25">
      <c r="D1451">
        <f t="shared" si="44"/>
        <v>0</v>
      </c>
      <c r="H1451">
        <v>1449</v>
      </c>
      <c r="I1451" s="1">
        <v>46408</v>
      </c>
      <c r="J1451">
        <f t="array" ref="J1451">INDEX($D$3:$D$62,MATCH(1, (YEAR(I1451)=YEAR($A$3:$A$62))*(MONTH(I1451)=MONTH($A$3:$A$62)),0))</f>
        <v>37173.838396734995</v>
      </c>
      <c r="K1451">
        <f t="array" ref="K1451">INDEX($G$3:$G$200,MATCH(1, (YEAR(I1451)=YEAR($A$3:$A$2000))*(MONTH(I1451)=MONTH($A$3:$A$2000)),0))</f>
        <v>55185.926680554949</v>
      </c>
      <c r="L1451">
        <f t="shared" si="45"/>
        <v>38127.917926928989</v>
      </c>
    </row>
    <row r="1452" spans="4:12" x14ac:dyDescent="0.25">
      <c r="D1452">
        <f t="shared" si="44"/>
        <v>0</v>
      </c>
      <c r="H1452">
        <v>1450</v>
      </c>
      <c r="I1452" s="1">
        <v>46409</v>
      </c>
      <c r="J1452">
        <f t="array" ref="J1452">INDEX($D$3:$D$62,MATCH(1, (YEAR(I1452)=YEAR($A$3:$A$62))*(MONTH(I1452)=MONTH($A$3:$A$62)),0))</f>
        <v>37173.838396734995</v>
      </c>
      <c r="K1452">
        <f t="array" ref="K1452">INDEX($G$3:$G$200,MATCH(1, (YEAR(I1452)=YEAR($A$3:$A$2000))*(MONTH(I1452)=MONTH($A$3:$A$2000)),0))</f>
        <v>55185.926680554949</v>
      </c>
      <c r="L1452">
        <f t="shared" si="45"/>
        <v>38101.098671583983</v>
      </c>
    </row>
    <row r="1453" spans="4:12" x14ac:dyDescent="0.25">
      <c r="D1453">
        <f t="shared" si="44"/>
        <v>0</v>
      </c>
      <c r="H1453">
        <v>1451</v>
      </c>
      <c r="I1453" s="1">
        <v>46410</v>
      </c>
      <c r="J1453">
        <f t="array" ref="J1453">INDEX($D$3:$D$62,MATCH(1, (YEAR(I1453)=YEAR($A$3:$A$62))*(MONTH(I1453)=MONTH($A$3:$A$62)),0))</f>
        <v>37173.838396734995</v>
      </c>
      <c r="K1453">
        <f t="array" ref="K1453">INDEX($G$3:$G$200,MATCH(1, (YEAR(I1453)=YEAR($A$3:$A$2000))*(MONTH(I1453)=MONTH($A$3:$A$2000)),0))</f>
        <v>55185.926680554949</v>
      </c>
      <c r="L1453">
        <f t="shared" si="45"/>
        <v>38074.290733298956</v>
      </c>
    </row>
    <row r="1454" spans="4:12" x14ac:dyDescent="0.25">
      <c r="D1454">
        <f t="shared" si="44"/>
        <v>0</v>
      </c>
      <c r="H1454">
        <v>1452</v>
      </c>
      <c r="I1454" s="1">
        <v>46411</v>
      </c>
      <c r="J1454">
        <f t="array" ref="J1454">INDEX($D$3:$D$62,MATCH(1, (YEAR(I1454)=YEAR($A$3:$A$62))*(MONTH(I1454)=MONTH($A$3:$A$62)),0))</f>
        <v>37173.838396734995</v>
      </c>
      <c r="K1454">
        <f t="array" ref="K1454">INDEX($G$3:$G$200,MATCH(1, (YEAR(I1454)=YEAR($A$3:$A$2000))*(MONTH(I1454)=MONTH($A$3:$A$2000)),0))</f>
        <v>55185.926680554949</v>
      </c>
      <c r="L1454">
        <f t="shared" si="45"/>
        <v>38047.494107184</v>
      </c>
    </row>
    <row r="1455" spans="4:12" x14ac:dyDescent="0.25">
      <c r="D1455">
        <f t="shared" si="44"/>
        <v>0</v>
      </c>
      <c r="H1455">
        <v>1453</v>
      </c>
      <c r="I1455" s="1">
        <v>46412</v>
      </c>
      <c r="J1455">
        <f t="array" ref="J1455">INDEX($D$3:$D$62,MATCH(1, (YEAR(I1455)=YEAR($A$3:$A$62))*(MONTH(I1455)=MONTH($A$3:$A$62)),0))</f>
        <v>37173.838396734995</v>
      </c>
      <c r="K1455">
        <f t="array" ref="K1455">INDEX($G$3:$G$200,MATCH(1, (YEAR(I1455)=YEAR($A$3:$A$2000))*(MONTH(I1455)=MONTH($A$3:$A$2000)),0))</f>
        <v>55185.926680554949</v>
      </c>
      <c r="L1455">
        <f t="shared" si="45"/>
        <v>38020.708788636985</v>
      </c>
    </row>
    <row r="1456" spans="4:12" x14ac:dyDescent="0.25">
      <c r="D1456">
        <f t="shared" si="44"/>
        <v>0</v>
      </c>
      <c r="H1456">
        <v>1454</v>
      </c>
      <c r="I1456" s="1">
        <v>46413</v>
      </c>
      <c r="J1456">
        <f t="array" ref="J1456">INDEX($D$3:$D$62,MATCH(1, (YEAR(I1456)=YEAR($A$3:$A$62))*(MONTH(I1456)=MONTH($A$3:$A$62)),0))</f>
        <v>37173.838396734995</v>
      </c>
      <c r="K1456">
        <f t="array" ref="K1456">INDEX($G$3:$G$200,MATCH(1, (YEAR(I1456)=YEAR($A$3:$A$2000))*(MONTH(I1456)=MONTH($A$3:$A$2000)),0))</f>
        <v>55185.926680554949</v>
      </c>
      <c r="L1456">
        <f t="shared" si="45"/>
        <v>37993.934773343964</v>
      </c>
    </row>
    <row r="1457" spans="4:12" x14ac:dyDescent="0.25">
      <c r="D1457">
        <f t="shared" si="44"/>
        <v>0</v>
      </c>
      <c r="H1457">
        <v>1455</v>
      </c>
      <c r="I1457" s="1">
        <v>46414</v>
      </c>
      <c r="J1457">
        <f t="array" ref="J1457">INDEX($D$3:$D$62,MATCH(1, (YEAR(I1457)=YEAR($A$3:$A$62))*(MONTH(I1457)=MONTH($A$3:$A$62)),0))</f>
        <v>37173.838396734995</v>
      </c>
      <c r="K1457">
        <f t="array" ref="K1457">INDEX($G$3:$G$200,MATCH(1, (YEAR(I1457)=YEAR($A$3:$A$2000))*(MONTH(I1457)=MONTH($A$3:$A$2000)),0))</f>
        <v>55185.926680554949</v>
      </c>
      <c r="L1457">
        <f t="shared" si="45"/>
        <v>37967.172057279007</v>
      </c>
    </row>
    <row r="1458" spans="4:12" x14ac:dyDescent="0.25">
      <c r="D1458">
        <f t="shared" si="44"/>
        <v>0</v>
      </c>
      <c r="H1458">
        <v>1456</v>
      </c>
      <c r="I1458" s="1">
        <v>46415</v>
      </c>
      <c r="J1458">
        <f t="array" ref="J1458">INDEX($D$3:$D$62,MATCH(1, (YEAR(I1458)=YEAR($A$3:$A$62))*(MONTH(I1458)=MONTH($A$3:$A$62)),0))</f>
        <v>37173.838396734995</v>
      </c>
      <c r="K1458">
        <f t="array" ref="K1458">INDEX($G$3:$G$200,MATCH(1, (YEAR(I1458)=YEAR($A$3:$A$2000))*(MONTH(I1458)=MONTH($A$3:$A$2000)),0))</f>
        <v>55185.926680554949</v>
      </c>
      <c r="L1458">
        <f t="shared" si="45"/>
        <v>37940.420636703988</v>
      </c>
    </row>
    <row r="1459" spans="4:12" x14ac:dyDescent="0.25">
      <c r="D1459">
        <f t="shared" si="44"/>
        <v>0</v>
      </c>
      <c r="H1459">
        <v>1457</v>
      </c>
      <c r="I1459" s="1">
        <v>46416</v>
      </c>
      <c r="J1459">
        <f t="array" ref="J1459">INDEX($D$3:$D$62,MATCH(1, (YEAR(I1459)=YEAR($A$3:$A$62))*(MONTH(I1459)=MONTH($A$3:$A$62)),0))</f>
        <v>37173.838396734995</v>
      </c>
      <c r="K1459">
        <f t="array" ref="K1459">INDEX($G$3:$G$200,MATCH(1, (YEAR(I1459)=YEAR($A$3:$A$2000))*(MONTH(I1459)=MONTH($A$3:$A$2000)),0))</f>
        <v>55185.926680554949</v>
      </c>
      <c r="L1459">
        <f t="shared" si="45"/>
        <v>37913.680508168996</v>
      </c>
    </row>
    <row r="1460" spans="4:12" x14ac:dyDescent="0.25">
      <c r="D1460">
        <f t="shared" si="44"/>
        <v>0</v>
      </c>
      <c r="H1460">
        <v>1458</v>
      </c>
      <c r="I1460" s="1">
        <v>46417</v>
      </c>
      <c r="J1460">
        <f t="array" ref="J1460">INDEX($D$3:$D$62,MATCH(1, (YEAR(I1460)=YEAR($A$3:$A$62))*(MONTH(I1460)=MONTH($A$3:$A$62)),0))</f>
        <v>37173.838396734995</v>
      </c>
      <c r="K1460">
        <f t="array" ref="K1460">INDEX($G$3:$G$200,MATCH(1, (YEAR(I1460)=YEAR($A$3:$A$2000))*(MONTH(I1460)=MONTH($A$3:$A$2000)),0))</f>
        <v>55185.926680554949</v>
      </c>
      <c r="L1460">
        <f t="shared" si="45"/>
        <v>37886.951668511989</v>
      </c>
    </row>
    <row r="1461" spans="4:12" x14ac:dyDescent="0.25">
      <c r="D1461">
        <f t="shared" si="44"/>
        <v>0</v>
      </c>
      <c r="H1461">
        <v>1459</v>
      </c>
      <c r="I1461" s="1">
        <v>46418</v>
      </c>
      <c r="J1461">
        <f t="array" ref="J1461">INDEX($D$3:$D$62,MATCH(1, (YEAR(I1461)=YEAR($A$3:$A$62))*(MONTH(I1461)=MONTH($A$3:$A$62)),0))</f>
        <v>37173.838396734995</v>
      </c>
      <c r="K1461">
        <f t="array" ref="K1461">INDEX($G$3:$G$200,MATCH(1, (YEAR(I1461)=YEAR($A$3:$A$2000))*(MONTH(I1461)=MONTH($A$3:$A$2000)),0))</f>
        <v>55185.926680554949</v>
      </c>
      <c r="L1461">
        <f t="shared" si="45"/>
        <v>37860.234114858962</v>
      </c>
    </row>
    <row r="1462" spans="4:12" x14ac:dyDescent="0.25">
      <c r="D1462">
        <f t="shared" si="44"/>
        <v>0</v>
      </c>
      <c r="H1462">
        <v>1460</v>
      </c>
      <c r="I1462" s="1">
        <v>46419</v>
      </c>
      <c r="J1462">
        <f t="array" ref="J1462">INDEX($D$3:$D$62,MATCH(1, (YEAR(I1462)=YEAR($A$3:$A$62))*(MONTH(I1462)=MONTH($A$3:$A$62)),0))</f>
        <v>36206.774647281032</v>
      </c>
      <c r="K1462">
        <f t="array" ref="K1462">INDEX($G$3:$G$200,MATCH(1, (YEAR(I1462)=YEAR($A$3:$A$2000))*(MONTH(I1462)=MONTH($A$3:$A$2000)),0))</f>
        <v>53883.793127120109</v>
      </c>
      <c r="L1462">
        <f t="shared" si="45"/>
        <v>37833.527844623954</v>
      </c>
    </row>
    <row r="1463" spans="4:12" x14ac:dyDescent="0.25">
      <c r="D1463">
        <f t="shared" si="44"/>
        <v>0</v>
      </c>
      <c r="H1463">
        <v>1461</v>
      </c>
      <c r="I1463" s="1">
        <v>46420</v>
      </c>
      <c r="J1463">
        <f t="array" ref="J1463">INDEX($D$3:$D$62,MATCH(1, (YEAR(I1463)=YEAR($A$3:$A$62))*(MONTH(I1463)=MONTH($A$3:$A$62)),0))</f>
        <v>36206.774647281032</v>
      </c>
      <c r="K1463">
        <f t="array" ref="K1463">INDEX($G$3:$G$200,MATCH(1, (YEAR(I1463)=YEAR($A$3:$A$2000))*(MONTH(I1463)=MONTH($A$3:$A$2000)),0))</f>
        <v>53883.793127120109</v>
      </c>
      <c r="L1463">
        <f t="shared" si="45"/>
        <v>37806.832855508983</v>
      </c>
    </row>
    <row r="1464" spans="4:12" x14ac:dyDescent="0.25">
      <c r="D1464">
        <f t="shared" si="44"/>
        <v>0</v>
      </c>
      <c r="H1464">
        <v>1462</v>
      </c>
      <c r="I1464" s="1">
        <v>46421</v>
      </c>
      <c r="J1464">
        <f t="array" ref="J1464">INDEX($D$3:$D$62,MATCH(1, (YEAR(I1464)=YEAR($A$3:$A$62))*(MONTH(I1464)=MONTH($A$3:$A$62)),0))</f>
        <v>36206.774647281032</v>
      </c>
      <c r="K1464">
        <f t="array" ref="K1464">INDEX($G$3:$G$200,MATCH(1, (YEAR(I1464)=YEAR($A$3:$A$2000))*(MONTH(I1464)=MONTH($A$3:$A$2000)),0))</f>
        <v>53883.793127120109</v>
      </c>
      <c r="L1464">
        <f t="shared" si="45"/>
        <v>37780.149145503936</v>
      </c>
    </row>
    <row r="1465" spans="4:12" x14ac:dyDescent="0.25">
      <c r="D1465">
        <f t="shared" si="44"/>
        <v>0</v>
      </c>
      <c r="H1465">
        <v>1463</v>
      </c>
      <c r="I1465" s="1">
        <v>46422</v>
      </c>
      <c r="J1465">
        <f t="array" ref="J1465">INDEX($D$3:$D$62,MATCH(1, (YEAR(I1465)=YEAR($A$3:$A$62))*(MONTH(I1465)=MONTH($A$3:$A$62)),0))</f>
        <v>36206.774647281032</v>
      </c>
      <c r="K1465">
        <f t="array" ref="K1465">INDEX($G$3:$G$200,MATCH(1, (YEAR(I1465)=YEAR($A$3:$A$2000))*(MONTH(I1465)=MONTH($A$3:$A$2000)),0))</f>
        <v>53883.793127120109</v>
      </c>
      <c r="L1465">
        <f t="shared" si="45"/>
        <v>37753.476712887001</v>
      </c>
    </row>
    <row r="1466" spans="4:12" x14ac:dyDescent="0.25">
      <c r="D1466">
        <f t="shared" si="44"/>
        <v>0</v>
      </c>
      <c r="H1466">
        <v>1464</v>
      </c>
      <c r="I1466" s="1">
        <v>46423</v>
      </c>
      <c r="J1466">
        <f t="array" ref="J1466">INDEX($D$3:$D$62,MATCH(1, (YEAR(I1466)=YEAR($A$3:$A$62))*(MONTH(I1466)=MONTH($A$3:$A$62)),0))</f>
        <v>36206.774647281032</v>
      </c>
      <c r="K1466">
        <f t="array" ref="K1466">INDEX($G$3:$G$200,MATCH(1, (YEAR(I1466)=YEAR($A$3:$A$2000))*(MONTH(I1466)=MONTH($A$3:$A$2000)),0))</f>
        <v>53883.793127120109</v>
      </c>
      <c r="L1466">
        <f t="shared" si="45"/>
        <v>37726.815556224028</v>
      </c>
    </row>
    <row r="1467" spans="4:12" x14ac:dyDescent="0.25">
      <c r="D1467">
        <f t="shared" si="44"/>
        <v>0</v>
      </c>
      <c r="H1467">
        <v>1465</v>
      </c>
      <c r="I1467" s="1">
        <v>46424</v>
      </c>
      <c r="J1467">
        <f t="array" ref="J1467">INDEX($D$3:$D$62,MATCH(1, (YEAR(I1467)=YEAR($A$3:$A$62))*(MONTH(I1467)=MONTH($A$3:$A$62)),0))</f>
        <v>36206.774647281032</v>
      </c>
      <c r="K1467">
        <f t="array" ref="K1467">INDEX($G$3:$G$200,MATCH(1, (YEAR(I1467)=YEAR($A$3:$A$2000))*(MONTH(I1467)=MONTH($A$3:$A$2000)),0))</f>
        <v>53883.793127120109</v>
      </c>
      <c r="L1467">
        <f t="shared" si="45"/>
        <v>37700.165674368967</v>
      </c>
    </row>
    <row r="1468" spans="4:12" x14ac:dyDescent="0.25">
      <c r="D1468">
        <f t="shared" si="44"/>
        <v>0</v>
      </c>
      <c r="H1468">
        <v>1466</v>
      </c>
      <c r="I1468" s="1">
        <v>46425</v>
      </c>
      <c r="J1468">
        <f t="array" ref="J1468">INDEX($D$3:$D$62,MATCH(1, (YEAR(I1468)=YEAR($A$3:$A$62))*(MONTH(I1468)=MONTH($A$3:$A$62)),0))</f>
        <v>36206.774647281032</v>
      </c>
      <c r="K1468">
        <f t="array" ref="K1468">INDEX($G$3:$G$200,MATCH(1, (YEAR(I1468)=YEAR($A$3:$A$2000))*(MONTH(I1468)=MONTH($A$3:$A$2000)),0))</f>
        <v>53883.793127120109</v>
      </c>
      <c r="L1468">
        <f t="shared" si="45"/>
        <v>37673.527066463983</v>
      </c>
    </row>
    <row r="1469" spans="4:12" x14ac:dyDescent="0.25">
      <c r="D1469">
        <f t="shared" si="44"/>
        <v>0</v>
      </c>
      <c r="H1469">
        <v>1467</v>
      </c>
      <c r="I1469" s="1">
        <v>46426</v>
      </c>
      <c r="J1469">
        <f t="array" ref="J1469">INDEX($D$3:$D$62,MATCH(1, (YEAR(I1469)=YEAR($A$3:$A$62))*(MONTH(I1469)=MONTH($A$3:$A$62)),0))</f>
        <v>36206.774647281032</v>
      </c>
      <c r="K1469">
        <f t="array" ref="K1469">INDEX($G$3:$G$200,MATCH(1, (YEAR(I1469)=YEAR($A$3:$A$2000))*(MONTH(I1469)=MONTH($A$3:$A$2000)),0))</f>
        <v>53883.793127120109</v>
      </c>
      <c r="L1469">
        <f t="shared" si="45"/>
        <v>37646.89973193896</v>
      </c>
    </row>
    <row r="1470" spans="4:12" x14ac:dyDescent="0.25">
      <c r="D1470">
        <f t="shared" si="44"/>
        <v>0</v>
      </c>
      <c r="H1470">
        <v>1468</v>
      </c>
      <c r="I1470" s="1">
        <v>46427</v>
      </c>
      <c r="J1470">
        <f t="array" ref="J1470">INDEX($D$3:$D$62,MATCH(1, (YEAR(I1470)=YEAR($A$3:$A$62))*(MONTH(I1470)=MONTH($A$3:$A$62)),0))</f>
        <v>36206.774647281032</v>
      </c>
      <c r="K1470">
        <f t="array" ref="K1470">INDEX($G$3:$G$200,MATCH(1, (YEAR(I1470)=YEAR($A$3:$A$2000))*(MONTH(I1470)=MONTH($A$3:$A$2000)),0))</f>
        <v>53883.793127120109</v>
      </c>
      <c r="L1470">
        <f t="shared" si="45"/>
        <v>37620.28367051197</v>
      </c>
    </row>
    <row r="1471" spans="4:12" x14ac:dyDescent="0.25">
      <c r="D1471">
        <f t="shared" si="44"/>
        <v>0</v>
      </c>
      <c r="H1471">
        <v>1469</v>
      </c>
      <c r="I1471" s="1">
        <v>46428</v>
      </c>
      <c r="J1471">
        <f t="array" ref="J1471">INDEX($D$3:$D$62,MATCH(1, (YEAR(I1471)=YEAR($A$3:$A$62))*(MONTH(I1471)=MONTH($A$3:$A$62)),0))</f>
        <v>36206.774647281032</v>
      </c>
      <c r="K1471">
        <f t="array" ref="K1471">INDEX($G$3:$G$200,MATCH(1, (YEAR(I1471)=YEAR($A$3:$A$2000))*(MONTH(I1471)=MONTH($A$3:$A$2000)),0))</f>
        <v>53883.793127120109</v>
      </c>
      <c r="L1471">
        <f t="shared" si="45"/>
        <v>37593.67888218895</v>
      </c>
    </row>
    <row r="1472" spans="4:12" x14ac:dyDescent="0.25">
      <c r="D1472">
        <f t="shared" si="44"/>
        <v>0</v>
      </c>
      <c r="H1472">
        <v>1470</v>
      </c>
      <c r="I1472" s="1">
        <v>46429</v>
      </c>
      <c r="J1472">
        <f t="array" ref="J1472">INDEX($D$3:$D$62,MATCH(1, (YEAR(I1472)=YEAR($A$3:$A$62))*(MONTH(I1472)=MONTH($A$3:$A$62)),0))</f>
        <v>36206.774647281032</v>
      </c>
      <c r="K1472">
        <f t="array" ref="K1472">INDEX($G$3:$G$200,MATCH(1, (YEAR(I1472)=YEAR($A$3:$A$2000))*(MONTH(I1472)=MONTH($A$3:$A$2000)),0))</f>
        <v>53883.793127120109</v>
      </c>
      <c r="L1472">
        <f t="shared" si="45"/>
        <v>37567.085367263964</v>
      </c>
    </row>
    <row r="1473" spans="4:12" x14ac:dyDescent="0.25">
      <c r="D1473">
        <f t="shared" si="44"/>
        <v>0</v>
      </c>
      <c r="H1473">
        <v>1471</v>
      </c>
      <c r="I1473" s="1">
        <v>46430</v>
      </c>
      <c r="J1473">
        <f t="array" ref="J1473">INDEX($D$3:$D$62,MATCH(1, (YEAR(I1473)=YEAR($A$3:$A$62))*(MONTH(I1473)=MONTH($A$3:$A$62)),0))</f>
        <v>36206.774647281032</v>
      </c>
      <c r="K1473">
        <f t="array" ref="K1473">INDEX($G$3:$G$200,MATCH(1, (YEAR(I1473)=YEAR($A$3:$A$2000))*(MONTH(I1473)=MONTH($A$3:$A$2000)),0))</f>
        <v>53883.793127120109</v>
      </c>
      <c r="L1473">
        <f t="shared" si="45"/>
        <v>37540.503126319003</v>
      </c>
    </row>
    <row r="1474" spans="4:12" x14ac:dyDescent="0.25">
      <c r="D1474">
        <f t="shared" si="44"/>
        <v>0</v>
      </c>
      <c r="H1474">
        <v>1472</v>
      </c>
      <c r="I1474" s="1">
        <v>46431</v>
      </c>
      <c r="J1474">
        <f t="array" ref="J1474">INDEX($D$3:$D$62,MATCH(1, (YEAR(I1474)=YEAR($A$3:$A$62))*(MONTH(I1474)=MONTH($A$3:$A$62)),0))</f>
        <v>36206.774647281032</v>
      </c>
      <c r="K1474">
        <f t="array" ref="K1474">INDEX($G$3:$G$200,MATCH(1, (YEAR(I1474)=YEAR($A$3:$A$2000))*(MONTH(I1474)=MONTH($A$3:$A$2000)),0))</f>
        <v>53883.793127120109</v>
      </c>
      <c r="L1474">
        <f t="shared" si="45"/>
        <v>37513.93216022398</v>
      </c>
    </row>
    <row r="1475" spans="4:12" x14ac:dyDescent="0.25">
      <c r="D1475">
        <f t="shared" si="44"/>
        <v>0</v>
      </c>
      <c r="H1475">
        <v>1473</v>
      </c>
      <c r="I1475" s="1">
        <v>46432</v>
      </c>
      <c r="J1475">
        <f t="array" ref="J1475">INDEX($D$3:$D$62,MATCH(1, (YEAR(I1475)=YEAR($A$3:$A$62))*(MONTH(I1475)=MONTH($A$3:$A$62)),0))</f>
        <v>36206.774647281032</v>
      </c>
      <c r="K1475">
        <f t="array" ref="K1475">INDEX($G$3:$G$200,MATCH(1, (YEAR(I1475)=YEAR($A$3:$A$2000))*(MONTH(I1475)=MONTH($A$3:$A$2000)),0))</f>
        <v>53883.793127120109</v>
      </c>
      <c r="L1475">
        <f t="shared" si="45"/>
        <v>37487.372470136965</v>
      </c>
    </row>
    <row r="1476" spans="4:12" x14ac:dyDescent="0.25">
      <c r="D1476">
        <f t="shared" ref="D1476:D1539" si="46">SUM(B1476:C1476)</f>
        <v>0</v>
      </c>
      <c r="H1476">
        <v>1474</v>
      </c>
      <c r="I1476" s="1">
        <v>46433</v>
      </c>
      <c r="J1476">
        <f t="array" ref="J1476">INDEX($D$3:$D$62,MATCH(1, (YEAR(I1476)=YEAR($A$3:$A$62))*(MONTH(I1476)=MONTH($A$3:$A$62)),0))</f>
        <v>36206.774647281032</v>
      </c>
      <c r="K1476">
        <f t="array" ref="K1476">INDEX($G$3:$G$200,MATCH(1, (YEAR(I1476)=YEAR($A$3:$A$2000))*(MONTH(I1476)=MONTH($A$3:$A$2000)),0))</f>
        <v>53883.793127120109</v>
      </c>
      <c r="L1476">
        <f t="shared" ref="L1476:L1539" si="47">0.000000012*H1476^4-0.000070439*H1476^3+0.160688168*H1476^2-194.849290676*H1476+144481.718306784</f>
        <v>37460.824057503982</v>
      </c>
    </row>
    <row r="1477" spans="4:12" x14ac:dyDescent="0.25">
      <c r="D1477">
        <f t="shared" si="46"/>
        <v>0</v>
      </c>
      <c r="H1477">
        <v>1475</v>
      </c>
      <c r="I1477" s="1">
        <v>46434</v>
      </c>
      <c r="J1477">
        <f t="array" ref="J1477">INDEX($D$3:$D$62,MATCH(1, (YEAR(I1477)=YEAR($A$3:$A$62))*(MONTH(I1477)=MONTH($A$3:$A$62)),0))</f>
        <v>36206.774647281032</v>
      </c>
      <c r="K1477">
        <f t="array" ref="K1477">INDEX($G$3:$G$200,MATCH(1, (YEAR(I1477)=YEAR($A$3:$A$2000))*(MONTH(I1477)=MONTH($A$3:$A$2000)),0))</f>
        <v>53883.793127120109</v>
      </c>
      <c r="L1477">
        <f t="shared" si="47"/>
        <v>37434.286924058979</v>
      </c>
    </row>
    <row r="1478" spans="4:12" x14ac:dyDescent="0.25">
      <c r="D1478">
        <f t="shared" si="46"/>
        <v>0</v>
      </c>
      <c r="H1478">
        <v>1476</v>
      </c>
      <c r="I1478" s="1">
        <v>46435</v>
      </c>
      <c r="J1478">
        <f t="array" ref="J1478">INDEX($D$3:$D$62,MATCH(1, (YEAR(I1478)=YEAR($A$3:$A$62))*(MONTH(I1478)=MONTH($A$3:$A$62)),0))</f>
        <v>36206.774647281032</v>
      </c>
      <c r="K1478">
        <f t="array" ref="K1478">INDEX($G$3:$G$200,MATCH(1, (YEAR(I1478)=YEAR($A$3:$A$2000))*(MONTH(I1478)=MONTH($A$3:$A$2000)),0))</f>
        <v>53883.793127120109</v>
      </c>
      <c r="L1478">
        <f t="shared" si="47"/>
        <v>37407.761071823945</v>
      </c>
    </row>
    <row r="1479" spans="4:12" x14ac:dyDescent="0.25">
      <c r="D1479">
        <f t="shared" si="46"/>
        <v>0</v>
      </c>
      <c r="H1479">
        <v>1477</v>
      </c>
      <c r="I1479" s="1">
        <v>46436</v>
      </c>
      <c r="J1479">
        <f t="array" ref="J1479">INDEX($D$3:$D$62,MATCH(1, (YEAR(I1479)=YEAR($A$3:$A$62))*(MONTH(I1479)=MONTH($A$3:$A$62)),0))</f>
        <v>36206.774647281032</v>
      </c>
      <c r="K1479">
        <f t="array" ref="K1479">INDEX($G$3:$G$200,MATCH(1, (YEAR(I1479)=YEAR($A$3:$A$2000))*(MONTH(I1479)=MONTH($A$3:$A$2000)),0))</f>
        <v>53883.793127120109</v>
      </c>
      <c r="L1479">
        <f t="shared" si="47"/>
        <v>37381.246503108938</v>
      </c>
    </row>
    <row r="1480" spans="4:12" x14ac:dyDescent="0.25">
      <c r="D1480">
        <f t="shared" si="46"/>
        <v>0</v>
      </c>
      <c r="H1480">
        <v>1478</v>
      </c>
      <c r="I1480" s="1">
        <v>46437</v>
      </c>
      <c r="J1480">
        <f t="array" ref="J1480">INDEX($D$3:$D$62,MATCH(1, (YEAR(I1480)=YEAR($A$3:$A$62))*(MONTH(I1480)=MONTH($A$3:$A$62)),0))</f>
        <v>36206.774647281032</v>
      </c>
      <c r="K1480">
        <f t="array" ref="K1480">INDEX($G$3:$G$200,MATCH(1, (YEAR(I1480)=YEAR($A$3:$A$2000))*(MONTH(I1480)=MONTH($A$3:$A$2000)),0))</f>
        <v>53883.793127120109</v>
      </c>
      <c r="L1480">
        <f t="shared" si="47"/>
        <v>37354.743220511969</v>
      </c>
    </row>
    <row r="1481" spans="4:12" x14ac:dyDescent="0.25">
      <c r="D1481">
        <f t="shared" si="46"/>
        <v>0</v>
      </c>
      <c r="H1481">
        <v>1479</v>
      </c>
      <c r="I1481" s="1">
        <v>46438</v>
      </c>
      <c r="J1481">
        <f t="array" ref="J1481">INDEX($D$3:$D$62,MATCH(1, (YEAR(I1481)=YEAR($A$3:$A$62))*(MONTH(I1481)=MONTH($A$3:$A$62)),0))</f>
        <v>36206.774647281032</v>
      </c>
      <c r="K1481">
        <f t="array" ref="K1481">INDEX($G$3:$G$200,MATCH(1, (YEAR(I1481)=YEAR($A$3:$A$2000))*(MONTH(I1481)=MONTH($A$3:$A$2000)),0))</f>
        <v>53883.793127120109</v>
      </c>
      <c r="L1481">
        <f t="shared" si="47"/>
        <v>37328.251226919005</v>
      </c>
    </row>
    <row r="1482" spans="4:12" x14ac:dyDescent="0.25">
      <c r="D1482">
        <f t="shared" si="46"/>
        <v>0</v>
      </c>
      <c r="H1482">
        <v>1480</v>
      </c>
      <c r="I1482" s="1">
        <v>46439</v>
      </c>
      <c r="J1482">
        <f t="array" ref="J1482">INDEX($D$3:$D$62,MATCH(1, (YEAR(I1482)=YEAR($A$3:$A$62))*(MONTH(I1482)=MONTH($A$3:$A$62)),0))</f>
        <v>36206.774647281032</v>
      </c>
      <c r="K1482">
        <f t="array" ref="K1482">INDEX($G$3:$G$200,MATCH(1, (YEAR(I1482)=YEAR($A$3:$A$2000))*(MONTH(I1482)=MONTH($A$3:$A$2000)),0))</f>
        <v>53883.793127120109</v>
      </c>
      <c r="L1482">
        <f t="shared" si="47"/>
        <v>37301.770525503991</v>
      </c>
    </row>
    <row r="1483" spans="4:12" x14ac:dyDescent="0.25">
      <c r="D1483">
        <f t="shared" si="46"/>
        <v>0</v>
      </c>
      <c r="H1483">
        <v>1481</v>
      </c>
      <c r="I1483" s="1">
        <v>46440</v>
      </c>
      <c r="J1483">
        <f t="array" ref="J1483">INDEX($D$3:$D$62,MATCH(1, (YEAR(I1483)=YEAR($A$3:$A$62))*(MONTH(I1483)=MONTH($A$3:$A$62)),0))</f>
        <v>36206.774647281032</v>
      </c>
      <c r="K1483">
        <f t="array" ref="K1483">INDEX($G$3:$G$200,MATCH(1, (YEAR(I1483)=YEAR($A$3:$A$2000))*(MONTH(I1483)=MONTH($A$3:$A$2000)),0))</f>
        <v>53883.793127120109</v>
      </c>
      <c r="L1483">
        <f t="shared" si="47"/>
        <v>37275.301119728974</v>
      </c>
    </row>
    <row r="1484" spans="4:12" x14ac:dyDescent="0.25">
      <c r="D1484">
        <f t="shared" si="46"/>
        <v>0</v>
      </c>
      <c r="H1484">
        <v>1482</v>
      </c>
      <c r="I1484" s="1">
        <v>46441</v>
      </c>
      <c r="J1484">
        <f t="array" ref="J1484">INDEX($D$3:$D$62,MATCH(1, (YEAR(I1484)=YEAR($A$3:$A$62))*(MONTH(I1484)=MONTH($A$3:$A$62)),0))</f>
        <v>36206.774647281032</v>
      </c>
      <c r="K1484">
        <f t="array" ref="K1484">INDEX($G$3:$G$200,MATCH(1, (YEAR(I1484)=YEAR($A$3:$A$2000))*(MONTH(I1484)=MONTH($A$3:$A$2000)),0))</f>
        <v>53883.793127120109</v>
      </c>
      <c r="L1484">
        <f t="shared" si="47"/>
        <v>37248.843013344012</v>
      </c>
    </row>
    <row r="1485" spans="4:12" x14ac:dyDescent="0.25">
      <c r="D1485">
        <f t="shared" si="46"/>
        <v>0</v>
      </c>
      <c r="H1485">
        <v>1483</v>
      </c>
      <c r="I1485" s="1">
        <v>46442</v>
      </c>
      <c r="J1485">
        <f t="array" ref="J1485">INDEX($D$3:$D$62,MATCH(1, (YEAR(I1485)=YEAR($A$3:$A$62))*(MONTH(I1485)=MONTH($A$3:$A$62)),0))</f>
        <v>36206.774647281032</v>
      </c>
      <c r="K1485">
        <f t="array" ref="K1485">INDEX($G$3:$G$200,MATCH(1, (YEAR(I1485)=YEAR($A$3:$A$2000))*(MONTH(I1485)=MONTH($A$3:$A$2000)),0))</f>
        <v>53883.793127120109</v>
      </c>
      <c r="L1485">
        <f t="shared" si="47"/>
        <v>37222.396210387</v>
      </c>
    </row>
    <row r="1486" spans="4:12" x14ac:dyDescent="0.25">
      <c r="D1486">
        <f t="shared" si="46"/>
        <v>0</v>
      </c>
      <c r="H1486">
        <v>1484</v>
      </c>
      <c r="I1486" s="1">
        <v>46443</v>
      </c>
      <c r="J1486">
        <f t="array" ref="J1486">INDEX($D$3:$D$62,MATCH(1, (YEAR(I1486)=YEAR($A$3:$A$62))*(MONTH(I1486)=MONTH($A$3:$A$62)),0))</f>
        <v>36206.774647281032</v>
      </c>
      <c r="K1486">
        <f t="array" ref="K1486">INDEX($G$3:$G$200,MATCH(1, (YEAR(I1486)=YEAR($A$3:$A$2000))*(MONTH(I1486)=MONTH($A$3:$A$2000)),0))</f>
        <v>53883.793127120109</v>
      </c>
      <c r="L1486">
        <f t="shared" si="47"/>
        <v>37195.960715183988</v>
      </c>
    </row>
    <row r="1487" spans="4:12" x14ac:dyDescent="0.25">
      <c r="D1487">
        <f t="shared" si="46"/>
        <v>0</v>
      </c>
      <c r="H1487">
        <v>1485</v>
      </c>
      <c r="I1487" s="1">
        <v>46444</v>
      </c>
      <c r="J1487">
        <f t="array" ref="J1487">INDEX($D$3:$D$62,MATCH(1, (YEAR(I1487)=YEAR($A$3:$A$62))*(MONTH(I1487)=MONTH($A$3:$A$62)),0))</f>
        <v>36206.774647281032</v>
      </c>
      <c r="K1487">
        <f t="array" ref="K1487">INDEX($G$3:$G$200,MATCH(1, (YEAR(I1487)=YEAR($A$3:$A$2000))*(MONTH(I1487)=MONTH($A$3:$A$2000)),0))</f>
        <v>53883.793127120109</v>
      </c>
      <c r="L1487">
        <f t="shared" si="47"/>
        <v>37169.536532348924</v>
      </c>
    </row>
    <row r="1488" spans="4:12" x14ac:dyDescent="0.25">
      <c r="D1488">
        <f t="shared" si="46"/>
        <v>0</v>
      </c>
      <c r="H1488">
        <v>1486</v>
      </c>
      <c r="I1488" s="1">
        <v>46445</v>
      </c>
      <c r="J1488">
        <f t="array" ref="J1488">INDEX($D$3:$D$62,MATCH(1, (YEAR(I1488)=YEAR($A$3:$A$62))*(MONTH(I1488)=MONTH($A$3:$A$62)),0))</f>
        <v>36206.774647281032</v>
      </c>
      <c r="K1488">
        <f t="array" ref="K1488">INDEX($G$3:$G$200,MATCH(1, (YEAR(I1488)=YEAR($A$3:$A$2000))*(MONTH(I1488)=MONTH($A$3:$A$2000)),0))</f>
        <v>53883.793127120109</v>
      </c>
      <c r="L1488">
        <f t="shared" si="47"/>
        <v>37143.123666783998</v>
      </c>
    </row>
    <row r="1489" spans="4:12" x14ac:dyDescent="0.25">
      <c r="D1489">
        <f t="shared" si="46"/>
        <v>0</v>
      </c>
      <c r="H1489">
        <v>1487</v>
      </c>
      <c r="I1489" s="1">
        <v>46446</v>
      </c>
      <c r="J1489">
        <f t="array" ref="J1489">INDEX($D$3:$D$62,MATCH(1, (YEAR(I1489)=YEAR($A$3:$A$62))*(MONTH(I1489)=MONTH($A$3:$A$62)),0))</f>
        <v>36206.774647281032</v>
      </c>
      <c r="K1489">
        <f t="array" ref="K1489">INDEX($G$3:$G$200,MATCH(1, (YEAR(I1489)=YEAR($A$3:$A$2000))*(MONTH(I1489)=MONTH($A$3:$A$2000)),0))</f>
        <v>53883.793127120109</v>
      </c>
      <c r="L1489">
        <f t="shared" si="47"/>
        <v>37116.722123678977</v>
      </c>
    </row>
    <row r="1490" spans="4:12" x14ac:dyDescent="0.25">
      <c r="D1490">
        <f t="shared" si="46"/>
        <v>0</v>
      </c>
      <c r="H1490">
        <v>1488</v>
      </c>
      <c r="I1490" s="1">
        <v>46447</v>
      </c>
      <c r="J1490">
        <f t="array" ref="J1490">INDEX($D$3:$D$62,MATCH(1, (YEAR(I1490)=YEAR($A$3:$A$62))*(MONTH(I1490)=MONTH($A$3:$A$62)),0))</f>
        <v>35563.792284353178</v>
      </c>
      <c r="K1490">
        <f t="array" ref="K1490">INDEX($G$3:$G$200,MATCH(1, (YEAR(I1490)=YEAR($A$3:$A$2000))*(MONTH(I1490)=MONTH($A$3:$A$2000)),0))</f>
        <v>52914.115740163681</v>
      </c>
      <c r="L1490">
        <f t="shared" si="47"/>
        <v>37090.331908512017</v>
      </c>
    </row>
    <row r="1491" spans="4:12" x14ac:dyDescent="0.25">
      <c r="D1491">
        <f t="shared" si="46"/>
        <v>0</v>
      </c>
      <c r="H1491">
        <v>1489</v>
      </c>
      <c r="I1491" s="1">
        <v>46448</v>
      </c>
      <c r="J1491">
        <f t="array" ref="J1491">INDEX($D$3:$D$62,MATCH(1, (YEAR(I1491)=YEAR($A$3:$A$62))*(MONTH(I1491)=MONTH($A$3:$A$62)),0))</f>
        <v>35563.792284353178</v>
      </c>
      <c r="K1491">
        <f t="array" ref="K1491">INDEX($G$3:$G$200,MATCH(1, (YEAR(I1491)=YEAR($A$3:$A$2000))*(MONTH(I1491)=MONTH($A$3:$A$2000)),0))</f>
        <v>52914.115740163681</v>
      </c>
      <c r="L1491">
        <f t="shared" si="47"/>
        <v>37063.953027048963</v>
      </c>
    </row>
    <row r="1492" spans="4:12" x14ac:dyDescent="0.25">
      <c r="D1492">
        <f t="shared" si="46"/>
        <v>0</v>
      </c>
      <c r="H1492">
        <v>1490</v>
      </c>
      <c r="I1492" s="1">
        <v>46449</v>
      </c>
      <c r="J1492">
        <f t="array" ref="J1492">INDEX($D$3:$D$62,MATCH(1, (YEAR(I1492)=YEAR($A$3:$A$62))*(MONTH(I1492)=MONTH($A$3:$A$62)),0))</f>
        <v>35563.792284353178</v>
      </c>
      <c r="K1492">
        <f t="array" ref="K1492">INDEX($G$3:$G$200,MATCH(1, (YEAR(I1492)=YEAR($A$3:$A$2000))*(MONTH(I1492)=MONTH($A$3:$A$2000)),0))</f>
        <v>52914.115740163681</v>
      </c>
      <c r="L1492">
        <f t="shared" si="47"/>
        <v>37037.585485343967</v>
      </c>
    </row>
    <row r="1493" spans="4:12" x14ac:dyDescent="0.25">
      <c r="D1493">
        <f t="shared" si="46"/>
        <v>0</v>
      </c>
      <c r="H1493">
        <v>1491</v>
      </c>
      <c r="I1493" s="1">
        <v>46450</v>
      </c>
      <c r="J1493">
        <f t="array" ref="J1493">INDEX($D$3:$D$62,MATCH(1, (YEAR(I1493)=YEAR($A$3:$A$62))*(MONTH(I1493)=MONTH($A$3:$A$62)),0))</f>
        <v>35563.792284353178</v>
      </c>
      <c r="K1493">
        <f t="array" ref="K1493">INDEX($G$3:$G$200,MATCH(1, (YEAR(I1493)=YEAR($A$3:$A$2000))*(MONTH(I1493)=MONTH($A$3:$A$2000)),0))</f>
        <v>52914.115740163681</v>
      </c>
      <c r="L1493">
        <f t="shared" si="47"/>
        <v>37011.229289738956</v>
      </c>
    </row>
    <row r="1494" spans="4:12" x14ac:dyDescent="0.25">
      <c r="D1494">
        <f t="shared" si="46"/>
        <v>0</v>
      </c>
      <c r="H1494">
        <v>1492</v>
      </c>
      <c r="I1494" s="1">
        <v>46451</v>
      </c>
      <c r="J1494">
        <f t="array" ref="J1494">INDEX($D$3:$D$62,MATCH(1, (YEAR(I1494)=YEAR($A$3:$A$62))*(MONTH(I1494)=MONTH($A$3:$A$62)),0))</f>
        <v>35563.792284353178</v>
      </c>
      <c r="K1494">
        <f t="array" ref="K1494">INDEX($G$3:$G$200,MATCH(1, (YEAR(I1494)=YEAR($A$3:$A$2000))*(MONTH(I1494)=MONTH($A$3:$A$2000)),0))</f>
        <v>52914.115740163681</v>
      </c>
      <c r="L1494">
        <f t="shared" si="47"/>
        <v>36984.884446863987</v>
      </c>
    </row>
    <row r="1495" spans="4:12" x14ac:dyDescent="0.25">
      <c r="D1495">
        <f t="shared" si="46"/>
        <v>0</v>
      </c>
      <c r="H1495">
        <v>1493</v>
      </c>
      <c r="I1495" s="1">
        <v>46452</v>
      </c>
      <c r="J1495">
        <f t="array" ref="J1495">INDEX($D$3:$D$62,MATCH(1, (YEAR(I1495)=YEAR($A$3:$A$62))*(MONTH(I1495)=MONTH($A$3:$A$62)),0))</f>
        <v>35563.792284353178</v>
      </c>
      <c r="K1495">
        <f t="array" ref="K1495">INDEX($G$3:$G$200,MATCH(1, (YEAR(I1495)=YEAR($A$3:$A$2000))*(MONTH(I1495)=MONTH($A$3:$A$2000)),0))</f>
        <v>52914.115740163681</v>
      </c>
      <c r="L1495">
        <f t="shared" si="47"/>
        <v>36958.550963636982</v>
      </c>
    </row>
    <row r="1496" spans="4:12" x14ac:dyDescent="0.25">
      <c r="D1496">
        <f t="shared" si="46"/>
        <v>0</v>
      </c>
      <c r="H1496">
        <v>1494</v>
      </c>
      <c r="I1496" s="1">
        <v>46453</v>
      </c>
      <c r="J1496">
        <f t="array" ref="J1496">INDEX($D$3:$D$62,MATCH(1, (YEAR(I1496)=YEAR($A$3:$A$62))*(MONTH(I1496)=MONTH($A$3:$A$62)),0))</f>
        <v>35563.792284353178</v>
      </c>
      <c r="K1496">
        <f t="array" ref="K1496">INDEX($G$3:$G$200,MATCH(1, (YEAR(I1496)=YEAR($A$3:$A$2000))*(MONTH(I1496)=MONTH($A$3:$A$2000)),0))</f>
        <v>52914.115740163681</v>
      </c>
      <c r="L1496">
        <f t="shared" si="47"/>
        <v>36932.228847264021</v>
      </c>
    </row>
    <row r="1497" spans="4:12" x14ac:dyDescent="0.25">
      <c r="D1497">
        <f t="shared" si="46"/>
        <v>0</v>
      </c>
      <c r="H1497">
        <v>1495</v>
      </c>
      <c r="I1497" s="1">
        <v>46454</v>
      </c>
      <c r="J1497">
        <f t="array" ref="J1497">INDEX($D$3:$D$62,MATCH(1, (YEAR(I1497)=YEAR($A$3:$A$62))*(MONTH(I1497)=MONTH($A$3:$A$62)),0))</f>
        <v>35563.792284353178</v>
      </c>
      <c r="K1497">
        <f t="array" ref="K1497">INDEX($G$3:$G$200,MATCH(1, (YEAR(I1497)=YEAR($A$3:$A$2000))*(MONTH(I1497)=MONTH($A$3:$A$2000)),0))</f>
        <v>52914.115740163681</v>
      </c>
      <c r="L1497">
        <f t="shared" si="47"/>
        <v>36905.918105238961</v>
      </c>
    </row>
    <row r="1498" spans="4:12" x14ac:dyDescent="0.25">
      <c r="D1498">
        <f t="shared" si="46"/>
        <v>0</v>
      </c>
      <c r="H1498">
        <v>1496</v>
      </c>
      <c r="I1498" s="1">
        <v>46455</v>
      </c>
      <c r="J1498">
        <f t="array" ref="J1498">INDEX($D$3:$D$62,MATCH(1, (YEAR(I1498)=YEAR($A$3:$A$62))*(MONTH(I1498)=MONTH($A$3:$A$62)),0))</f>
        <v>35563.792284353178</v>
      </c>
      <c r="K1498">
        <f t="array" ref="K1498">INDEX($G$3:$G$200,MATCH(1, (YEAR(I1498)=YEAR($A$3:$A$2000))*(MONTH(I1498)=MONTH($A$3:$A$2000)),0))</f>
        <v>52914.115740163681</v>
      </c>
      <c r="L1498">
        <f t="shared" si="47"/>
        <v>36879.618745343992</v>
      </c>
    </row>
    <row r="1499" spans="4:12" x14ac:dyDescent="0.25">
      <c r="D1499">
        <f t="shared" si="46"/>
        <v>0</v>
      </c>
      <c r="H1499">
        <v>1497</v>
      </c>
      <c r="I1499" s="1">
        <v>46456</v>
      </c>
      <c r="J1499">
        <f t="array" ref="J1499">INDEX($D$3:$D$62,MATCH(1, (YEAR(I1499)=YEAR($A$3:$A$62))*(MONTH(I1499)=MONTH($A$3:$A$62)),0))</f>
        <v>35563.792284353178</v>
      </c>
      <c r="K1499">
        <f t="array" ref="K1499">INDEX($G$3:$G$200,MATCH(1, (YEAR(I1499)=YEAR($A$3:$A$2000))*(MONTH(I1499)=MONTH($A$3:$A$2000)),0))</f>
        <v>52914.115740163681</v>
      </c>
      <c r="L1499">
        <f t="shared" si="47"/>
        <v>36853.330775648996</v>
      </c>
    </row>
    <row r="1500" spans="4:12" x14ac:dyDescent="0.25">
      <c r="D1500">
        <f t="shared" si="46"/>
        <v>0</v>
      </c>
      <c r="H1500">
        <v>1498</v>
      </c>
      <c r="I1500" s="1">
        <v>46457</v>
      </c>
      <c r="J1500">
        <f t="array" ref="J1500">INDEX($D$3:$D$62,MATCH(1, (YEAR(I1500)=YEAR($A$3:$A$62))*(MONTH(I1500)=MONTH($A$3:$A$62)),0))</f>
        <v>35563.792284353178</v>
      </c>
      <c r="K1500">
        <f t="array" ref="K1500">INDEX($G$3:$G$200,MATCH(1, (YEAR(I1500)=YEAR($A$3:$A$2000))*(MONTH(I1500)=MONTH($A$3:$A$2000)),0))</f>
        <v>52914.115740163681</v>
      </c>
      <c r="L1500">
        <f t="shared" si="47"/>
        <v>36827.054204511951</v>
      </c>
    </row>
    <row r="1501" spans="4:12" x14ac:dyDescent="0.25">
      <c r="D1501">
        <f t="shared" si="46"/>
        <v>0</v>
      </c>
      <c r="H1501">
        <v>1499</v>
      </c>
      <c r="I1501" s="1">
        <v>46458</v>
      </c>
      <c r="J1501">
        <f t="array" ref="J1501">INDEX($D$3:$D$62,MATCH(1, (YEAR(I1501)=YEAR($A$3:$A$62))*(MONTH(I1501)=MONTH($A$3:$A$62)),0))</f>
        <v>35563.792284353178</v>
      </c>
      <c r="K1501">
        <f t="array" ref="K1501">INDEX($G$3:$G$200,MATCH(1, (YEAR(I1501)=YEAR($A$3:$A$2000))*(MONTH(I1501)=MONTH($A$3:$A$2000)),0))</f>
        <v>52914.115740163681</v>
      </c>
      <c r="L1501">
        <f t="shared" si="47"/>
        <v>36800.789040578966</v>
      </c>
    </row>
    <row r="1502" spans="4:12" x14ac:dyDescent="0.25">
      <c r="D1502">
        <f t="shared" si="46"/>
        <v>0</v>
      </c>
      <c r="H1502">
        <v>1500</v>
      </c>
      <c r="I1502" s="1">
        <v>46459</v>
      </c>
      <c r="J1502">
        <f t="array" ref="J1502">INDEX($D$3:$D$62,MATCH(1, (YEAR(I1502)=YEAR($A$3:$A$62))*(MONTH(I1502)=MONTH($A$3:$A$62)),0))</f>
        <v>35563.792284353178</v>
      </c>
      <c r="K1502">
        <f t="array" ref="K1502">INDEX($G$3:$G$200,MATCH(1, (YEAR(I1502)=YEAR($A$3:$A$2000))*(MONTH(I1502)=MONTH($A$3:$A$2000)),0))</f>
        <v>52914.115740163681</v>
      </c>
      <c r="L1502">
        <f t="shared" si="47"/>
        <v>36774.535292783956</v>
      </c>
    </row>
    <row r="1503" spans="4:12" x14ac:dyDescent="0.25">
      <c r="D1503">
        <f t="shared" si="46"/>
        <v>0</v>
      </c>
      <c r="H1503">
        <v>1501</v>
      </c>
      <c r="I1503" s="1">
        <v>46460</v>
      </c>
      <c r="J1503">
        <f t="array" ref="J1503">INDEX($D$3:$D$62,MATCH(1, (YEAR(I1503)=YEAR($A$3:$A$62))*(MONTH(I1503)=MONTH($A$3:$A$62)),0))</f>
        <v>35563.792284353178</v>
      </c>
      <c r="K1503">
        <f t="array" ref="K1503">INDEX($G$3:$G$200,MATCH(1, (YEAR(I1503)=YEAR($A$3:$A$2000))*(MONTH(I1503)=MONTH($A$3:$A$2000)),0))</f>
        <v>52914.115740163681</v>
      </c>
      <c r="L1503">
        <f t="shared" si="47"/>
        <v>36748.292970348964</v>
      </c>
    </row>
    <row r="1504" spans="4:12" x14ac:dyDescent="0.25">
      <c r="D1504">
        <f t="shared" si="46"/>
        <v>0</v>
      </c>
      <c r="H1504">
        <v>1502</v>
      </c>
      <c r="I1504" s="1">
        <v>46461</v>
      </c>
      <c r="J1504">
        <f t="array" ref="J1504">INDEX($D$3:$D$62,MATCH(1, (YEAR(I1504)=YEAR($A$3:$A$62))*(MONTH(I1504)=MONTH($A$3:$A$62)),0))</f>
        <v>35563.792284353178</v>
      </c>
      <c r="K1504">
        <f t="array" ref="K1504">INDEX($G$3:$G$200,MATCH(1, (YEAR(I1504)=YEAR($A$3:$A$2000))*(MONTH(I1504)=MONTH($A$3:$A$2000)),0))</f>
        <v>52914.115740163681</v>
      </c>
      <c r="L1504">
        <f t="shared" si="47"/>
        <v>36722.062082784047</v>
      </c>
    </row>
    <row r="1505" spans="4:12" x14ac:dyDescent="0.25">
      <c r="D1505">
        <f t="shared" si="46"/>
        <v>0</v>
      </c>
      <c r="H1505">
        <v>1503</v>
      </c>
      <c r="I1505" s="1">
        <v>46462</v>
      </c>
      <c r="J1505">
        <f t="array" ref="J1505">INDEX($D$3:$D$62,MATCH(1, (YEAR(I1505)=YEAR($A$3:$A$62))*(MONTH(I1505)=MONTH($A$3:$A$62)),0))</f>
        <v>35563.792284353178</v>
      </c>
      <c r="K1505">
        <f t="array" ref="K1505">INDEX($G$3:$G$200,MATCH(1, (YEAR(I1505)=YEAR($A$3:$A$2000))*(MONTH(I1505)=MONTH($A$3:$A$2000)),0))</f>
        <v>52914.115740163681</v>
      </c>
      <c r="L1505">
        <f t="shared" si="47"/>
        <v>36695.842639887007</v>
      </c>
    </row>
    <row r="1506" spans="4:12" x14ac:dyDescent="0.25">
      <c r="D1506">
        <f t="shared" si="46"/>
        <v>0</v>
      </c>
      <c r="H1506">
        <v>1504</v>
      </c>
      <c r="I1506" s="1">
        <v>46463</v>
      </c>
      <c r="J1506">
        <f t="array" ref="J1506">INDEX($D$3:$D$62,MATCH(1, (YEAR(I1506)=YEAR($A$3:$A$62))*(MONTH(I1506)=MONTH($A$3:$A$62)),0))</f>
        <v>35563.792284353178</v>
      </c>
      <c r="K1506">
        <f t="array" ref="K1506">INDEX($G$3:$G$200,MATCH(1, (YEAR(I1506)=YEAR($A$3:$A$2000))*(MONTH(I1506)=MONTH($A$3:$A$2000)),0))</f>
        <v>52914.115740163681</v>
      </c>
      <c r="L1506">
        <f t="shared" si="47"/>
        <v>36669.634651743982</v>
      </c>
    </row>
    <row r="1507" spans="4:12" x14ac:dyDescent="0.25">
      <c r="D1507">
        <f t="shared" si="46"/>
        <v>0</v>
      </c>
      <c r="H1507">
        <v>1505</v>
      </c>
      <c r="I1507" s="1">
        <v>46464</v>
      </c>
      <c r="J1507">
        <f t="array" ref="J1507">INDEX($D$3:$D$62,MATCH(1, (YEAR(I1507)=YEAR($A$3:$A$62))*(MONTH(I1507)=MONTH($A$3:$A$62)),0))</f>
        <v>35563.792284353178</v>
      </c>
      <c r="K1507">
        <f t="array" ref="K1507">INDEX($G$3:$G$200,MATCH(1, (YEAR(I1507)=YEAR($A$3:$A$2000))*(MONTH(I1507)=MONTH($A$3:$A$2000)),0))</f>
        <v>52914.115740163681</v>
      </c>
      <c r="L1507">
        <f t="shared" si="47"/>
        <v>36643.438128729002</v>
      </c>
    </row>
    <row r="1508" spans="4:12" x14ac:dyDescent="0.25">
      <c r="D1508">
        <f t="shared" si="46"/>
        <v>0</v>
      </c>
      <c r="H1508">
        <v>1506</v>
      </c>
      <c r="I1508" s="1">
        <v>46465</v>
      </c>
      <c r="J1508">
        <f t="array" ref="J1508">INDEX($D$3:$D$62,MATCH(1, (YEAR(I1508)=YEAR($A$3:$A$62))*(MONTH(I1508)=MONTH($A$3:$A$62)),0))</f>
        <v>35563.792284353178</v>
      </c>
      <c r="K1508">
        <f t="array" ref="K1508">INDEX($G$3:$G$200,MATCH(1, (YEAR(I1508)=YEAR($A$3:$A$2000))*(MONTH(I1508)=MONTH($A$3:$A$2000)),0))</f>
        <v>52914.115740163681</v>
      </c>
      <c r="L1508">
        <f t="shared" si="47"/>
        <v>36617.253081503964</v>
      </c>
    </row>
    <row r="1509" spans="4:12" x14ac:dyDescent="0.25">
      <c r="D1509">
        <f t="shared" si="46"/>
        <v>0</v>
      </c>
      <c r="H1509">
        <v>1507</v>
      </c>
      <c r="I1509" s="1">
        <v>46466</v>
      </c>
      <c r="J1509">
        <f t="array" ref="J1509">INDEX($D$3:$D$62,MATCH(1, (YEAR(I1509)=YEAR($A$3:$A$62))*(MONTH(I1509)=MONTH($A$3:$A$62)),0))</f>
        <v>35563.792284353178</v>
      </c>
      <c r="K1509">
        <f t="array" ref="K1509">INDEX($G$3:$G$200,MATCH(1, (YEAR(I1509)=YEAR($A$3:$A$2000))*(MONTH(I1509)=MONTH($A$3:$A$2000)),0))</f>
        <v>52914.115740163681</v>
      </c>
      <c r="L1509">
        <f t="shared" si="47"/>
        <v>36591.079521018954</v>
      </c>
    </row>
    <row r="1510" spans="4:12" x14ac:dyDescent="0.25">
      <c r="D1510">
        <f t="shared" si="46"/>
        <v>0</v>
      </c>
      <c r="H1510">
        <v>1508</v>
      </c>
      <c r="I1510" s="1">
        <v>46467</v>
      </c>
      <c r="J1510">
        <f t="array" ref="J1510">INDEX($D$3:$D$62,MATCH(1, (YEAR(I1510)=YEAR($A$3:$A$62))*(MONTH(I1510)=MONTH($A$3:$A$62)),0))</f>
        <v>35563.792284353178</v>
      </c>
      <c r="K1510">
        <f t="array" ref="K1510">INDEX($G$3:$G$200,MATCH(1, (YEAR(I1510)=YEAR($A$3:$A$2000))*(MONTH(I1510)=MONTH($A$3:$A$2000)),0))</f>
        <v>52914.115740163681</v>
      </c>
      <c r="L1510">
        <f t="shared" si="47"/>
        <v>36564.917458511947</v>
      </c>
    </row>
    <row r="1511" spans="4:12" x14ac:dyDescent="0.25">
      <c r="D1511">
        <f t="shared" si="46"/>
        <v>0</v>
      </c>
      <c r="H1511">
        <v>1509</v>
      </c>
      <c r="I1511" s="1">
        <v>46468</v>
      </c>
      <c r="J1511">
        <f t="array" ref="J1511">INDEX($D$3:$D$62,MATCH(1, (YEAR(I1511)=YEAR($A$3:$A$62))*(MONTH(I1511)=MONTH($A$3:$A$62)),0))</f>
        <v>35563.792284353178</v>
      </c>
      <c r="K1511">
        <f t="array" ref="K1511">INDEX($G$3:$G$200,MATCH(1, (YEAR(I1511)=YEAR($A$3:$A$2000))*(MONTH(I1511)=MONTH($A$3:$A$2000)),0))</f>
        <v>52914.115740163681</v>
      </c>
      <c r="L1511">
        <f t="shared" si="47"/>
        <v>36538.766905508994</v>
      </c>
    </row>
    <row r="1512" spans="4:12" x14ac:dyDescent="0.25">
      <c r="D1512">
        <f t="shared" si="46"/>
        <v>0</v>
      </c>
      <c r="H1512">
        <v>1510</v>
      </c>
      <c r="I1512" s="1">
        <v>46469</v>
      </c>
      <c r="J1512">
        <f t="array" ref="J1512">INDEX($D$3:$D$62,MATCH(1, (YEAR(I1512)=YEAR($A$3:$A$62))*(MONTH(I1512)=MONTH($A$3:$A$62)),0))</f>
        <v>35563.792284353178</v>
      </c>
      <c r="K1512">
        <f t="array" ref="K1512">INDEX($G$3:$G$200,MATCH(1, (YEAR(I1512)=YEAR($A$3:$A$2000))*(MONTH(I1512)=MONTH($A$3:$A$2000)),0))</f>
        <v>52914.115740163681</v>
      </c>
      <c r="L1512">
        <f t="shared" si="47"/>
        <v>36512.627873823978</v>
      </c>
    </row>
    <row r="1513" spans="4:12" x14ac:dyDescent="0.25">
      <c r="D1513">
        <f t="shared" si="46"/>
        <v>0</v>
      </c>
      <c r="H1513">
        <v>1511</v>
      </c>
      <c r="I1513" s="1">
        <v>46470</v>
      </c>
      <c r="J1513">
        <f t="array" ref="J1513">INDEX($D$3:$D$62,MATCH(1, (YEAR(I1513)=YEAR($A$3:$A$62))*(MONTH(I1513)=MONTH($A$3:$A$62)),0))</f>
        <v>35563.792284353178</v>
      </c>
      <c r="K1513">
        <f t="array" ref="K1513">INDEX($G$3:$G$200,MATCH(1, (YEAR(I1513)=YEAR($A$3:$A$2000))*(MONTH(I1513)=MONTH($A$3:$A$2000)),0))</f>
        <v>52914.115740163681</v>
      </c>
      <c r="L1513">
        <f t="shared" si="47"/>
        <v>36486.500375559001</v>
      </c>
    </row>
    <row r="1514" spans="4:12" x14ac:dyDescent="0.25">
      <c r="D1514">
        <f t="shared" si="46"/>
        <v>0</v>
      </c>
      <c r="H1514">
        <v>1512</v>
      </c>
      <c r="I1514" s="1">
        <v>46471</v>
      </c>
      <c r="J1514">
        <f t="array" ref="J1514">INDEX($D$3:$D$62,MATCH(1, (YEAR(I1514)=YEAR($A$3:$A$62))*(MONTH(I1514)=MONTH($A$3:$A$62)),0))</f>
        <v>35563.792284353178</v>
      </c>
      <c r="K1514">
        <f t="array" ref="K1514">INDEX($G$3:$G$200,MATCH(1, (YEAR(I1514)=YEAR($A$3:$A$2000))*(MONTH(I1514)=MONTH($A$3:$A$2000)),0))</f>
        <v>52914.115740163681</v>
      </c>
      <c r="L1514">
        <f t="shared" si="47"/>
        <v>36460.384423103998</v>
      </c>
    </row>
    <row r="1515" spans="4:12" x14ac:dyDescent="0.25">
      <c r="D1515">
        <f t="shared" si="46"/>
        <v>0</v>
      </c>
      <c r="H1515">
        <v>1513</v>
      </c>
      <c r="I1515" s="1">
        <v>46472</v>
      </c>
      <c r="J1515">
        <f t="array" ref="J1515">INDEX($D$3:$D$62,MATCH(1, (YEAR(I1515)=YEAR($A$3:$A$62))*(MONTH(I1515)=MONTH($A$3:$A$62)),0))</f>
        <v>35563.792284353178</v>
      </c>
      <c r="K1515">
        <f t="array" ref="K1515">INDEX($G$3:$G$200,MATCH(1, (YEAR(I1515)=YEAR($A$3:$A$2000))*(MONTH(I1515)=MONTH($A$3:$A$2000)),0))</f>
        <v>52914.115740163681</v>
      </c>
      <c r="L1515">
        <f t="shared" si="47"/>
        <v>36434.280029136979</v>
      </c>
    </row>
    <row r="1516" spans="4:12" x14ac:dyDescent="0.25">
      <c r="D1516">
        <f t="shared" si="46"/>
        <v>0</v>
      </c>
      <c r="H1516">
        <v>1514</v>
      </c>
      <c r="I1516" s="1">
        <v>46473</v>
      </c>
      <c r="J1516">
        <f t="array" ref="J1516">INDEX($D$3:$D$62,MATCH(1, (YEAR(I1516)=YEAR($A$3:$A$62))*(MONTH(I1516)=MONTH($A$3:$A$62)),0))</f>
        <v>35563.792284353178</v>
      </c>
      <c r="K1516">
        <f t="array" ref="K1516">INDEX($G$3:$G$200,MATCH(1, (YEAR(I1516)=YEAR($A$3:$A$2000))*(MONTH(I1516)=MONTH($A$3:$A$2000)),0))</f>
        <v>52914.115740163681</v>
      </c>
      <c r="L1516">
        <f t="shared" si="47"/>
        <v>36408.187206623988</v>
      </c>
    </row>
    <row r="1517" spans="4:12" x14ac:dyDescent="0.25">
      <c r="D1517">
        <f t="shared" si="46"/>
        <v>0</v>
      </c>
      <c r="H1517">
        <v>1515</v>
      </c>
      <c r="I1517" s="1">
        <v>46474</v>
      </c>
      <c r="J1517">
        <f t="array" ref="J1517">INDEX($D$3:$D$62,MATCH(1, (YEAR(I1517)=YEAR($A$3:$A$62))*(MONTH(I1517)=MONTH($A$3:$A$62)),0))</f>
        <v>35563.792284353178</v>
      </c>
      <c r="K1517">
        <f t="array" ref="K1517">INDEX($G$3:$G$200,MATCH(1, (YEAR(I1517)=YEAR($A$3:$A$2000))*(MONTH(I1517)=MONTH($A$3:$A$2000)),0))</f>
        <v>52914.115740163681</v>
      </c>
      <c r="L1517">
        <f t="shared" si="47"/>
        <v>36382.105968818971</v>
      </c>
    </row>
    <row r="1518" spans="4:12" x14ac:dyDescent="0.25">
      <c r="D1518">
        <f t="shared" si="46"/>
        <v>0</v>
      </c>
      <c r="H1518">
        <v>1516</v>
      </c>
      <c r="I1518" s="1">
        <v>46475</v>
      </c>
      <c r="J1518">
        <f t="array" ref="J1518">INDEX($D$3:$D$62,MATCH(1, (YEAR(I1518)=YEAR($A$3:$A$62))*(MONTH(I1518)=MONTH($A$3:$A$62)),0))</f>
        <v>35563.792284353178</v>
      </c>
      <c r="K1518">
        <f t="array" ref="K1518">INDEX($G$3:$G$200,MATCH(1, (YEAR(I1518)=YEAR($A$3:$A$2000))*(MONTH(I1518)=MONTH($A$3:$A$2000)),0))</f>
        <v>52914.115740163681</v>
      </c>
      <c r="L1518">
        <f t="shared" si="47"/>
        <v>36356.036329263967</v>
      </c>
    </row>
    <row r="1519" spans="4:12" x14ac:dyDescent="0.25">
      <c r="D1519">
        <f t="shared" si="46"/>
        <v>0</v>
      </c>
      <c r="H1519">
        <v>1517</v>
      </c>
      <c r="I1519" s="1">
        <v>46476</v>
      </c>
      <c r="J1519">
        <f t="array" ref="J1519">INDEX($D$3:$D$62,MATCH(1, (YEAR(I1519)=YEAR($A$3:$A$62))*(MONTH(I1519)=MONTH($A$3:$A$62)),0))</f>
        <v>35563.792284353178</v>
      </c>
      <c r="K1519">
        <f t="array" ref="K1519">INDEX($G$3:$G$200,MATCH(1, (YEAR(I1519)=YEAR($A$3:$A$2000))*(MONTH(I1519)=MONTH($A$3:$A$2000)),0))</f>
        <v>52914.115740163681</v>
      </c>
      <c r="L1519">
        <f t="shared" si="47"/>
        <v>36329.978301789</v>
      </c>
    </row>
    <row r="1520" spans="4:12" x14ac:dyDescent="0.25">
      <c r="D1520">
        <f t="shared" si="46"/>
        <v>0</v>
      </c>
      <c r="H1520">
        <v>1518</v>
      </c>
      <c r="I1520" s="1">
        <v>46477</v>
      </c>
      <c r="J1520">
        <f t="array" ref="J1520">INDEX($D$3:$D$62,MATCH(1, (YEAR(I1520)=YEAR($A$3:$A$62))*(MONTH(I1520)=MONTH($A$3:$A$62)),0))</f>
        <v>35563.792284353178</v>
      </c>
      <c r="K1520">
        <f t="array" ref="K1520">INDEX($G$3:$G$200,MATCH(1, (YEAR(I1520)=YEAR($A$3:$A$2000))*(MONTH(I1520)=MONTH($A$3:$A$2000)),0))</f>
        <v>52914.115740163681</v>
      </c>
      <c r="L1520">
        <f t="shared" si="47"/>
        <v>36303.931900511991</v>
      </c>
    </row>
    <row r="1521" spans="4:12" x14ac:dyDescent="0.25">
      <c r="D1521">
        <f t="shared" si="46"/>
        <v>0</v>
      </c>
      <c r="H1521">
        <v>1519</v>
      </c>
      <c r="I1521" s="1">
        <v>46478</v>
      </c>
      <c r="J1521">
        <f t="array" ref="J1521">INDEX($D$3:$D$62,MATCH(1, (YEAR(I1521)=YEAR($A$3:$A$62))*(MONTH(I1521)=MONTH($A$3:$A$62)),0))</f>
        <v>34638.359147563686</v>
      </c>
      <c r="K1521">
        <f t="array" ref="K1521">INDEX($G$3:$G$200,MATCH(1, (YEAR(I1521)=YEAR($A$3:$A$2000))*(MONTH(I1521)=MONTH($A$3:$A$2000)),0))</f>
        <v>51670.122880152572</v>
      </c>
      <c r="L1521">
        <f t="shared" si="47"/>
        <v>36277.897139838955</v>
      </c>
    </row>
    <row r="1522" spans="4:12" x14ac:dyDescent="0.25">
      <c r="D1522">
        <f t="shared" si="46"/>
        <v>0</v>
      </c>
      <c r="H1522">
        <v>1520</v>
      </c>
      <c r="I1522" s="1">
        <v>46479</v>
      </c>
      <c r="J1522">
        <f t="array" ref="J1522">INDEX($D$3:$D$62,MATCH(1, (YEAR(I1522)=YEAR($A$3:$A$62))*(MONTH(I1522)=MONTH($A$3:$A$62)),0))</f>
        <v>34638.359147563686</v>
      </c>
      <c r="K1522">
        <f t="array" ref="K1522">INDEX($G$3:$G$200,MATCH(1, (YEAR(I1522)=YEAR($A$3:$A$2000))*(MONTH(I1522)=MONTH($A$3:$A$2000)),0))</f>
        <v>51670.122880152572</v>
      </c>
      <c r="L1522">
        <f t="shared" si="47"/>
        <v>36251.87403446401</v>
      </c>
    </row>
    <row r="1523" spans="4:12" x14ac:dyDescent="0.25">
      <c r="D1523">
        <f t="shared" si="46"/>
        <v>0</v>
      </c>
      <c r="H1523">
        <v>1521</v>
      </c>
      <c r="I1523" s="1">
        <v>46480</v>
      </c>
      <c r="J1523">
        <f t="array" ref="J1523">INDEX($D$3:$D$62,MATCH(1, (YEAR(I1523)=YEAR($A$3:$A$62))*(MONTH(I1523)=MONTH($A$3:$A$62)),0))</f>
        <v>34638.359147563686</v>
      </c>
      <c r="K1523">
        <f t="array" ref="K1523">INDEX($G$3:$G$200,MATCH(1, (YEAR(I1523)=YEAR($A$3:$A$2000))*(MONTH(I1523)=MONTH($A$3:$A$2000)),0))</f>
        <v>51670.122880152572</v>
      </c>
      <c r="L1523">
        <f t="shared" si="47"/>
        <v>36225.862599369022</v>
      </c>
    </row>
    <row r="1524" spans="4:12" x14ac:dyDescent="0.25">
      <c r="D1524">
        <f t="shared" si="46"/>
        <v>0</v>
      </c>
      <c r="H1524">
        <v>1522</v>
      </c>
      <c r="I1524" s="1">
        <v>46481</v>
      </c>
      <c r="J1524">
        <f t="array" ref="J1524">INDEX($D$3:$D$62,MATCH(1, (YEAR(I1524)=YEAR($A$3:$A$62))*(MONTH(I1524)=MONTH($A$3:$A$62)),0))</f>
        <v>34638.359147563686</v>
      </c>
      <c r="K1524">
        <f t="array" ref="K1524">INDEX($G$3:$G$200,MATCH(1, (YEAR(I1524)=YEAR($A$3:$A$2000))*(MONTH(I1524)=MONTH($A$3:$A$2000)),0))</f>
        <v>51670.122880152572</v>
      </c>
      <c r="L1524">
        <f t="shared" si="47"/>
        <v>36199.862849823985</v>
      </c>
    </row>
    <row r="1525" spans="4:12" x14ac:dyDescent="0.25">
      <c r="D1525">
        <f t="shared" si="46"/>
        <v>0</v>
      </c>
      <c r="H1525">
        <v>1523</v>
      </c>
      <c r="I1525" s="1">
        <v>46482</v>
      </c>
      <c r="J1525">
        <f t="array" ref="J1525">INDEX($D$3:$D$62,MATCH(1, (YEAR(I1525)=YEAR($A$3:$A$62))*(MONTH(I1525)=MONTH($A$3:$A$62)),0))</f>
        <v>34638.359147563686</v>
      </c>
      <c r="K1525">
        <f t="array" ref="K1525">INDEX($G$3:$G$200,MATCH(1, (YEAR(I1525)=YEAR($A$3:$A$2000))*(MONTH(I1525)=MONTH($A$3:$A$2000)),0))</f>
        <v>51670.122880152572</v>
      </c>
      <c r="L1525">
        <f t="shared" si="47"/>
        <v>36173.874801386963</v>
      </c>
    </row>
    <row r="1526" spans="4:12" x14ac:dyDescent="0.25">
      <c r="D1526">
        <f t="shared" si="46"/>
        <v>0</v>
      </c>
      <c r="H1526">
        <v>1524</v>
      </c>
      <c r="I1526" s="1">
        <v>46483</v>
      </c>
      <c r="J1526">
        <f t="array" ref="J1526">INDEX($D$3:$D$62,MATCH(1, (YEAR(I1526)=YEAR($A$3:$A$62))*(MONTH(I1526)=MONTH($A$3:$A$62)),0))</f>
        <v>34638.359147563686</v>
      </c>
      <c r="K1526">
        <f t="array" ref="K1526">INDEX($G$3:$G$200,MATCH(1, (YEAR(I1526)=YEAR($A$3:$A$2000))*(MONTH(I1526)=MONTH($A$3:$A$2000)),0))</f>
        <v>51670.122880152572</v>
      </c>
      <c r="L1526">
        <f t="shared" si="47"/>
        <v>36147.898469903972</v>
      </c>
    </row>
    <row r="1527" spans="4:12" x14ac:dyDescent="0.25">
      <c r="D1527">
        <f t="shared" si="46"/>
        <v>0</v>
      </c>
      <c r="H1527">
        <v>1525</v>
      </c>
      <c r="I1527" s="1">
        <v>46484</v>
      </c>
      <c r="J1527">
        <f t="array" ref="J1527">INDEX($D$3:$D$62,MATCH(1, (YEAR(I1527)=YEAR($A$3:$A$62))*(MONTH(I1527)=MONTH($A$3:$A$62)),0))</f>
        <v>34638.359147563686</v>
      </c>
      <c r="K1527">
        <f t="array" ref="K1527">INDEX($G$3:$G$200,MATCH(1, (YEAR(I1527)=YEAR($A$3:$A$2000))*(MONTH(I1527)=MONTH($A$3:$A$2000)),0))</f>
        <v>51670.122880152572</v>
      </c>
      <c r="L1527">
        <f t="shared" si="47"/>
        <v>36121.933871509042</v>
      </c>
    </row>
    <row r="1528" spans="4:12" x14ac:dyDescent="0.25">
      <c r="D1528">
        <f t="shared" si="46"/>
        <v>0</v>
      </c>
      <c r="H1528">
        <v>1526</v>
      </c>
      <c r="I1528" s="1">
        <v>46485</v>
      </c>
      <c r="J1528">
        <f t="array" ref="J1528">INDEX($D$3:$D$62,MATCH(1, (YEAR(I1528)=YEAR($A$3:$A$62))*(MONTH(I1528)=MONTH($A$3:$A$62)),0))</f>
        <v>34638.359147563686</v>
      </c>
      <c r="K1528">
        <f t="array" ref="K1528">INDEX($G$3:$G$200,MATCH(1, (YEAR(I1528)=YEAR($A$3:$A$2000))*(MONTH(I1528)=MONTH($A$3:$A$2000)),0))</f>
        <v>51670.122880152572</v>
      </c>
      <c r="L1528">
        <f t="shared" si="47"/>
        <v>36095.981022623979</v>
      </c>
    </row>
    <row r="1529" spans="4:12" x14ac:dyDescent="0.25">
      <c r="D1529">
        <f t="shared" si="46"/>
        <v>0</v>
      </c>
      <c r="H1529">
        <v>1527</v>
      </c>
      <c r="I1529" s="1">
        <v>46486</v>
      </c>
      <c r="J1529">
        <f t="array" ref="J1529">INDEX($D$3:$D$62,MATCH(1, (YEAR(I1529)=YEAR($A$3:$A$62))*(MONTH(I1529)=MONTH($A$3:$A$62)),0))</f>
        <v>34638.359147563686</v>
      </c>
      <c r="K1529">
        <f t="array" ref="K1529">INDEX($G$3:$G$200,MATCH(1, (YEAR(I1529)=YEAR($A$3:$A$2000))*(MONTH(I1529)=MONTH($A$3:$A$2000)),0))</f>
        <v>51670.122880152572</v>
      </c>
      <c r="L1529">
        <f t="shared" si="47"/>
        <v>36070.03993995901</v>
      </c>
    </row>
    <row r="1530" spans="4:12" x14ac:dyDescent="0.25">
      <c r="D1530">
        <f t="shared" si="46"/>
        <v>0</v>
      </c>
      <c r="H1530">
        <v>1528</v>
      </c>
      <c r="I1530" s="1">
        <v>46487</v>
      </c>
      <c r="J1530">
        <f t="array" ref="J1530">INDEX($D$3:$D$62,MATCH(1, (YEAR(I1530)=YEAR($A$3:$A$62))*(MONTH(I1530)=MONTH($A$3:$A$62)),0))</f>
        <v>34638.359147563686</v>
      </c>
      <c r="K1530">
        <f t="array" ref="K1530">INDEX($G$3:$G$200,MATCH(1, (YEAR(I1530)=YEAR($A$3:$A$2000))*(MONTH(I1530)=MONTH($A$3:$A$2000)),0))</f>
        <v>51670.122880152572</v>
      </c>
      <c r="L1530">
        <f t="shared" si="47"/>
        <v>36044.110640511994</v>
      </c>
    </row>
    <row r="1531" spans="4:12" x14ac:dyDescent="0.25">
      <c r="D1531">
        <f t="shared" si="46"/>
        <v>0</v>
      </c>
      <c r="H1531">
        <v>1529</v>
      </c>
      <c r="I1531" s="1">
        <v>46488</v>
      </c>
      <c r="J1531">
        <f t="array" ref="J1531">INDEX($D$3:$D$62,MATCH(1, (YEAR(I1531)=YEAR($A$3:$A$62))*(MONTH(I1531)=MONTH($A$3:$A$62)),0))</f>
        <v>34638.359147563686</v>
      </c>
      <c r="K1531">
        <f t="array" ref="K1531">INDEX($G$3:$G$200,MATCH(1, (YEAR(I1531)=YEAR($A$3:$A$2000))*(MONTH(I1531)=MONTH($A$3:$A$2000)),0))</f>
        <v>51670.122880152572</v>
      </c>
      <c r="L1531">
        <f t="shared" si="47"/>
        <v>36018.193141568976</v>
      </c>
    </row>
    <row r="1532" spans="4:12" x14ac:dyDescent="0.25">
      <c r="D1532">
        <f t="shared" si="46"/>
        <v>0</v>
      </c>
      <c r="H1532">
        <v>1530</v>
      </c>
      <c r="I1532" s="1">
        <v>46489</v>
      </c>
      <c r="J1532">
        <f t="array" ref="J1532">INDEX($D$3:$D$62,MATCH(1, (YEAR(I1532)=YEAR($A$3:$A$62))*(MONTH(I1532)=MONTH($A$3:$A$62)),0))</f>
        <v>34638.359147563686</v>
      </c>
      <c r="K1532">
        <f t="array" ref="K1532">INDEX($G$3:$G$200,MATCH(1, (YEAR(I1532)=YEAR($A$3:$A$2000))*(MONTH(I1532)=MONTH($A$3:$A$2000)),0))</f>
        <v>51670.122880152572</v>
      </c>
      <c r="L1532">
        <f t="shared" si="47"/>
        <v>35992.287460703985</v>
      </c>
    </row>
    <row r="1533" spans="4:12" x14ac:dyDescent="0.25">
      <c r="D1533">
        <f t="shared" si="46"/>
        <v>0</v>
      </c>
      <c r="H1533">
        <v>1531</v>
      </c>
      <c r="I1533" s="1">
        <v>46490</v>
      </c>
      <c r="J1533">
        <f t="array" ref="J1533">INDEX($D$3:$D$62,MATCH(1, (YEAR(I1533)=YEAR($A$3:$A$62))*(MONTH(I1533)=MONTH($A$3:$A$62)),0))</f>
        <v>34638.359147563686</v>
      </c>
      <c r="K1533">
        <f t="array" ref="K1533">INDEX($G$3:$G$200,MATCH(1, (YEAR(I1533)=YEAR($A$3:$A$2000))*(MONTH(I1533)=MONTH($A$3:$A$2000)),0))</f>
        <v>51670.122880152572</v>
      </c>
      <c r="L1533">
        <f t="shared" si="47"/>
        <v>35966.393615778943</v>
      </c>
    </row>
    <row r="1534" spans="4:12" x14ac:dyDescent="0.25">
      <c r="D1534">
        <f t="shared" si="46"/>
        <v>0</v>
      </c>
      <c r="H1534">
        <v>1532</v>
      </c>
      <c r="I1534" s="1">
        <v>46491</v>
      </c>
      <c r="J1534">
        <f t="array" ref="J1534">INDEX($D$3:$D$62,MATCH(1, (YEAR(I1534)=YEAR($A$3:$A$62))*(MONTH(I1534)=MONTH($A$3:$A$62)),0))</f>
        <v>34638.359147563686</v>
      </c>
      <c r="K1534">
        <f t="array" ref="K1534">INDEX($G$3:$G$200,MATCH(1, (YEAR(I1534)=YEAR($A$3:$A$2000))*(MONTH(I1534)=MONTH($A$3:$A$2000)),0))</f>
        <v>51670.122880152572</v>
      </c>
      <c r="L1534">
        <f t="shared" si="47"/>
        <v>35940.511624943989</v>
      </c>
    </row>
    <row r="1535" spans="4:12" x14ac:dyDescent="0.25">
      <c r="D1535">
        <f t="shared" si="46"/>
        <v>0</v>
      </c>
      <c r="H1535">
        <v>1533</v>
      </c>
      <c r="I1535" s="1">
        <v>46492</v>
      </c>
      <c r="J1535">
        <f t="array" ref="J1535">INDEX($D$3:$D$62,MATCH(1, (YEAR(I1535)=YEAR($A$3:$A$62))*(MONTH(I1535)=MONTH($A$3:$A$62)),0))</f>
        <v>34638.359147563686</v>
      </c>
      <c r="K1535">
        <f t="array" ref="K1535">INDEX($G$3:$G$200,MATCH(1, (YEAR(I1535)=YEAR($A$3:$A$2000))*(MONTH(I1535)=MONTH($A$3:$A$2000)),0))</f>
        <v>51670.122880152572</v>
      </c>
      <c r="L1535">
        <f t="shared" si="47"/>
        <v>35914.64150663701</v>
      </c>
    </row>
    <row r="1536" spans="4:12" x14ac:dyDescent="0.25">
      <c r="D1536">
        <f t="shared" si="46"/>
        <v>0</v>
      </c>
      <c r="H1536">
        <v>1534</v>
      </c>
      <c r="I1536" s="1">
        <v>46493</v>
      </c>
      <c r="J1536">
        <f t="array" ref="J1536">INDEX($D$3:$D$62,MATCH(1, (YEAR(I1536)=YEAR($A$3:$A$62))*(MONTH(I1536)=MONTH($A$3:$A$62)),0))</f>
        <v>34638.359147563686</v>
      </c>
      <c r="K1536">
        <f t="array" ref="K1536">INDEX($G$3:$G$200,MATCH(1, (YEAR(I1536)=YEAR($A$3:$A$2000))*(MONTH(I1536)=MONTH($A$3:$A$2000)),0))</f>
        <v>51670.122880152572</v>
      </c>
      <c r="L1536">
        <f t="shared" si="47"/>
        <v>35888.783279583993</v>
      </c>
    </row>
    <row r="1537" spans="4:12" x14ac:dyDescent="0.25">
      <c r="D1537">
        <f t="shared" si="46"/>
        <v>0</v>
      </c>
      <c r="H1537">
        <v>1535</v>
      </c>
      <c r="I1537" s="1">
        <v>46494</v>
      </c>
      <c r="J1537">
        <f t="array" ref="J1537">INDEX($D$3:$D$62,MATCH(1, (YEAR(I1537)=YEAR($A$3:$A$62))*(MONTH(I1537)=MONTH($A$3:$A$62)),0))</f>
        <v>34638.359147563686</v>
      </c>
      <c r="K1537">
        <f t="array" ref="K1537">INDEX($G$3:$G$200,MATCH(1, (YEAR(I1537)=YEAR($A$3:$A$2000))*(MONTH(I1537)=MONTH($A$3:$A$2000)),0))</f>
        <v>51670.122880152572</v>
      </c>
      <c r="L1537">
        <f t="shared" si="47"/>
        <v>35862.936962798995</v>
      </c>
    </row>
    <row r="1538" spans="4:12" x14ac:dyDescent="0.25">
      <c r="D1538">
        <f t="shared" si="46"/>
        <v>0</v>
      </c>
      <c r="H1538">
        <v>1536</v>
      </c>
      <c r="I1538" s="1">
        <v>46495</v>
      </c>
      <c r="J1538">
        <f t="array" ref="J1538">INDEX($D$3:$D$62,MATCH(1, (YEAR(I1538)=YEAR($A$3:$A$62))*(MONTH(I1538)=MONTH($A$3:$A$62)),0))</f>
        <v>34638.359147563686</v>
      </c>
      <c r="K1538">
        <f t="array" ref="K1538">INDEX($G$3:$G$200,MATCH(1, (YEAR(I1538)=YEAR($A$3:$A$2000))*(MONTH(I1538)=MONTH($A$3:$A$2000)),0))</f>
        <v>51670.122880152572</v>
      </c>
      <c r="L1538">
        <f t="shared" si="47"/>
        <v>35837.102575584024</v>
      </c>
    </row>
    <row r="1539" spans="4:12" x14ac:dyDescent="0.25">
      <c r="D1539">
        <f t="shared" si="46"/>
        <v>0</v>
      </c>
      <c r="H1539">
        <v>1537</v>
      </c>
      <c r="I1539" s="1">
        <v>46496</v>
      </c>
      <c r="J1539">
        <f t="array" ref="J1539">INDEX($D$3:$D$62,MATCH(1, (YEAR(I1539)=YEAR($A$3:$A$62))*(MONTH(I1539)=MONTH($A$3:$A$62)),0))</f>
        <v>34638.359147563686</v>
      </c>
      <c r="K1539">
        <f t="array" ref="K1539">INDEX($G$3:$G$200,MATCH(1, (YEAR(I1539)=YEAR($A$3:$A$2000))*(MONTH(I1539)=MONTH($A$3:$A$2000)),0))</f>
        <v>51670.122880152572</v>
      </c>
      <c r="L1539">
        <f t="shared" si="47"/>
        <v>35811.280137528956</v>
      </c>
    </row>
    <row r="1540" spans="4:12" x14ac:dyDescent="0.25">
      <c r="D1540">
        <f t="shared" ref="D1540:D1603" si="48">SUM(B1540:C1540)</f>
        <v>0</v>
      </c>
      <c r="H1540">
        <v>1538</v>
      </c>
      <c r="I1540" s="1">
        <v>46497</v>
      </c>
      <c r="J1540">
        <f t="array" ref="J1540">INDEX($D$3:$D$62,MATCH(1, (YEAR(I1540)=YEAR($A$3:$A$62))*(MONTH(I1540)=MONTH($A$3:$A$62)),0))</f>
        <v>34638.359147563686</v>
      </c>
      <c r="K1540">
        <f t="array" ref="K1540">INDEX($G$3:$G$200,MATCH(1, (YEAR(I1540)=YEAR($A$3:$A$2000))*(MONTH(I1540)=MONTH($A$3:$A$2000)),0))</f>
        <v>51670.122880152572</v>
      </c>
      <c r="L1540">
        <f t="shared" ref="L1540:L1603" si="49">0.000000012*H1540^4-0.000070439*H1540^3+0.160688168*H1540^2-194.849290676*H1540+144481.718306784</f>
        <v>35785.469668511942</v>
      </c>
    </row>
    <row r="1541" spans="4:12" x14ac:dyDescent="0.25">
      <c r="D1541">
        <f t="shared" si="48"/>
        <v>0</v>
      </c>
      <c r="H1541">
        <v>1539</v>
      </c>
      <c r="I1541" s="1">
        <v>46498</v>
      </c>
      <c r="J1541">
        <f t="array" ref="J1541">INDEX($D$3:$D$62,MATCH(1, (YEAR(I1541)=YEAR($A$3:$A$62))*(MONTH(I1541)=MONTH($A$3:$A$62)),0))</f>
        <v>34638.359147563686</v>
      </c>
      <c r="K1541">
        <f t="array" ref="K1541">INDEX($G$3:$G$200,MATCH(1, (YEAR(I1541)=YEAR($A$3:$A$2000))*(MONTH(I1541)=MONTH($A$3:$A$2000)),0))</f>
        <v>51670.122880152572</v>
      </c>
      <c r="L1541">
        <f t="shared" si="49"/>
        <v>35759.671188698965</v>
      </c>
    </row>
    <row r="1542" spans="4:12" x14ac:dyDescent="0.25">
      <c r="D1542">
        <f t="shared" si="48"/>
        <v>0</v>
      </c>
      <c r="H1542">
        <v>1540</v>
      </c>
      <c r="I1542" s="1">
        <v>46499</v>
      </c>
      <c r="J1542">
        <f t="array" ref="J1542">INDEX($D$3:$D$62,MATCH(1, (YEAR(I1542)=YEAR($A$3:$A$62))*(MONTH(I1542)=MONTH($A$3:$A$62)),0))</f>
        <v>34638.359147563686</v>
      </c>
      <c r="K1542">
        <f t="array" ref="K1542">INDEX($G$3:$G$200,MATCH(1, (YEAR(I1542)=YEAR($A$3:$A$2000))*(MONTH(I1542)=MONTH($A$3:$A$2000)),0))</f>
        <v>51670.122880152572</v>
      </c>
      <c r="L1542">
        <f t="shared" si="49"/>
        <v>35733.884718544025</v>
      </c>
    </row>
    <row r="1543" spans="4:12" x14ac:dyDescent="0.25">
      <c r="D1543">
        <f t="shared" si="48"/>
        <v>0</v>
      </c>
      <c r="H1543">
        <v>1541</v>
      </c>
      <c r="I1543" s="1">
        <v>46500</v>
      </c>
      <c r="J1543">
        <f t="array" ref="J1543">INDEX($D$3:$D$62,MATCH(1, (YEAR(I1543)=YEAR($A$3:$A$62))*(MONTH(I1543)=MONTH($A$3:$A$62)),0))</f>
        <v>34638.359147563686</v>
      </c>
      <c r="K1543">
        <f t="array" ref="K1543">INDEX($G$3:$G$200,MATCH(1, (YEAR(I1543)=YEAR($A$3:$A$2000))*(MONTH(I1543)=MONTH($A$3:$A$2000)),0))</f>
        <v>51670.122880152572</v>
      </c>
      <c r="L1543">
        <f t="shared" si="49"/>
        <v>35708.110278789012</v>
      </c>
    </row>
    <row r="1544" spans="4:12" x14ac:dyDescent="0.25">
      <c r="D1544">
        <f t="shared" si="48"/>
        <v>0</v>
      </c>
      <c r="H1544">
        <v>1542</v>
      </c>
      <c r="I1544" s="1">
        <v>46501</v>
      </c>
      <c r="J1544">
        <f t="array" ref="J1544">INDEX($D$3:$D$62,MATCH(1, (YEAR(I1544)=YEAR($A$3:$A$62))*(MONTH(I1544)=MONTH($A$3:$A$62)),0))</f>
        <v>34638.359147563686</v>
      </c>
      <c r="K1544">
        <f t="array" ref="K1544">INDEX($G$3:$G$200,MATCH(1, (YEAR(I1544)=YEAR($A$3:$A$2000))*(MONTH(I1544)=MONTH($A$3:$A$2000)),0))</f>
        <v>51670.122880152572</v>
      </c>
      <c r="L1544">
        <f t="shared" si="49"/>
        <v>35682.347890464007</v>
      </c>
    </row>
    <row r="1545" spans="4:12" x14ac:dyDescent="0.25">
      <c r="D1545">
        <f t="shared" si="48"/>
        <v>0</v>
      </c>
      <c r="H1545">
        <v>1543</v>
      </c>
      <c r="I1545" s="1">
        <v>46502</v>
      </c>
      <c r="J1545">
        <f t="array" ref="J1545">INDEX($D$3:$D$62,MATCH(1, (YEAR(I1545)=YEAR($A$3:$A$62))*(MONTH(I1545)=MONTH($A$3:$A$62)),0))</f>
        <v>34638.359147563686</v>
      </c>
      <c r="K1545">
        <f t="array" ref="K1545">INDEX($G$3:$G$200,MATCH(1, (YEAR(I1545)=YEAR($A$3:$A$2000))*(MONTH(I1545)=MONTH($A$3:$A$2000)),0))</f>
        <v>51670.122880152572</v>
      </c>
      <c r="L1545">
        <f t="shared" si="49"/>
        <v>35656.597574887011</v>
      </c>
    </row>
    <row r="1546" spans="4:12" x14ac:dyDescent="0.25">
      <c r="D1546">
        <f t="shared" si="48"/>
        <v>0</v>
      </c>
      <c r="H1546">
        <v>1544</v>
      </c>
      <c r="I1546" s="1">
        <v>46503</v>
      </c>
      <c r="J1546">
        <f t="array" ref="J1546">INDEX($D$3:$D$62,MATCH(1, (YEAR(I1546)=YEAR($A$3:$A$62))*(MONTH(I1546)=MONTH($A$3:$A$62)),0))</f>
        <v>34638.359147563686</v>
      </c>
      <c r="K1546">
        <f t="array" ref="K1546">INDEX($G$3:$G$200,MATCH(1, (YEAR(I1546)=YEAR($A$3:$A$2000))*(MONTH(I1546)=MONTH($A$3:$A$2000)),0))</f>
        <v>51670.122880152572</v>
      </c>
      <c r="L1546">
        <f t="shared" si="49"/>
        <v>35630.859353664011</v>
      </c>
    </row>
    <row r="1547" spans="4:12" x14ac:dyDescent="0.25">
      <c r="D1547">
        <f t="shared" si="48"/>
        <v>0</v>
      </c>
      <c r="H1547">
        <v>1545</v>
      </c>
      <c r="I1547" s="1">
        <v>46504</v>
      </c>
      <c r="J1547">
        <f t="array" ref="J1547">INDEX($D$3:$D$62,MATCH(1, (YEAR(I1547)=YEAR($A$3:$A$62))*(MONTH(I1547)=MONTH($A$3:$A$62)),0))</f>
        <v>34638.359147563686</v>
      </c>
      <c r="K1547">
        <f t="array" ref="K1547">INDEX($G$3:$G$200,MATCH(1, (YEAR(I1547)=YEAR($A$3:$A$2000))*(MONTH(I1547)=MONTH($A$3:$A$2000)),0))</f>
        <v>51670.122880152572</v>
      </c>
      <c r="L1547">
        <f t="shared" si="49"/>
        <v>35605.133248689002</v>
      </c>
    </row>
    <row r="1548" spans="4:12" x14ac:dyDescent="0.25">
      <c r="D1548">
        <f t="shared" si="48"/>
        <v>0</v>
      </c>
      <c r="H1548">
        <v>1546</v>
      </c>
      <c r="I1548" s="1">
        <v>46505</v>
      </c>
      <c r="J1548">
        <f t="array" ref="J1548">INDEX($D$3:$D$62,MATCH(1, (YEAR(I1548)=YEAR($A$3:$A$62))*(MONTH(I1548)=MONTH($A$3:$A$62)),0))</f>
        <v>34638.359147563686</v>
      </c>
      <c r="K1548">
        <f t="array" ref="K1548">INDEX($G$3:$G$200,MATCH(1, (YEAR(I1548)=YEAR($A$3:$A$2000))*(MONTH(I1548)=MONTH($A$3:$A$2000)),0))</f>
        <v>51670.122880152572</v>
      </c>
      <c r="L1548">
        <f t="shared" si="49"/>
        <v>35579.419282143936</v>
      </c>
    </row>
    <row r="1549" spans="4:12" x14ac:dyDescent="0.25">
      <c r="D1549">
        <f t="shared" si="48"/>
        <v>0</v>
      </c>
      <c r="H1549">
        <v>1547</v>
      </c>
      <c r="I1549" s="1">
        <v>46506</v>
      </c>
      <c r="J1549">
        <f t="array" ref="J1549">INDEX($D$3:$D$62,MATCH(1, (YEAR(I1549)=YEAR($A$3:$A$62))*(MONTH(I1549)=MONTH($A$3:$A$62)),0))</f>
        <v>34638.359147563686</v>
      </c>
      <c r="K1549">
        <f t="array" ref="K1549">INDEX($G$3:$G$200,MATCH(1, (YEAR(I1549)=YEAR($A$3:$A$2000))*(MONTH(I1549)=MONTH($A$3:$A$2000)),0))</f>
        <v>51670.122880152572</v>
      </c>
      <c r="L1549">
        <f t="shared" si="49"/>
        <v>35553.717476498918</v>
      </c>
    </row>
    <row r="1550" spans="4:12" x14ac:dyDescent="0.25">
      <c r="D1550">
        <f t="shared" si="48"/>
        <v>0</v>
      </c>
      <c r="H1550">
        <v>1548</v>
      </c>
      <c r="I1550" s="1">
        <v>46507</v>
      </c>
      <c r="J1550">
        <f t="array" ref="J1550">INDEX($D$3:$D$62,MATCH(1, (YEAR(I1550)=YEAR($A$3:$A$62))*(MONTH(I1550)=MONTH($A$3:$A$62)),0))</f>
        <v>34638.359147563686</v>
      </c>
      <c r="K1550">
        <f t="array" ref="K1550">INDEX($G$3:$G$200,MATCH(1, (YEAR(I1550)=YEAR($A$3:$A$2000))*(MONTH(I1550)=MONTH($A$3:$A$2000)),0))</f>
        <v>51670.122880152572</v>
      </c>
      <c r="L1550">
        <f t="shared" si="49"/>
        <v>35528.027854512038</v>
      </c>
    </row>
    <row r="1551" spans="4:12" x14ac:dyDescent="0.25">
      <c r="D1551">
        <f t="shared" si="48"/>
        <v>0</v>
      </c>
      <c r="H1551">
        <v>1549</v>
      </c>
      <c r="I1551" s="1">
        <v>46508</v>
      </c>
      <c r="J1551">
        <f t="array" ref="J1551">INDEX($D$3:$D$62,MATCH(1, (YEAR(I1551)=YEAR($A$3:$A$62))*(MONTH(I1551)=MONTH($A$3:$A$62)),0))</f>
        <v>33835.012397203951</v>
      </c>
      <c r="K1551">
        <f t="array" ref="K1551">INDEX($G$3:$G$200,MATCH(1, (YEAR(I1551)=YEAR($A$3:$A$2000))*(MONTH(I1551)=MONTH($A$3:$A$2000)),0))</f>
        <v>50556.119628584966</v>
      </c>
      <c r="L1551">
        <f t="shared" si="49"/>
        <v>35502.350439228991</v>
      </c>
    </row>
    <row r="1552" spans="4:12" x14ac:dyDescent="0.25">
      <c r="D1552">
        <f t="shared" si="48"/>
        <v>0</v>
      </c>
      <c r="H1552">
        <v>1550</v>
      </c>
      <c r="I1552" s="1">
        <v>46509</v>
      </c>
      <c r="J1552">
        <f t="array" ref="J1552">INDEX($D$3:$D$62,MATCH(1, (YEAR(I1552)=YEAR($A$3:$A$62))*(MONTH(I1552)=MONTH($A$3:$A$62)),0))</f>
        <v>33835.012397203951</v>
      </c>
      <c r="K1552">
        <f t="array" ref="K1552">INDEX($G$3:$G$200,MATCH(1, (YEAR(I1552)=YEAR($A$3:$A$2000))*(MONTH(I1552)=MONTH($A$3:$A$2000)),0))</f>
        <v>50556.119628584966</v>
      </c>
      <c r="L1552">
        <f t="shared" si="49"/>
        <v>35476.685253984004</v>
      </c>
    </row>
    <row r="1553" spans="4:12" x14ac:dyDescent="0.25">
      <c r="D1553">
        <f t="shared" si="48"/>
        <v>0</v>
      </c>
      <c r="H1553">
        <v>1551</v>
      </c>
      <c r="I1553" s="1">
        <v>46510</v>
      </c>
      <c r="J1553">
        <f t="array" ref="J1553">INDEX($D$3:$D$62,MATCH(1, (YEAR(I1553)=YEAR($A$3:$A$62))*(MONTH(I1553)=MONTH($A$3:$A$62)),0))</f>
        <v>33835.012397203951</v>
      </c>
      <c r="K1553">
        <f t="array" ref="K1553">INDEX($G$3:$G$200,MATCH(1, (YEAR(I1553)=YEAR($A$3:$A$2000))*(MONTH(I1553)=MONTH($A$3:$A$2000)),0))</f>
        <v>50556.119628584966</v>
      </c>
      <c r="L1553">
        <f t="shared" si="49"/>
        <v>35451.032322398969</v>
      </c>
    </row>
    <row r="1554" spans="4:12" x14ac:dyDescent="0.25">
      <c r="D1554">
        <f t="shared" si="48"/>
        <v>0</v>
      </c>
      <c r="H1554">
        <v>1552</v>
      </c>
      <c r="I1554" s="1">
        <v>46511</v>
      </c>
      <c r="J1554">
        <f t="array" ref="J1554">INDEX($D$3:$D$62,MATCH(1, (YEAR(I1554)=YEAR($A$3:$A$62))*(MONTH(I1554)=MONTH($A$3:$A$62)),0))</f>
        <v>33835.012397203951</v>
      </c>
      <c r="K1554">
        <f t="array" ref="K1554">INDEX($G$3:$G$200,MATCH(1, (YEAR(I1554)=YEAR($A$3:$A$2000))*(MONTH(I1554)=MONTH($A$3:$A$2000)),0))</f>
        <v>50556.119628584966</v>
      </c>
      <c r="L1554">
        <f t="shared" si="49"/>
        <v>35425.391668384022</v>
      </c>
    </row>
    <row r="1555" spans="4:12" x14ac:dyDescent="0.25">
      <c r="D1555">
        <f t="shared" si="48"/>
        <v>0</v>
      </c>
      <c r="H1555">
        <v>1553</v>
      </c>
      <c r="I1555" s="1">
        <v>46512</v>
      </c>
      <c r="J1555">
        <f t="array" ref="J1555">INDEX($D$3:$D$62,MATCH(1, (YEAR(I1555)=YEAR($A$3:$A$62))*(MONTH(I1555)=MONTH($A$3:$A$62)),0))</f>
        <v>33835.012397203951</v>
      </c>
      <c r="K1555">
        <f t="array" ref="K1555">INDEX($G$3:$G$200,MATCH(1, (YEAR(I1555)=YEAR($A$3:$A$2000))*(MONTH(I1555)=MONTH($A$3:$A$2000)),0))</f>
        <v>50556.119628584966</v>
      </c>
      <c r="L1555">
        <f t="shared" si="49"/>
        <v>35399.763316136959</v>
      </c>
    </row>
    <row r="1556" spans="4:12" x14ac:dyDescent="0.25">
      <c r="D1556">
        <f t="shared" si="48"/>
        <v>0</v>
      </c>
      <c r="H1556">
        <v>1554</v>
      </c>
      <c r="I1556" s="1">
        <v>46513</v>
      </c>
      <c r="J1556">
        <f t="array" ref="J1556">INDEX($D$3:$D$62,MATCH(1, (YEAR(I1556)=YEAR($A$3:$A$62))*(MONTH(I1556)=MONTH($A$3:$A$62)),0))</f>
        <v>33835.012397203951</v>
      </c>
      <c r="K1556">
        <f t="array" ref="K1556">INDEX($G$3:$G$200,MATCH(1, (YEAR(I1556)=YEAR($A$3:$A$2000))*(MONTH(I1556)=MONTH($A$3:$A$2000)),0))</f>
        <v>50556.119628584966</v>
      </c>
      <c r="L1556">
        <f t="shared" si="49"/>
        <v>35374.147290143999</v>
      </c>
    </row>
    <row r="1557" spans="4:12" x14ac:dyDescent="0.25">
      <c r="D1557">
        <f t="shared" si="48"/>
        <v>0</v>
      </c>
      <c r="H1557">
        <v>1555</v>
      </c>
      <c r="I1557" s="1">
        <v>46514</v>
      </c>
      <c r="J1557">
        <f t="array" ref="J1557">INDEX($D$3:$D$62,MATCH(1, (YEAR(I1557)=YEAR($A$3:$A$62))*(MONTH(I1557)=MONTH($A$3:$A$62)),0))</f>
        <v>33835.012397203951</v>
      </c>
      <c r="K1557">
        <f t="array" ref="K1557">INDEX($G$3:$G$200,MATCH(1, (YEAR(I1557)=YEAR($A$3:$A$2000))*(MONTH(I1557)=MONTH($A$3:$A$2000)),0))</f>
        <v>50556.119628584966</v>
      </c>
      <c r="L1557">
        <f t="shared" si="49"/>
        <v>35348.543615178962</v>
      </c>
    </row>
    <row r="1558" spans="4:12" x14ac:dyDescent="0.25">
      <c r="D1558">
        <f t="shared" si="48"/>
        <v>0</v>
      </c>
      <c r="H1558">
        <v>1556</v>
      </c>
      <c r="I1558" s="1">
        <v>46515</v>
      </c>
      <c r="J1558">
        <f t="array" ref="J1558">INDEX($D$3:$D$62,MATCH(1, (YEAR(I1558)=YEAR($A$3:$A$62))*(MONTH(I1558)=MONTH($A$3:$A$62)),0))</f>
        <v>33835.012397203951</v>
      </c>
      <c r="K1558">
        <f t="array" ref="K1558">INDEX($G$3:$G$200,MATCH(1, (YEAR(I1558)=YEAR($A$3:$A$2000))*(MONTH(I1558)=MONTH($A$3:$A$2000)),0))</f>
        <v>50556.119628584966</v>
      </c>
      <c r="L1558">
        <f t="shared" si="49"/>
        <v>35322.952316303999</v>
      </c>
    </row>
    <row r="1559" spans="4:12" x14ac:dyDescent="0.25">
      <c r="D1559">
        <f t="shared" si="48"/>
        <v>0</v>
      </c>
      <c r="H1559">
        <v>1557</v>
      </c>
      <c r="I1559" s="1">
        <v>46516</v>
      </c>
      <c r="J1559">
        <f t="array" ref="J1559">INDEX($D$3:$D$62,MATCH(1, (YEAR(I1559)=YEAR($A$3:$A$62))*(MONTH(I1559)=MONTH($A$3:$A$62)),0))</f>
        <v>33835.012397203951</v>
      </c>
      <c r="K1559">
        <f t="array" ref="K1559">INDEX($G$3:$G$200,MATCH(1, (YEAR(I1559)=YEAR($A$3:$A$2000))*(MONTH(I1559)=MONTH($A$3:$A$2000)),0))</f>
        <v>50556.119628584966</v>
      </c>
      <c r="L1559">
        <f t="shared" si="49"/>
        <v>35297.373418869043</v>
      </c>
    </row>
    <row r="1560" spans="4:12" x14ac:dyDescent="0.25">
      <c r="D1560">
        <f t="shared" si="48"/>
        <v>0</v>
      </c>
      <c r="H1560">
        <v>1558</v>
      </c>
      <c r="I1560" s="1">
        <v>46517</v>
      </c>
      <c r="J1560">
        <f t="array" ref="J1560">INDEX($D$3:$D$62,MATCH(1, (YEAR(I1560)=YEAR($A$3:$A$62))*(MONTH(I1560)=MONTH($A$3:$A$62)),0))</f>
        <v>33835.012397203951</v>
      </c>
      <c r="K1560">
        <f t="array" ref="K1560">INDEX($G$3:$G$200,MATCH(1, (YEAR(I1560)=YEAR($A$3:$A$2000))*(MONTH(I1560)=MONTH($A$3:$A$2000)),0))</f>
        <v>50556.119628584966</v>
      </c>
      <c r="L1560">
        <f t="shared" si="49"/>
        <v>35271.806948512007</v>
      </c>
    </row>
    <row r="1561" spans="4:12" x14ac:dyDescent="0.25">
      <c r="D1561">
        <f t="shared" si="48"/>
        <v>0</v>
      </c>
      <c r="H1561">
        <v>1559</v>
      </c>
      <c r="I1561" s="1">
        <v>46518</v>
      </c>
      <c r="J1561">
        <f t="array" ref="J1561">INDEX($D$3:$D$62,MATCH(1, (YEAR(I1561)=YEAR($A$3:$A$62))*(MONTH(I1561)=MONTH($A$3:$A$62)),0))</f>
        <v>33835.012397203951</v>
      </c>
      <c r="K1561">
        <f t="array" ref="K1561">INDEX($G$3:$G$200,MATCH(1, (YEAR(I1561)=YEAR($A$3:$A$2000))*(MONTH(I1561)=MONTH($A$3:$A$2000)),0))</f>
        <v>50556.119628584966</v>
      </c>
      <c r="L1561">
        <f t="shared" si="49"/>
        <v>35246.25293115899</v>
      </c>
    </row>
    <row r="1562" spans="4:12" x14ac:dyDescent="0.25">
      <c r="D1562">
        <f t="shared" si="48"/>
        <v>0</v>
      </c>
      <c r="H1562">
        <v>1560</v>
      </c>
      <c r="I1562" s="1">
        <v>46519</v>
      </c>
      <c r="J1562">
        <f t="array" ref="J1562">INDEX($D$3:$D$62,MATCH(1, (YEAR(I1562)=YEAR($A$3:$A$62))*(MONTH(I1562)=MONTH($A$3:$A$62)),0))</f>
        <v>33835.012397203951</v>
      </c>
      <c r="K1562">
        <f t="array" ref="K1562">INDEX($G$3:$G$200,MATCH(1, (YEAR(I1562)=YEAR($A$3:$A$2000))*(MONTH(I1562)=MONTH($A$3:$A$2000)),0))</f>
        <v>50556.119628584966</v>
      </c>
      <c r="L1562">
        <f t="shared" si="49"/>
        <v>35220.711393024016</v>
      </c>
    </row>
    <row r="1563" spans="4:12" x14ac:dyDescent="0.25">
      <c r="D1563">
        <f t="shared" si="48"/>
        <v>0</v>
      </c>
      <c r="H1563">
        <v>1561</v>
      </c>
      <c r="I1563" s="1">
        <v>46520</v>
      </c>
      <c r="J1563">
        <f t="array" ref="J1563">INDEX($D$3:$D$62,MATCH(1, (YEAR(I1563)=YEAR($A$3:$A$62))*(MONTH(I1563)=MONTH($A$3:$A$62)),0))</f>
        <v>33835.012397203951</v>
      </c>
      <c r="K1563">
        <f t="array" ref="K1563">INDEX($G$3:$G$200,MATCH(1, (YEAR(I1563)=YEAR($A$3:$A$2000))*(MONTH(I1563)=MONTH($A$3:$A$2000)),0))</f>
        <v>50556.119628584966</v>
      </c>
      <c r="L1563">
        <f t="shared" si="49"/>
        <v>35195.182360608946</v>
      </c>
    </row>
    <row r="1564" spans="4:12" x14ac:dyDescent="0.25">
      <c r="D1564">
        <f t="shared" si="48"/>
        <v>0</v>
      </c>
      <c r="H1564">
        <v>1562</v>
      </c>
      <c r="I1564" s="1">
        <v>46521</v>
      </c>
      <c r="J1564">
        <f t="array" ref="J1564">INDEX($D$3:$D$62,MATCH(1, (YEAR(I1564)=YEAR($A$3:$A$62))*(MONTH(I1564)=MONTH($A$3:$A$62)),0))</f>
        <v>33835.012397203951</v>
      </c>
      <c r="K1564">
        <f t="array" ref="K1564">INDEX($G$3:$G$200,MATCH(1, (YEAR(I1564)=YEAR($A$3:$A$2000))*(MONTH(I1564)=MONTH($A$3:$A$2000)),0))</f>
        <v>50556.119628584966</v>
      </c>
      <c r="L1564">
        <f t="shared" si="49"/>
        <v>35169.665860704001</v>
      </c>
    </row>
    <row r="1565" spans="4:12" x14ac:dyDescent="0.25">
      <c r="D1565">
        <f t="shared" si="48"/>
        <v>0</v>
      </c>
      <c r="H1565">
        <v>1563</v>
      </c>
      <c r="I1565" s="1">
        <v>46522</v>
      </c>
      <c r="J1565">
        <f t="array" ref="J1565">INDEX($D$3:$D$62,MATCH(1, (YEAR(I1565)=YEAR($A$3:$A$62))*(MONTH(I1565)=MONTH($A$3:$A$62)),0))</f>
        <v>33835.012397203951</v>
      </c>
      <c r="K1565">
        <f t="array" ref="K1565">INDEX($G$3:$G$200,MATCH(1, (YEAR(I1565)=YEAR($A$3:$A$2000))*(MONTH(I1565)=MONTH($A$3:$A$2000)),0))</f>
        <v>50556.119628584966</v>
      </c>
      <c r="L1565">
        <f t="shared" si="49"/>
        <v>35144.161920386949</v>
      </c>
    </row>
    <row r="1566" spans="4:12" x14ac:dyDescent="0.25">
      <c r="D1566">
        <f t="shared" si="48"/>
        <v>0</v>
      </c>
      <c r="H1566">
        <v>1564</v>
      </c>
      <c r="I1566" s="1">
        <v>46523</v>
      </c>
      <c r="J1566">
        <f t="array" ref="J1566">INDEX($D$3:$D$62,MATCH(1, (YEAR(I1566)=YEAR($A$3:$A$62))*(MONTH(I1566)=MONTH($A$3:$A$62)),0))</f>
        <v>33835.012397203951</v>
      </c>
      <c r="K1566">
        <f t="array" ref="K1566">INDEX($G$3:$G$200,MATCH(1, (YEAR(I1566)=YEAR($A$3:$A$2000))*(MONTH(I1566)=MONTH($A$3:$A$2000)),0))</f>
        <v>50556.119628584966</v>
      </c>
      <c r="L1566">
        <f t="shared" si="49"/>
        <v>35118.670567024034</v>
      </c>
    </row>
    <row r="1567" spans="4:12" x14ac:dyDescent="0.25">
      <c r="D1567">
        <f t="shared" si="48"/>
        <v>0</v>
      </c>
      <c r="H1567">
        <v>1565</v>
      </c>
      <c r="I1567" s="1">
        <v>46524</v>
      </c>
      <c r="J1567">
        <f t="array" ref="J1567">INDEX($D$3:$D$62,MATCH(1, (YEAR(I1567)=YEAR($A$3:$A$62))*(MONTH(I1567)=MONTH($A$3:$A$62)),0))</f>
        <v>33835.012397203951</v>
      </c>
      <c r="K1567">
        <f t="array" ref="K1567">INDEX($G$3:$G$200,MATCH(1, (YEAR(I1567)=YEAR($A$3:$A$2000))*(MONTH(I1567)=MONTH($A$3:$A$2000)),0))</f>
        <v>50556.119628584966</v>
      </c>
      <c r="L1567">
        <f t="shared" si="49"/>
        <v>35093.191828268988</v>
      </c>
    </row>
    <row r="1568" spans="4:12" x14ac:dyDescent="0.25">
      <c r="D1568">
        <f t="shared" si="48"/>
        <v>0</v>
      </c>
      <c r="H1568">
        <v>1566</v>
      </c>
      <c r="I1568" s="1">
        <v>46525</v>
      </c>
      <c r="J1568">
        <f t="array" ref="J1568">INDEX($D$3:$D$62,MATCH(1, (YEAR(I1568)=YEAR($A$3:$A$62))*(MONTH(I1568)=MONTH($A$3:$A$62)),0))</f>
        <v>33835.012397203951</v>
      </c>
      <c r="K1568">
        <f t="array" ref="K1568">INDEX($G$3:$G$200,MATCH(1, (YEAR(I1568)=YEAR($A$3:$A$2000))*(MONTH(I1568)=MONTH($A$3:$A$2000)),0))</f>
        <v>50556.119628584966</v>
      </c>
      <c r="L1568">
        <f t="shared" si="49"/>
        <v>35067.725732063962</v>
      </c>
    </row>
    <row r="1569" spans="4:12" x14ac:dyDescent="0.25">
      <c r="D1569">
        <f t="shared" si="48"/>
        <v>0</v>
      </c>
      <c r="H1569">
        <v>1567</v>
      </c>
      <c r="I1569" s="1">
        <v>46526</v>
      </c>
      <c r="J1569">
        <f t="array" ref="J1569">INDEX($D$3:$D$62,MATCH(1, (YEAR(I1569)=YEAR($A$3:$A$62))*(MONTH(I1569)=MONTH($A$3:$A$62)),0))</f>
        <v>33835.012397203951</v>
      </c>
      <c r="K1569">
        <f t="array" ref="K1569">INDEX($G$3:$G$200,MATCH(1, (YEAR(I1569)=YEAR($A$3:$A$2000))*(MONTH(I1569)=MONTH($A$3:$A$2000)),0))</f>
        <v>50556.119628584966</v>
      </c>
      <c r="L1569">
        <f t="shared" si="49"/>
        <v>35042.272306638944</v>
      </c>
    </row>
    <row r="1570" spans="4:12" x14ac:dyDescent="0.25">
      <c r="D1570">
        <f t="shared" si="48"/>
        <v>0</v>
      </c>
      <c r="H1570">
        <v>1568</v>
      </c>
      <c r="I1570" s="1">
        <v>46527</v>
      </c>
      <c r="J1570">
        <f t="array" ref="J1570">INDEX($D$3:$D$62,MATCH(1, (YEAR(I1570)=YEAR($A$3:$A$62))*(MONTH(I1570)=MONTH($A$3:$A$62)),0))</f>
        <v>33835.012397203951</v>
      </c>
      <c r="K1570">
        <f t="array" ref="K1570">INDEX($G$3:$G$200,MATCH(1, (YEAR(I1570)=YEAR($A$3:$A$2000))*(MONTH(I1570)=MONTH($A$3:$A$2000)),0))</f>
        <v>50556.119628584966</v>
      </c>
      <c r="L1570">
        <f t="shared" si="49"/>
        <v>35016.831580511993</v>
      </c>
    </row>
    <row r="1571" spans="4:12" x14ac:dyDescent="0.25">
      <c r="D1571">
        <f t="shared" si="48"/>
        <v>0</v>
      </c>
      <c r="H1571">
        <v>1569</v>
      </c>
      <c r="I1571" s="1">
        <v>46528</v>
      </c>
      <c r="J1571">
        <f t="array" ref="J1571">INDEX($D$3:$D$62,MATCH(1, (YEAR(I1571)=YEAR($A$3:$A$62))*(MONTH(I1571)=MONTH($A$3:$A$62)),0))</f>
        <v>33835.012397203951</v>
      </c>
      <c r="K1571">
        <f t="array" ref="K1571">INDEX($G$3:$G$200,MATCH(1, (YEAR(I1571)=YEAR($A$3:$A$2000))*(MONTH(I1571)=MONTH($A$3:$A$2000)),0))</f>
        <v>50556.119628584966</v>
      </c>
      <c r="L1571">
        <f t="shared" si="49"/>
        <v>34991.403582489002</v>
      </c>
    </row>
    <row r="1572" spans="4:12" x14ac:dyDescent="0.25">
      <c r="D1572">
        <f t="shared" si="48"/>
        <v>0</v>
      </c>
      <c r="H1572">
        <v>1570</v>
      </c>
      <c r="I1572" s="1">
        <v>46529</v>
      </c>
      <c r="J1572">
        <f t="array" ref="J1572">INDEX($D$3:$D$62,MATCH(1, (YEAR(I1572)=YEAR($A$3:$A$62))*(MONTH(I1572)=MONTH($A$3:$A$62)),0))</f>
        <v>33835.012397203951</v>
      </c>
      <c r="K1572">
        <f t="array" ref="K1572">INDEX($G$3:$G$200,MATCH(1, (YEAR(I1572)=YEAR($A$3:$A$2000))*(MONTH(I1572)=MONTH($A$3:$A$2000)),0))</f>
        <v>50556.119628584966</v>
      </c>
      <c r="L1572">
        <f t="shared" si="49"/>
        <v>34965.988341663993</v>
      </c>
    </row>
    <row r="1573" spans="4:12" x14ac:dyDescent="0.25">
      <c r="D1573">
        <f t="shared" si="48"/>
        <v>0</v>
      </c>
      <c r="H1573">
        <v>1571</v>
      </c>
      <c r="I1573" s="1">
        <v>46530</v>
      </c>
      <c r="J1573">
        <f t="array" ref="J1573">INDEX($D$3:$D$62,MATCH(1, (YEAR(I1573)=YEAR($A$3:$A$62))*(MONTH(I1573)=MONTH($A$3:$A$62)),0))</f>
        <v>33835.012397203951</v>
      </c>
      <c r="K1573">
        <f t="array" ref="K1573">INDEX($G$3:$G$200,MATCH(1, (YEAR(I1573)=YEAR($A$3:$A$2000))*(MONTH(I1573)=MONTH($A$3:$A$2000)),0))</f>
        <v>50556.119628584966</v>
      </c>
      <c r="L1573">
        <f t="shared" si="49"/>
        <v>34940.585887419002</v>
      </c>
    </row>
    <row r="1574" spans="4:12" x14ac:dyDescent="0.25">
      <c r="D1574">
        <f t="shared" si="48"/>
        <v>0</v>
      </c>
      <c r="H1574">
        <v>1572</v>
      </c>
      <c r="I1574" s="1">
        <v>46531</v>
      </c>
      <c r="J1574">
        <f t="array" ref="J1574">INDEX($D$3:$D$62,MATCH(1, (YEAR(I1574)=YEAR($A$3:$A$62))*(MONTH(I1574)=MONTH($A$3:$A$62)),0))</f>
        <v>33835.012397203951</v>
      </c>
      <c r="K1574">
        <f t="array" ref="K1574">INDEX($G$3:$G$200,MATCH(1, (YEAR(I1574)=YEAR($A$3:$A$2000))*(MONTH(I1574)=MONTH($A$3:$A$2000)),0))</f>
        <v>50556.119628584966</v>
      </c>
      <c r="L1574">
        <f t="shared" si="49"/>
        <v>34915.196249424014</v>
      </c>
    </row>
    <row r="1575" spans="4:12" x14ac:dyDescent="0.25">
      <c r="D1575">
        <f t="shared" si="48"/>
        <v>0</v>
      </c>
      <c r="H1575">
        <v>1573</v>
      </c>
      <c r="I1575" s="1">
        <v>46532</v>
      </c>
      <c r="J1575">
        <f t="array" ref="J1575">INDEX($D$3:$D$62,MATCH(1, (YEAR(I1575)=YEAR($A$3:$A$62))*(MONTH(I1575)=MONTH($A$3:$A$62)),0))</f>
        <v>33835.012397203951</v>
      </c>
      <c r="K1575">
        <f t="array" ref="K1575">INDEX($G$3:$G$200,MATCH(1, (YEAR(I1575)=YEAR($A$3:$A$2000))*(MONTH(I1575)=MONTH($A$3:$A$2000)),0))</f>
        <v>50556.119628584966</v>
      </c>
      <c r="L1575">
        <f t="shared" si="49"/>
        <v>34889.819457637001</v>
      </c>
    </row>
    <row r="1576" spans="4:12" x14ac:dyDescent="0.25">
      <c r="D1576">
        <f t="shared" si="48"/>
        <v>0</v>
      </c>
      <c r="H1576">
        <v>1574</v>
      </c>
      <c r="I1576" s="1">
        <v>46533</v>
      </c>
      <c r="J1576">
        <f t="array" ref="J1576">INDEX($D$3:$D$62,MATCH(1, (YEAR(I1576)=YEAR($A$3:$A$62))*(MONTH(I1576)=MONTH($A$3:$A$62)),0))</f>
        <v>33835.012397203951</v>
      </c>
      <c r="K1576">
        <f t="array" ref="K1576">INDEX($G$3:$G$200,MATCH(1, (YEAR(I1576)=YEAR($A$3:$A$2000))*(MONTH(I1576)=MONTH($A$3:$A$2000)),0))</f>
        <v>50556.119628584966</v>
      </c>
      <c r="L1576">
        <f t="shared" si="49"/>
        <v>34864.455542303971</v>
      </c>
    </row>
    <row r="1577" spans="4:12" x14ac:dyDescent="0.25">
      <c r="D1577">
        <f t="shared" si="48"/>
        <v>0</v>
      </c>
      <c r="H1577">
        <v>1575</v>
      </c>
      <c r="I1577" s="1">
        <v>46534</v>
      </c>
      <c r="J1577">
        <f t="array" ref="J1577">INDEX($D$3:$D$62,MATCH(1, (YEAR(I1577)=YEAR($A$3:$A$62))*(MONTH(I1577)=MONTH($A$3:$A$62)),0))</f>
        <v>33835.012397203951</v>
      </c>
      <c r="K1577">
        <f t="array" ref="K1577">INDEX($G$3:$G$200,MATCH(1, (YEAR(I1577)=YEAR($A$3:$A$2000))*(MONTH(I1577)=MONTH($A$3:$A$2000)),0))</f>
        <v>50556.119628584966</v>
      </c>
      <c r="L1577">
        <f t="shared" si="49"/>
        <v>34839.104533959005</v>
      </c>
    </row>
    <row r="1578" spans="4:12" x14ac:dyDescent="0.25">
      <c r="D1578">
        <f t="shared" si="48"/>
        <v>0</v>
      </c>
      <c r="H1578">
        <v>1576</v>
      </c>
      <c r="I1578" s="1">
        <v>46535</v>
      </c>
      <c r="J1578">
        <f t="array" ref="J1578">INDEX($D$3:$D$62,MATCH(1, (YEAR(I1578)=YEAR($A$3:$A$62))*(MONTH(I1578)=MONTH($A$3:$A$62)),0))</f>
        <v>33835.012397203951</v>
      </c>
      <c r="K1578">
        <f t="array" ref="K1578">INDEX($G$3:$G$200,MATCH(1, (YEAR(I1578)=YEAR($A$3:$A$2000))*(MONTH(I1578)=MONTH($A$3:$A$2000)),0))</f>
        <v>50556.119628584966</v>
      </c>
      <c r="L1578">
        <f t="shared" si="49"/>
        <v>34813.766463423992</v>
      </c>
    </row>
    <row r="1579" spans="4:12" x14ac:dyDescent="0.25">
      <c r="D1579">
        <f t="shared" si="48"/>
        <v>0</v>
      </c>
      <c r="H1579">
        <v>1577</v>
      </c>
      <c r="I1579" s="1">
        <v>46536</v>
      </c>
      <c r="J1579">
        <f t="array" ref="J1579">INDEX($D$3:$D$62,MATCH(1, (YEAR(I1579)=YEAR($A$3:$A$62))*(MONTH(I1579)=MONTH($A$3:$A$62)),0))</f>
        <v>33835.012397203951</v>
      </c>
      <c r="K1579">
        <f t="array" ref="K1579">INDEX($G$3:$G$200,MATCH(1, (YEAR(I1579)=YEAR($A$3:$A$2000))*(MONTH(I1579)=MONTH($A$3:$A$2000)),0))</f>
        <v>50556.119628584966</v>
      </c>
      <c r="L1579">
        <f t="shared" si="49"/>
        <v>34788.441361808917</v>
      </c>
    </row>
    <row r="1580" spans="4:12" x14ac:dyDescent="0.25">
      <c r="D1580">
        <f t="shared" si="48"/>
        <v>0</v>
      </c>
      <c r="H1580">
        <v>1578</v>
      </c>
      <c r="I1580" s="1">
        <v>46537</v>
      </c>
      <c r="J1580">
        <f t="array" ref="J1580">INDEX($D$3:$D$62,MATCH(1, (YEAR(I1580)=YEAR($A$3:$A$62))*(MONTH(I1580)=MONTH($A$3:$A$62)),0))</f>
        <v>33835.012397203951</v>
      </c>
      <c r="K1580">
        <f t="array" ref="K1580">INDEX($G$3:$G$200,MATCH(1, (YEAR(I1580)=YEAR($A$3:$A$2000))*(MONTH(I1580)=MONTH($A$3:$A$2000)),0))</f>
        <v>50556.119628584966</v>
      </c>
      <c r="L1580">
        <f t="shared" si="49"/>
        <v>34763.129260511952</v>
      </c>
    </row>
    <row r="1581" spans="4:12" x14ac:dyDescent="0.25">
      <c r="D1581">
        <f t="shared" si="48"/>
        <v>0</v>
      </c>
      <c r="H1581">
        <v>1579</v>
      </c>
      <c r="I1581" s="1">
        <v>46538</v>
      </c>
      <c r="J1581">
        <f t="array" ref="J1581">INDEX($D$3:$D$62,MATCH(1, (YEAR(I1581)=YEAR($A$3:$A$62))*(MONTH(I1581)=MONTH($A$3:$A$62)),0))</f>
        <v>33835.012397203951</v>
      </c>
      <c r="K1581">
        <f t="array" ref="K1581">INDEX($G$3:$G$200,MATCH(1, (YEAR(I1581)=YEAR($A$3:$A$2000))*(MONTH(I1581)=MONTH($A$3:$A$2000)),0))</f>
        <v>50556.119628584966</v>
      </c>
      <c r="L1581">
        <f t="shared" si="49"/>
        <v>34737.830191218993</v>
      </c>
    </row>
    <row r="1582" spans="4:12" x14ac:dyDescent="0.25">
      <c r="D1582">
        <f t="shared" si="48"/>
        <v>0</v>
      </c>
      <c r="H1582">
        <v>1580</v>
      </c>
      <c r="I1582" s="1">
        <v>46539</v>
      </c>
      <c r="J1582">
        <f t="array" ref="J1582">INDEX($D$3:$D$62,MATCH(1, (YEAR(I1582)=YEAR($A$3:$A$62))*(MONTH(I1582)=MONTH($A$3:$A$62)),0))</f>
        <v>33252.088705444366</v>
      </c>
      <c r="K1582">
        <f t="array" ref="K1582">INDEX($G$3:$G$200,MATCH(1, (YEAR(I1582)=YEAR($A$3:$A$2000))*(MONTH(I1582)=MONTH($A$3:$A$2000)),0))</f>
        <v>49524.663875057893</v>
      </c>
      <c r="L1582">
        <f t="shared" si="49"/>
        <v>34712.544185904</v>
      </c>
    </row>
    <row r="1583" spans="4:12" x14ac:dyDescent="0.25">
      <c r="D1583">
        <f t="shared" si="48"/>
        <v>0</v>
      </c>
      <c r="H1583">
        <v>1581</v>
      </c>
      <c r="I1583" s="1">
        <v>46540</v>
      </c>
      <c r="J1583">
        <f t="array" ref="J1583">INDEX($D$3:$D$62,MATCH(1, (YEAR(I1583)=YEAR($A$3:$A$62))*(MONTH(I1583)=MONTH($A$3:$A$62)),0))</f>
        <v>33252.088705444366</v>
      </c>
      <c r="K1583">
        <f t="array" ref="K1583">INDEX($G$3:$G$200,MATCH(1, (YEAR(I1583)=YEAR($A$3:$A$2000))*(MONTH(I1583)=MONTH($A$3:$A$2000)),0))</f>
        <v>49524.663875057893</v>
      </c>
      <c r="L1583">
        <f t="shared" si="49"/>
        <v>34687.271276829008</v>
      </c>
    </row>
    <row r="1584" spans="4:12" x14ac:dyDescent="0.25">
      <c r="D1584">
        <f t="shared" si="48"/>
        <v>0</v>
      </c>
      <c r="H1584">
        <v>1582</v>
      </c>
      <c r="I1584" s="1">
        <v>46541</v>
      </c>
      <c r="J1584">
        <f t="array" ref="J1584">INDEX($D$3:$D$62,MATCH(1, (YEAR(I1584)=YEAR($A$3:$A$62))*(MONTH(I1584)=MONTH($A$3:$A$62)),0))</f>
        <v>33252.088705444366</v>
      </c>
      <c r="K1584">
        <f t="array" ref="K1584">INDEX($G$3:$G$200,MATCH(1, (YEAR(I1584)=YEAR($A$3:$A$2000))*(MONTH(I1584)=MONTH($A$3:$A$2000)),0))</f>
        <v>49524.663875057893</v>
      </c>
      <c r="L1584">
        <f t="shared" si="49"/>
        <v>34662.011496544001</v>
      </c>
    </row>
    <row r="1585" spans="4:12" x14ac:dyDescent="0.25">
      <c r="D1585">
        <f t="shared" si="48"/>
        <v>0</v>
      </c>
      <c r="H1585">
        <v>1583</v>
      </c>
      <c r="I1585" s="1">
        <v>46542</v>
      </c>
      <c r="J1585">
        <f t="array" ref="J1585">INDEX($D$3:$D$62,MATCH(1, (YEAR(I1585)=YEAR($A$3:$A$62))*(MONTH(I1585)=MONTH($A$3:$A$62)),0))</f>
        <v>33252.088705444366</v>
      </c>
      <c r="K1585">
        <f t="array" ref="K1585">INDEX($G$3:$G$200,MATCH(1, (YEAR(I1585)=YEAR($A$3:$A$2000))*(MONTH(I1585)=MONTH($A$3:$A$2000)),0))</f>
        <v>49524.663875057893</v>
      </c>
      <c r="L1585">
        <f t="shared" si="49"/>
        <v>34636.764877886977</v>
      </c>
    </row>
    <row r="1586" spans="4:12" x14ac:dyDescent="0.25">
      <c r="D1586">
        <f t="shared" si="48"/>
        <v>0</v>
      </c>
      <c r="H1586">
        <v>1584</v>
      </c>
      <c r="I1586" s="1">
        <v>46543</v>
      </c>
      <c r="J1586">
        <f t="array" ref="J1586">INDEX($D$3:$D$62,MATCH(1, (YEAR(I1586)=YEAR($A$3:$A$62))*(MONTH(I1586)=MONTH($A$3:$A$62)),0))</f>
        <v>33252.088705444366</v>
      </c>
      <c r="K1586">
        <f t="array" ref="K1586">INDEX($G$3:$G$200,MATCH(1, (YEAR(I1586)=YEAR($A$3:$A$2000))*(MONTH(I1586)=MONTH($A$3:$A$2000)),0))</f>
        <v>49524.663875057893</v>
      </c>
      <c r="L1586">
        <f t="shared" si="49"/>
        <v>34611.531453983946</v>
      </c>
    </row>
    <row r="1587" spans="4:12" x14ac:dyDescent="0.25">
      <c r="D1587">
        <f t="shared" si="48"/>
        <v>0</v>
      </c>
      <c r="H1587">
        <v>1585</v>
      </c>
      <c r="I1587" s="1">
        <v>46544</v>
      </c>
      <c r="J1587">
        <f t="array" ref="J1587">INDEX($D$3:$D$62,MATCH(1, (YEAR(I1587)=YEAR($A$3:$A$62))*(MONTH(I1587)=MONTH($A$3:$A$62)),0))</f>
        <v>33252.088705444366</v>
      </c>
      <c r="K1587">
        <f t="array" ref="K1587">INDEX($G$3:$G$200,MATCH(1, (YEAR(I1587)=YEAR($A$3:$A$2000))*(MONTH(I1587)=MONTH($A$3:$A$2000)),0))</f>
        <v>49524.663875057893</v>
      </c>
      <c r="L1587">
        <f t="shared" si="49"/>
        <v>34586.311258248956</v>
      </c>
    </row>
    <row r="1588" spans="4:12" x14ac:dyDescent="0.25">
      <c r="D1588">
        <f t="shared" si="48"/>
        <v>0</v>
      </c>
      <c r="H1588">
        <v>1586</v>
      </c>
      <c r="I1588" s="1">
        <v>46545</v>
      </c>
      <c r="J1588">
        <f t="array" ref="J1588">INDEX($D$3:$D$62,MATCH(1, (YEAR(I1588)=YEAR($A$3:$A$62))*(MONTH(I1588)=MONTH($A$3:$A$62)),0))</f>
        <v>33252.088705444366</v>
      </c>
      <c r="K1588">
        <f t="array" ref="K1588">INDEX($G$3:$G$200,MATCH(1, (YEAR(I1588)=YEAR($A$3:$A$2000))*(MONTH(I1588)=MONTH($A$3:$A$2000)),0))</f>
        <v>49524.663875057893</v>
      </c>
      <c r="L1588">
        <f t="shared" si="49"/>
        <v>34561.104324383952</v>
      </c>
    </row>
    <row r="1589" spans="4:12" x14ac:dyDescent="0.25">
      <c r="D1589">
        <f t="shared" si="48"/>
        <v>0</v>
      </c>
      <c r="H1589">
        <v>1587</v>
      </c>
      <c r="I1589" s="1">
        <v>46546</v>
      </c>
      <c r="J1589">
        <f t="array" ref="J1589">INDEX($D$3:$D$62,MATCH(1, (YEAR(I1589)=YEAR($A$3:$A$62))*(MONTH(I1589)=MONTH($A$3:$A$62)),0))</f>
        <v>33252.088705444366</v>
      </c>
      <c r="K1589">
        <f t="array" ref="K1589">INDEX($G$3:$G$200,MATCH(1, (YEAR(I1589)=YEAR($A$3:$A$2000))*(MONTH(I1589)=MONTH($A$3:$A$2000)),0))</f>
        <v>49524.663875057893</v>
      </c>
      <c r="L1589">
        <f t="shared" si="49"/>
        <v>34535.910686379008</v>
      </c>
    </row>
    <row r="1590" spans="4:12" x14ac:dyDescent="0.25">
      <c r="D1590">
        <f t="shared" si="48"/>
        <v>0</v>
      </c>
      <c r="H1590">
        <v>1588</v>
      </c>
      <c r="I1590" s="1">
        <v>46547</v>
      </c>
      <c r="J1590">
        <f t="array" ref="J1590">INDEX($D$3:$D$62,MATCH(1, (YEAR(I1590)=YEAR($A$3:$A$62))*(MONTH(I1590)=MONTH($A$3:$A$62)),0))</f>
        <v>33252.088705444366</v>
      </c>
      <c r="K1590">
        <f t="array" ref="K1590">INDEX($G$3:$G$200,MATCH(1, (YEAR(I1590)=YEAR($A$3:$A$2000))*(MONTH(I1590)=MONTH($A$3:$A$2000)),0))</f>
        <v>49524.663875057893</v>
      </c>
      <c r="L1590">
        <f t="shared" si="49"/>
        <v>34510.730378511973</v>
      </c>
    </row>
    <row r="1591" spans="4:12" x14ac:dyDescent="0.25">
      <c r="D1591">
        <f t="shared" si="48"/>
        <v>0</v>
      </c>
      <c r="H1591">
        <v>1589</v>
      </c>
      <c r="I1591" s="1">
        <v>46548</v>
      </c>
      <c r="J1591">
        <f t="array" ref="J1591">INDEX($D$3:$D$62,MATCH(1, (YEAR(I1591)=YEAR($A$3:$A$62))*(MONTH(I1591)=MONTH($A$3:$A$62)),0))</f>
        <v>33252.088705444366</v>
      </c>
      <c r="K1591">
        <f t="array" ref="K1591">INDEX($G$3:$G$200,MATCH(1, (YEAR(I1591)=YEAR($A$3:$A$2000))*(MONTH(I1591)=MONTH($A$3:$A$2000)),0))</f>
        <v>49524.663875057893</v>
      </c>
      <c r="L1591">
        <f t="shared" si="49"/>
        <v>34485.563435348973</v>
      </c>
    </row>
    <row r="1592" spans="4:12" x14ac:dyDescent="0.25">
      <c r="D1592">
        <f t="shared" si="48"/>
        <v>0</v>
      </c>
      <c r="H1592">
        <v>1590</v>
      </c>
      <c r="I1592" s="1">
        <v>46549</v>
      </c>
      <c r="J1592">
        <f t="array" ref="J1592">INDEX($D$3:$D$62,MATCH(1, (YEAR(I1592)=YEAR($A$3:$A$62))*(MONTH(I1592)=MONTH($A$3:$A$62)),0))</f>
        <v>33252.088705444366</v>
      </c>
      <c r="K1592">
        <f t="array" ref="K1592">INDEX($G$3:$G$200,MATCH(1, (YEAR(I1592)=YEAR($A$3:$A$2000))*(MONTH(I1592)=MONTH($A$3:$A$2000)),0))</f>
        <v>49524.663875057893</v>
      </c>
      <c r="L1592">
        <f t="shared" si="49"/>
        <v>34460.409891743999</v>
      </c>
    </row>
    <row r="1593" spans="4:12" x14ac:dyDescent="0.25">
      <c r="D1593">
        <f t="shared" si="48"/>
        <v>0</v>
      </c>
      <c r="H1593">
        <v>1591</v>
      </c>
      <c r="I1593" s="1">
        <v>46550</v>
      </c>
      <c r="J1593">
        <f t="array" ref="J1593">INDEX($D$3:$D$62,MATCH(1, (YEAR(I1593)=YEAR($A$3:$A$62))*(MONTH(I1593)=MONTH($A$3:$A$62)),0))</f>
        <v>33252.088705444366</v>
      </c>
      <c r="K1593">
        <f t="array" ref="K1593">INDEX($G$3:$G$200,MATCH(1, (YEAR(I1593)=YEAR($A$3:$A$2000))*(MONTH(I1593)=MONTH($A$3:$A$2000)),0))</f>
        <v>49524.663875057893</v>
      </c>
      <c r="L1593">
        <f t="shared" si="49"/>
        <v>34435.269782838994</v>
      </c>
    </row>
    <row r="1594" spans="4:12" x14ac:dyDescent="0.25">
      <c r="D1594">
        <f t="shared" si="48"/>
        <v>0</v>
      </c>
      <c r="H1594">
        <v>1592</v>
      </c>
      <c r="I1594" s="1">
        <v>46551</v>
      </c>
      <c r="J1594">
        <f t="array" ref="J1594">INDEX($D$3:$D$62,MATCH(1, (YEAR(I1594)=YEAR($A$3:$A$62))*(MONTH(I1594)=MONTH($A$3:$A$62)),0))</f>
        <v>33252.088705444366</v>
      </c>
      <c r="K1594">
        <f t="array" ref="K1594">INDEX($G$3:$G$200,MATCH(1, (YEAR(I1594)=YEAR($A$3:$A$2000))*(MONTH(I1594)=MONTH($A$3:$A$2000)),0))</f>
        <v>49524.663875057893</v>
      </c>
      <c r="L1594">
        <f t="shared" si="49"/>
        <v>34410.143144064001</v>
      </c>
    </row>
    <row r="1595" spans="4:12" x14ac:dyDescent="0.25">
      <c r="D1595">
        <f t="shared" si="48"/>
        <v>0</v>
      </c>
      <c r="H1595">
        <v>1593</v>
      </c>
      <c r="I1595" s="1">
        <v>46552</v>
      </c>
      <c r="J1595">
        <f t="array" ref="J1595">INDEX($D$3:$D$62,MATCH(1, (YEAR(I1595)=YEAR($A$3:$A$62))*(MONTH(I1595)=MONTH($A$3:$A$62)),0))</f>
        <v>33252.088705444366</v>
      </c>
      <c r="K1595">
        <f t="array" ref="K1595">INDEX($G$3:$G$200,MATCH(1, (YEAR(I1595)=YEAR($A$3:$A$2000))*(MONTH(I1595)=MONTH($A$3:$A$2000)),0))</f>
        <v>49524.663875057893</v>
      </c>
      <c r="L1595">
        <f t="shared" si="49"/>
        <v>34385.030011136958</v>
      </c>
    </row>
    <row r="1596" spans="4:12" x14ac:dyDescent="0.25">
      <c r="D1596">
        <f t="shared" si="48"/>
        <v>0</v>
      </c>
      <c r="H1596">
        <v>1594</v>
      </c>
      <c r="I1596" s="1">
        <v>46553</v>
      </c>
      <c r="J1596">
        <f t="array" ref="J1596">INDEX($D$3:$D$62,MATCH(1, (YEAR(I1596)=YEAR($A$3:$A$62))*(MONTH(I1596)=MONTH($A$3:$A$62)),0))</f>
        <v>33252.088705444366</v>
      </c>
      <c r="K1596">
        <f t="array" ref="K1596">INDEX($G$3:$G$200,MATCH(1, (YEAR(I1596)=YEAR($A$3:$A$2000))*(MONTH(I1596)=MONTH($A$3:$A$2000)),0))</f>
        <v>49524.663875057893</v>
      </c>
      <c r="L1596">
        <f t="shared" si="49"/>
        <v>34359.93042006396</v>
      </c>
    </row>
    <row r="1597" spans="4:12" x14ac:dyDescent="0.25">
      <c r="D1597">
        <f t="shared" si="48"/>
        <v>0</v>
      </c>
      <c r="H1597">
        <v>1595</v>
      </c>
      <c r="I1597" s="1">
        <v>46554</v>
      </c>
      <c r="J1597">
        <f t="array" ref="J1597">INDEX($D$3:$D$62,MATCH(1, (YEAR(I1597)=YEAR($A$3:$A$62))*(MONTH(I1597)=MONTH($A$3:$A$62)),0))</f>
        <v>33252.088705444366</v>
      </c>
      <c r="K1597">
        <f t="array" ref="K1597">INDEX($G$3:$G$200,MATCH(1, (YEAR(I1597)=YEAR($A$3:$A$2000))*(MONTH(I1597)=MONTH($A$3:$A$2000)),0))</f>
        <v>49524.663875057893</v>
      </c>
      <c r="L1597">
        <f t="shared" si="49"/>
        <v>34334.844407138997</v>
      </c>
    </row>
    <row r="1598" spans="4:12" x14ac:dyDescent="0.25">
      <c r="D1598">
        <f t="shared" si="48"/>
        <v>0</v>
      </c>
      <c r="H1598">
        <v>1596</v>
      </c>
      <c r="I1598" s="1">
        <v>46555</v>
      </c>
      <c r="J1598">
        <f t="array" ref="J1598">INDEX($D$3:$D$62,MATCH(1, (YEAR(I1598)=YEAR($A$3:$A$62))*(MONTH(I1598)=MONTH($A$3:$A$62)),0))</f>
        <v>33252.088705444366</v>
      </c>
      <c r="K1598">
        <f t="array" ref="K1598">INDEX($G$3:$G$200,MATCH(1, (YEAR(I1598)=YEAR($A$3:$A$2000))*(MONTH(I1598)=MONTH($A$3:$A$2000)),0))</f>
        <v>49524.663875057893</v>
      </c>
      <c r="L1598">
        <f t="shared" si="49"/>
        <v>34309.772008944012</v>
      </c>
    </row>
    <row r="1599" spans="4:12" x14ac:dyDescent="0.25">
      <c r="D1599">
        <f t="shared" si="48"/>
        <v>0</v>
      </c>
      <c r="H1599">
        <v>1597</v>
      </c>
      <c r="I1599" s="1">
        <v>46556</v>
      </c>
      <c r="J1599">
        <f t="array" ref="J1599">INDEX($D$3:$D$62,MATCH(1, (YEAR(I1599)=YEAR($A$3:$A$62))*(MONTH(I1599)=MONTH($A$3:$A$62)),0))</f>
        <v>33252.088705444366</v>
      </c>
      <c r="K1599">
        <f t="array" ref="K1599">INDEX($G$3:$G$200,MATCH(1, (YEAR(I1599)=YEAR($A$3:$A$2000))*(MONTH(I1599)=MONTH($A$3:$A$2000)),0))</f>
        <v>49524.663875057893</v>
      </c>
      <c r="L1599">
        <f t="shared" si="49"/>
        <v>34284.71326234896</v>
      </c>
    </row>
    <row r="1600" spans="4:12" x14ac:dyDescent="0.25">
      <c r="D1600">
        <f t="shared" si="48"/>
        <v>0</v>
      </c>
      <c r="H1600">
        <v>1598</v>
      </c>
      <c r="I1600" s="1">
        <v>46557</v>
      </c>
      <c r="J1600">
        <f t="array" ref="J1600">INDEX($D$3:$D$62,MATCH(1, (YEAR(I1600)=YEAR($A$3:$A$62))*(MONTH(I1600)=MONTH($A$3:$A$62)),0))</f>
        <v>33252.088705444366</v>
      </c>
      <c r="K1600">
        <f t="array" ref="K1600">INDEX($G$3:$G$200,MATCH(1, (YEAR(I1600)=YEAR($A$3:$A$2000))*(MONTH(I1600)=MONTH($A$3:$A$2000)),0))</f>
        <v>49524.663875057893</v>
      </c>
      <c r="L1600">
        <f t="shared" si="49"/>
        <v>34259.668204511981</v>
      </c>
    </row>
    <row r="1601" spans="4:12" x14ac:dyDescent="0.25">
      <c r="D1601">
        <f t="shared" si="48"/>
        <v>0</v>
      </c>
      <c r="H1601">
        <v>1599</v>
      </c>
      <c r="I1601" s="1">
        <v>46558</v>
      </c>
      <c r="J1601">
        <f t="array" ref="J1601">INDEX($D$3:$D$62,MATCH(1, (YEAR(I1601)=YEAR($A$3:$A$62))*(MONTH(I1601)=MONTH($A$3:$A$62)),0))</f>
        <v>33252.088705444366</v>
      </c>
      <c r="K1601">
        <f t="array" ref="K1601">INDEX($G$3:$G$200,MATCH(1, (YEAR(I1601)=YEAR($A$3:$A$2000))*(MONTH(I1601)=MONTH($A$3:$A$2000)),0))</f>
        <v>49524.663875057893</v>
      </c>
      <c r="L1601">
        <f t="shared" si="49"/>
        <v>34234.636872878938</v>
      </c>
    </row>
    <row r="1602" spans="4:12" x14ac:dyDescent="0.25">
      <c r="D1602">
        <f t="shared" si="48"/>
        <v>0</v>
      </c>
      <c r="H1602">
        <v>1600</v>
      </c>
      <c r="I1602" s="1">
        <v>46559</v>
      </c>
      <c r="J1602">
        <f t="array" ref="J1602">INDEX($D$3:$D$62,MATCH(1, (YEAR(I1602)=YEAR($A$3:$A$62))*(MONTH(I1602)=MONTH($A$3:$A$62)),0))</f>
        <v>33252.088705444366</v>
      </c>
      <c r="K1602">
        <f t="array" ref="K1602">INDEX($G$3:$G$200,MATCH(1, (YEAR(I1602)=YEAR($A$3:$A$2000))*(MONTH(I1602)=MONTH($A$3:$A$2000)),0))</f>
        <v>49524.663875057893</v>
      </c>
      <c r="L1602">
        <f t="shared" si="49"/>
        <v>34209.619305183995</v>
      </c>
    </row>
    <row r="1603" spans="4:12" x14ac:dyDescent="0.25">
      <c r="D1603">
        <f t="shared" si="48"/>
        <v>0</v>
      </c>
      <c r="H1603">
        <v>1601</v>
      </c>
      <c r="I1603" s="1">
        <v>46560</v>
      </c>
      <c r="J1603">
        <f t="array" ref="J1603">INDEX($D$3:$D$62,MATCH(1, (YEAR(I1603)=YEAR($A$3:$A$62))*(MONTH(I1603)=MONTH($A$3:$A$62)),0))</f>
        <v>33252.088705444366</v>
      </c>
      <c r="K1603">
        <f t="array" ref="K1603">INDEX($G$3:$G$200,MATCH(1, (YEAR(I1603)=YEAR($A$3:$A$2000))*(MONTH(I1603)=MONTH($A$3:$A$2000)),0))</f>
        <v>49524.663875057893</v>
      </c>
      <c r="L1603">
        <f t="shared" si="49"/>
        <v>34184.615539448976</v>
      </c>
    </row>
    <row r="1604" spans="4:12" x14ac:dyDescent="0.25">
      <c r="D1604">
        <f t="shared" ref="D1604:D1667" si="50">SUM(B1604:C1604)</f>
        <v>0</v>
      </c>
      <c r="H1604">
        <v>1602</v>
      </c>
      <c r="I1604" s="1">
        <v>46561</v>
      </c>
      <c r="J1604">
        <f t="array" ref="J1604">INDEX($D$3:$D$62,MATCH(1, (YEAR(I1604)=YEAR($A$3:$A$62))*(MONTH(I1604)=MONTH($A$3:$A$62)),0))</f>
        <v>33252.088705444366</v>
      </c>
      <c r="K1604">
        <f t="array" ref="K1604">INDEX($G$3:$G$200,MATCH(1, (YEAR(I1604)=YEAR($A$3:$A$2000))*(MONTH(I1604)=MONTH($A$3:$A$2000)),0))</f>
        <v>49524.663875057893</v>
      </c>
      <c r="L1604">
        <f t="shared" ref="L1604:L1667" si="51">0.000000012*H1604^4-0.000070439*H1604^3+0.160688168*H1604^2-194.849290676*H1604+144481.718306784</f>
        <v>34159.62561398407</v>
      </c>
    </row>
    <row r="1605" spans="4:12" x14ac:dyDescent="0.25">
      <c r="D1605">
        <f t="shared" si="50"/>
        <v>0</v>
      </c>
      <c r="H1605">
        <v>1603</v>
      </c>
      <c r="I1605" s="1">
        <v>46562</v>
      </c>
      <c r="J1605">
        <f t="array" ref="J1605">INDEX($D$3:$D$62,MATCH(1, (YEAR(I1605)=YEAR($A$3:$A$62))*(MONTH(I1605)=MONTH($A$3:$A$62)),0))</f>
        <v>33252.088705444366</v>
      </c>
      <c r="K1605">
        <f t="array" ref="K1605">INDEX($G$3:$G$200,MATCH(1, (YEAR(I1605)=YEAR($A$3:$A$2000))*(MONTH(I1605)=MONTH($A$3:$A$2000)),0))</f>
        <v>49524.663875057893</v>
      </c>
      <c r="L1605">
        <f t="shared" si="51"/>
        <v>34134.649567387009</v>
      </c>
    </row>
    <row r="1606" spans="4:12" x14ac:dyDescent="0.25">
      <c r="D1606">
        <f t="shared" si="50"/>
        <v>0</v>
      </c>
      <c r="H1606">
        <v>1604</v>
      </c>
      <c r="I1606" s="1">
        <v>46563</v>
      </c>
      <c r="J1606">
        <f t="array" ref="J1606">INDEX($D$3:$D$62,MATCH(1, (YEAR(I1606)=YEAR($A$3:$A$62))*(MONTH(I1606)=MONTH($A$3:$A$62)),0))</f>
        <v>33252.088705444366</v>
      </c>
      <c r="K1606">
        <f t="array" ref="K1606">INDEX($G$3:$G$200,MATCH(1, (YEAR(I1606)=YEAR($A$3:$A$2000))*(MONTH(I1606)=MONTH($A$3:$A$2000)),0))</f>
        <v>49524.663875057893</v>
      </c>
      <c r="L1606">
        <f t="shared" si="51"/>
        <v>34109.687438544002</v>
      </c>
    </row>
    <row r="1607" spans="4:12" x14ac:dyDescent="0.25">
      <c r="D1607">
        <f t="shared" si="50"/>
        <v>0</v>
      </c>
      <c r="H1607">
        <v>1605</v>
      </c>
      <c r="I1607" s="1">
        <v>46564</v>
      </c>
      <c r="J1607">
        <f t="array" ref="J1607">INDEX($D$3:$D$62,MATCH(1, (YEAR(I1607)=YEAR($A$3:$A$62))*(MONTH(I1607)=MONTH($A$3:$A$62)),0))</f>
        <v>33252.088705444366</v>
      </c>
      <c r="K1607">
        <f t="array" ref="K1607">INDEX($G$3:$G$200,MATCH(1, (YEAR(I1607)=YEAR($A$3:$A$2000))*(MONTH(I1607)=MONTH($A$3:$A$2000)),0))</f>
        <v>49524.663875057893</v>
      </c>
      <c r="L1607">
        <f t="shared" si="51"/>
        <v>34084.739266628982</v>
      </c>
    </row>
    <row r="1608" spans="4:12" x14ac:dyDescent="0.25">
      <c r="D1608">
        <f t="shared" si="50"/>
        <v>0</v>
      </c>
      <c r="H1608">
        <v>1606</v>
      </c>
      <c r="I1608" s="1">
        <v>46565</v>
      </c>
      <c r="J1608">
        <f t="array" ref="J1608">INDEX($D$3:$D$62,MATCH(1, (YEAR(I1608)=YEAR($A$3:$A$62))*(MONTH(I1608)=MONTH($A$3:$A$62)),0))</f>
        <v>33252.088705444366</v>
      </c>
      <c r="K1608">
        <f t="array" ref="K1608">INDEX($G$3:$G$200,MATCH(1, (YEAR(I1608)=YEAR($A$3:$A$2000))*(MONTH(I1608)=MONTH($A$3:$A$2000)),0))</f>
        <v>49524.663875057893</v>
      </c>
      <c r="L1608">
        <f t="shared" si="51"/>
        <v>34059.805091103946</v>
      </c>
    </row>
    <row r="1609" spans="4:12" x14ac:dyDescent="0.25">
      <c r="D1609">
        <f t="shared" si="50"/>
        <v>0</v>
      </c>
      <c r="H1609">
        <v>1607</v>
      </c>
      <c r="I1609" s="1">
        <v>46566</v>
      </c>
      <c r="J1609">
        <f t="array" ref="J1609">INDEX($D$3:$D$62,MATCH(1, (YEAR(I1609)=YEAR($A$3:$A$62))*(MONTH(I1609)=MONTH($A$3:$A$62)),0))</f>
        <v>33252.088705444366</v>
      </c>
      <c r="K1609">
        <f t="array" ref="K1609">INDEX($G$3:$G$200,MATCH(1, (YEAR(I1609)=YEAR($A$3:$A$2000))*(MONTH(I1609)=MONTH($A$3:$A$2000)),0))</f>
        <v>49524.663875057893</v>
      </c>
      <c r="L1609">
        <f t="shared" si="51"/>
        <v>34034.884951718966</v>
      </c>
    </row>
    <row r="1610" spans="4:12" x14ac:dyDescent="0.25">
      <c r="D1610">
        <f t="shared" si="50"/>
        <v>0</v>
      </c>
      <c r="H1610">
        <v>1608</v>
      </c>
      <c r="I1610" s="1">
        <v>46567</v>
      </c>
      <c r="J1610">
        <f t="array" ref="J1610">INDEX($D$3:$D$62,MATCH(1, (YEAR(I1610)=YEAR($A$3:$A$62))*(MONTH(I1610)=MONTH($A$3:$A$62)),0))</f>
        <v>33252.088705444366</v>
      </c>
      <c r="K1610">
        <f t="array" ref="K1610">INDEX($G$3:$G$200,MATCH(1, (YEAR(I1610)=YEAR($A$3:$A$2000))*(MONTH(I1610)=MONTH($A$3:$A$2000)),0))</f>
        <v>49524.663875057893</v>
      </c>
      <c r="L1610">
        <f t="shared" si="51"/>
        <v>34009.978888511978</v>
      </c>
    </row>
    <row r="1611" spans="4:12" x14ac:dyDescent="0.25">
      <c r="D1611">
        <f t="shared" si="50"/>
        <v>0</v>
      </c>
      <c r="H1611">
        <v>1609</v>
      </c>
      <c r="I1611" s="1">
        <v>46568</v>
      </c>
      <c r="J1611">
        <f t="array" ref="J1611">INDEX($D$3:$D$62,MATCH(1, (YEAR(I1611)=YEAR($A$3:$A$62))*(MONTH(I1611)=MONTH($A$3:$A$62)),0))</f>
        <v>33252.088705444366</v>
      </c>
      <c r="K1611">
        <f t="array" ref="K1611">INDEX($G$3:$G$200,MATCH(1, (YEAR(I1611)=YEAR($A$3:$A$2000))*(MONTH(I1611)=MONTH($A$3:$A$2000)),0))</f>
        <v>49524.663875057893</v>
      </c>
      <c r="L1611">
        <f t="shared" si="51"/>
        <v>33985.086941808986</v>
      </c>
    </row>
    <row r="1612" spans="4:12" x14ac:dyDescent="0.25">
      <c r="D1612">
        <f t="shared" si="50"/>
        <v>0</v>
      </c>
      <c r="H1612">
        <v>1610</v>
      </c>
      <c r="I1612" s="1">
        <v>46569</v>
      </c>
      <c r="J1612">
        <f t="array" ref="J1612">INDEX($D$3:$D$62,MATCH(1, (YEAR(I1612)=YEAR($A$3:$A$62))*(MONTH(I1612)=MONTH($A$3:$A$62)),0))</f>
        <v>32534.836360088109</v>
      </c>
      <c r="K1612">
        <f t="array" ref="K1612">INDEX($G$3:$G$200,MATCH(1, (YEAR(I1612)=YEAR($A$3:$A$2000))*(MONTH(I1612)=MONTH($A$3:$A$2000)),0))</f>
        <v>48369.787700612869</v>
      </c>
      <c r="L1612">
        <f t="shared" si="51"/>
        <v>33960.209152224008</v>
      </c>
    </row>
    <row r="1613" spans="4:12" x14ac:dyDescent="0.25">
      <c r="D1613">
        <f t="shared" si="50"/>
        <v>0</v>
      </c>
      <c r="H1613">
        <v>1611</v>
      </c>
      <c r="I1613" s="1">
        <v>46570</v>
      </c>
      <c r="J1613">
        <f t="array" ref="J1613">INDEX($D$3:$D$62,MATCH(1, (YEAR(I1613)=YEAR($A$3:$A$62))*(MONTH(I1613)=MONTH($A$3:$A$62)),0))</f>
        <v>32534.836360088109</v>
      </c>
      <c r="K1613">
        <f t="array" ref="K1613">INDEX($G$3:$G$200,MATCH(1, (YEAR(I1613)=YEAR($A$3:$A$2000))*(MONTH(I1613)=MONTH($A$3:$A$2000)),0))</f>
        <v>48369.787700612869</v>
      </c>
      <c r="L1613">
        <f t="shared" si="51"/>
        <v>33935.345560658956</v>
      </c>
    </row>
    <row r="1614" spans="4:12" x14ac:dyDescent="0.25">
      <c r="D1614">
        <f t="shared" si="50"/>
        <v>0</v>
      </c>
      <c r="H1614">
        <v>1612</v>
      </c>
      <c r="I1614" s="1">
        <v>46571</v>
      </c>
      <c r="J1614">
        <f t="array" ref="J1614">INDEX($D$3:$D$62,MATCH(1, (YEAR(I1614)=YEAR($A$3:$A$62))*(MONTH(I1614)=MONTH($A$3:$A$62)),0))</f>
        <v>32534.836360088109</v>
      </c>
      <c r="K1614">
        <f t="array" ref="K1614">INDEX($G$3:$G$200,MATCH(1, (YEAR(I1614)=YEAR($A$3:$A$2000))*(MONTH(I1614)=MONTH($A$3:$A$2000)),0))</f>
        <v>48369.787700612869</v>
      </c>
      <c r="L1614">
        <f t="shared" si="51"/>
        <v>33910.496208303957</v>
      </c>
    </row>
    <row r="1615" spans="4:12" x14ac:dyDescent="0.25">
      <c r="D1615">
        <f t="shared" si="50"/>
        <v>0</v>
      </c>
      <c r="H1615">
        <v>1613</v>
      </c>
      <c r="I1615" s="1">
        <v>46572</v>
      </c>
      <c r="J1615">
        <f t="array" ref="J1615">INDEX($D$3:$D$62,MATCH(1, (YEAR(I1615)=YEAR($A$3:$A$62))*(MONTH(I1615)=MONTH($A$3:$A$62)),0))</f>
        <v>32534.836360088109</v>
      </c>
      <c r="K1615">
        <f t="array" ref="K1615">INDEX($G$3:$G$200,MATCH(1, (YEAR(I1615)=YEAR($A$3:$A$2000))*(MONTH(I1615)=MONTH($A$3:$A$2000)),0))</f>
        <v>48369.787700612869</v>
      </c>
      <c r="L1615">
        <f t="shared" si="51"/>
        <v>33885.661136637034</v>
      </c>
    </row>
    <row r="1616" spans="4:12" x14ac:dyDescent="0.25">
      <c r="D1616">
        <f t="shared" si="50"/>
        <v>0</v>
      </c>
      <c r="H1616">
        <v>1614</v>
      </c>
      <c r="I1616" s="1">
        <v>46573</v>
      </c>
      <c r="J1616">
        <f t="array" ref="J1616">INDEX($D$3:$D$62,MATCH(1, (YEAR(I1616)=YEAR($A$3:$A$62))*(MONTH(I1616)=MONTH($A$3:$A$62)),0))</f>
        <v>32534.836360088109</v>
      </c>
      <c r="K1616">
        <f t="array" ref="K1616">INDEX($G$3:$G$200,MATCH(1, (YEAR(I1616)=YEAR($A$3:$A$2000))*(MONTH(I1616)=MONTH($A$3:$A$2000)),0))</f>
        <v>48369.787700612869</v>
      </c>
      <c r="L1616">
        <f t="shared" si="51"/>
        <v>33860.840387423988</v>
      </c>
    </row>
    <row r="1617" spans="4:12" x14ac:dyDescent="0.25">
      <c r="D1617">
        <f t="shared" si="50"/>
        <v>0</v>
      </c>
      <c r="H1617">
        <v>1615</v>
      </c>
      <c r="I1617" s="1">
        <v>46574</v>
      </c>
      <c r="J1617">
        <f t="array" ref="J1617">INDEX($D$3:$D$62,MATCH(1, (YEAR(I1617)=YEAR($A$3:$A$62))*(MONTH(I1617)=MONTH($A$3:$A$62)),0))</f>
        <v>32534.836360088109</v>
      </c>
      <c r="K1617">
        <f t="array" ref="K1617">INDEX($G$3:$G$200,MATCH(1, (YEAR(I1617)=YEAR($A$3:$A$2000))*(MONTH(I1617)=MONTH($A$3:$A$2000)),0))</f>
        <v>48369.787700612869</v>
      </c>
      <c r="L1617">
        <f t="shared" si="51"/>
        <v>33836.034002718981</v>
      </c>
    </row>
    <row r="1618" spans="4:12" x14ac:dyDescent="0.25">
      <c r="D1618">
        <f t="shared" si="50"/>
        <v>0</v>
      </c>
      <c r="H1618">
        <v>1616</v>
      </c>
      <c r="I1618" s="1">
        <v>46575</v>
      </c>
      <c r="J1618">
        <f t="array" ref="J1618">INDEX($D$3:$D$62,MATCH(1, (YEAR(I1618)=YEAR($A$3:$A$62))*(MONTH(I1618)=MONTH($A$3:$A$62)),0))</f>
        <v>32534.836360088109</v>
      </c>
      <c r="K1618">
        <f t="array" ref="K1618">INDEX($G$3:$G$200,MATCH(1, (YEAR(I1618)=YEAR($A$3:$A$2000))*(MONTH(I1618)=MONTH($A$3:$A$2000)),0))</f>
        <v>48369.787700612869</v>
      </c>
      <c r="L1618">
        <f t="shared" si="51"/>
        <v>33811.242024863954</v>
      </c>
    </row>
    <row r="1619" spans="4:12" x14ac:dyDescent="0.25">
      <c r="D1619">
        <f t="shared" si="50"/>
        <v>0</v>
      </c>
      <c r="H1619">
        <v>1617</v>
      </c>
      <c r="I1619" s="1">
        <v>46576</v>
      </c>
      <c r="J1619">
        <f t="array" ref="J1619">INDEX($D$3:$D$62,MATCH(1, (YEAR(I1619)=YEAR($A$3:$A$62))*(MONTH(I1619)=MONTH($A$3:$A$62)),0))</f>
        <v>32534.836360088109</v>
      </c>
      <c r="K1619">
        <f t="array" ref="K1619">INDEX($G$3:$G$200,MATCH(1, (YEAR(I1619)=YEAR($A$3:$A$2000))*(MONTH(I1619)=MONTH($A$3:$A$2000)),0))</f>
        <v>48369.787700612869</v>
      </c>
      <c r="L1619">
        <f t="shared" si="51"/>
        <v>33786.464496488916</v>
      </c>
    </row>
    <row r="1620" spans="4:12" x14ac:dyDescent="0.25">
      <c r="D1620">
        <f t="shared" si="50"/>
        <v>0</v>
      </c>
      <c r="H1620">
        <v>1618</v>
      </c>
      <c r="I1620" s="1">
        <v>46577</v>
      </c>
      <c r="J1620">
        <f t="array" ref="J1620">INDEX($D$3:$D$62,MATCH(1, (YEAR(I1620)=YEAR($A$3:$A$62))*(MONTH(I1620)=MONTH($A$3:$A$62)),0))</f>
        <v>32534.836360088109</v>
      </c>
      <c r="K1620">
        <f t="array" ref="K1620">INDEX($G$3:$G$200,MATCH(1, (YEAR(I1620)=YEAR($A$3:$A$2000))*(MONTH(I1620)=MONTH($A$3:$A$2000)),0))</f>
        <v>48369.787700612869</v>
      </c>
      <c r="L1620">
        <f t="shared" si="51"/>
        <v>33761.701460512006</v>
      </c>
    </row>
    <row r="1621" spans="4:12" x14ac:dyDescent="0.25">
      <c r="D1621">
        <f t="shared" si="50"/>
        <v>0</v>
      </c>
      <c r="H1621">
        <v>1619</v>
      </c>
      <c r="I1621" s="1">
        <v>46578</v>
      </c>
      <c r="J1621">
        <f t="array" ref="J1621">INDEX($D$3:$D$62,MATCH(1, (YEAR(I1621)=YEAR($A$3:$A$62))*(MONTH(I1621)=MONTH($A$3:$A$62)),0))</f>
        <v>32534.836360088109</v>
      </c>
      <c r="K1621">
        <f t="array" ref="K1621">INDEX($G$3:$G$200,MATCH(1, (YEAR(I1621)=YEAR($A$3:$A$2000))*(MONTH(I1621)=MONTH($A$3:$A$2000)),0))</f>
        <v>48369.787700612869</v>
      </c>
      <c r="L1621">
        <f t="shared" si="51"/>
        <v>33736.952960138966</v>
      </c>
    </row>
    <row r="1622" spans="4:12" x14ac:dyDescent="0.25">
      <c r="D1622">
        <f t="shared" si="50"/>
        <v>0</v>
      </c>
      <c r="H1622">
        <v>1620</v>
      </c>
      <c r="I1622" s="1">
        <v>46579</v>
      </c>
      <c r="J1622">
        <f t="array" ref="J1622">INDEX($D$3:$D$62,MATCH(1, (YEAR(I1622)=YEAR($A$3:$A$62))*(MONTH(I1622)=MONTH($A$3:$A$62)),0))</f>
        <v>32534.836360088109</v>
      </c>
      <c r="K1622">
        <f t="array" ref="K1622">INDEX($G$3:$G$200,MATCH(1, (YEAR(I1622)=YEAR($A$3:$A$2000))*(MONTH(I1622)=MONTH($A$3:$A$2000)),0))</f>
        <v>48369.787700612869</v>
      </c>
      <c r="L1622">
        <f t="shared" si="51"/>
        <v>33712.219038864016</v>
      </c>
    </row>
    <row r="1623" spans="4:12" x14ac:dyDescent="0.25">
      <c r="D1623">
        <f t="shared" si="50"/>
        <v>0</v>
      </c>
      <c r="H1623">
        <v>1621</v>
      </c>
      <c r="I1623" s="1">
        <v>46580</v>
      </c>
      <c r="J1623">
        <f t="array" ref="J1623">INDEX($D$3:$D$62,MATCH(1, (YEAR(I1623)=YEAR($A$3:$A$62))*(MONTH(I1623)=MONTH($A$3:$A$62)),0))</f>
        <v>32534.836360088109</v>
      </c>
      <c r="K1623">
        <f t="array" ref="K1623">INDEX($G$3:$G$200,MATCH(1, (YEAR(I1623)=YEAR($A$3:$A$2000))*(MONTH(I1623)=MONTH($A$3:$A$2000)),0))</f>
        <v>48369.787700612869</v>
      </c>
      <c r="L1623">
        <f t="shared" si="51"/>
        <v>33687.499740468978</v>
      </c>
    </row>
    <row r="1624" spans="4:12" x14ac:dyDescent="0.25">
      <c r="D1624">
        <f t="shared" si="50"/>
        <v>0</v>
      </c>
      <c r="H1624">
        <v>1622</v>
      </c>
      <c r="I1624" s="1">
        <v>46581</v>
      </c>
      <c r="J1624">
        <f t="array" ref="J1624">INDEX($D$3:$D$62,MATCH(1, (YEAR(I1624)=YEAR($A$3:$A$62))*(MONTH(I1624)=MONTH($A$3:$A$62)),0))</f>
        <v>32534.836360088109</v>
      </c>
      <c r="K1624">
        <f t="array" ref="K1624">INDEX($G$3:$G$200,MATCH(1, (YEAR(I1624)=YEAR($A$3:$A$2000))*(MONTH(I1624)=MONTH($A$3:$A$2000)),0))</f>
        <v>48369.787700612869</v>
      </c>
      <c r="L1624">
        <f t="shared" si="51"/>
        <v>33662.79510902398</v>
      </c>
    </row>
    <row r="1625" spans="4:12" x14ac:dyDescent="0.25">
      <c r="D1625">
        <f t="shared" si="50"/>
        <v>0</v>
      </c>
      <c r="H1625">
        <v>1623</v>
      </c>
      <c r="I1625" s="1">
        <v>46582</v>
      </c>
      <c r="J1625">
        <f t="array" ref="J1625">INDEX($D$3:$D$62,MATCH(1, (YEAR(I1625)=YEAR($A$3:$A$62))*(MONTH(I1625)=MONTH($A$3:$A$62)),0))</f>
        <v>32534.836360088109</v>
      </c>
      <c r="K1625">
        <f t="array" ref="K1625">INDEX($G$3:$G$200,MATCH(1, (YEAR(I1625)=YEAR($A$3:$A$2000))*(MONTH(I1625)=MONTH($A$3:$A$2000)),0))</f>
        <v>48369.787700612869</v>
      </c>
      <c r="L1625">
        <f t="shared" si="51"/>
        <v>33638.105188886955</v>
      </c>
    </row>
    <row r="1626" spans="4:12" x14ac:dyDescent="0.25">
      <c r="D1626">
        <f t="shared" si="50"/>
        <v>0</v>
      </c>
      <c r="H1626">
        <v>1624</v>
      </c>
      <c r="I1626" s="1">
        <v>46583</v>
      </c>
      <c r="J1626">
        <f t="array" ref="J1626">INDEX($D$3:$D$62,MATCH(1, (YEAR(I1626)=YEAR($A$3:$A$62))*(MONTH(I1626)=MONTH($A$3:$A$62)),0))</f>
        <v>32534.836360088109</v>
      </c>
      <c r="K1626">
        <f t="array" ref="K1626">INDEX($G$3:$G$200,MATCH(1, (YEAR(I1626)=YEAR($A$3:$A$2000))*(MONTH(I1626)=MONTH($A$3:$A$2000)),0))</f>
        <v>48369.787700612869</v>
      </c>
      <c r="L1626">
        <f t="shared" si="51"/>
        <v>33613.430024703965</v>
      </c>
    </row>
    <row r="1627" spans="4:12" x14ac:dyDescent="0.25">
      <c r="D1627">
        <f t="shared" si="50"/>
        <v>0</v>
      </c>
      <c r="H1627">
        <v>1625</v>
      </c>
      <c r="I1627" s="1">
        <v>46584</v>
      </c>
      <c r="J1627">
        <f t="array" ref="J1627">INDEX($D$3:$D$62,MATCH(1, (YEAR(I1627)=YEAR($A$3:$A$62))*(MONTH(I1627)=MONTH($A$3:$A$62)),0))</f>
        <v>32534.836360088109</v>
      </c>
      <c r="K1627">
        <f t="array" ref="K1627">INDEX($G$3:$G$200,MATCH(1, (YEAR(I1627)=YEAR($A$3:$A$2000))*(MONTH(I1627)=MONTH($A$3:$A$2000)),0))</f>
        <v>48369.787700612869</v>
      </c>
      <c r="L1627">
        <f t="shared" si="51"/>
        <v>33588.769661408907</v>
      </c>
    </row>
    <row r="1628" spans="4:12" x14ac:dyDescent="0.25">
      <c r="D1628">
        <f t="shared" si="50"/>
        <v>0</v>
      </c>
      <c r="H1628">
        <v>1626</v>
      </c>
      <c r="I1628" s="1">
        <v>46585</v>
      </c>
      <c r="J1628">
        <f t="array" ref="J1628">INDEX($D$3:$D$62,MATCH(1, (YEAR(I1628)=YEAR($A$3:$A$62))*(MONTH(I1628)=MONTH($A$3:$A$62)),0))</f>
        <v>32534.836360088109</v>
      </c>
      <c r="K1628">
        <f t="array" ref="K1628">INDEX($G$3:$G$200,MATCH(1, (YEAR(I1628)=YEAR($A$3:$A$2000))*(MONTH(I1628)=MONTH($A$3:$A$2000)),0))</f>
        <v>48369.787700612869</v>
      </c>
      <c r="L1628">
        <f t="shared" si="51"/>
        <v>33564.124144224013</v>
      </c>
    </row>
    <row r="1629" spans="4:12" x14ac:dyDescent="0.25">
      <c r="D1629">
        <f t="shared" si="50"/>
        <v>0</v>
      </c>
      <c r="H1629">
        <v>1627</v>
      </c>
      <c r="I1629" s="1">
        <v>46586</v>
      </c>
      <c r="J1629">
        <f t="array" ref="J1629">INDEX($D$3:$D$62,MATCH(1, (YEAR(I1629)=YEAR($A$3:$A$62))*(MONTH(I1629)=MONTH($A$3:$A$62)),0))</f>
        <v>32534.836360088109</v>
      </c>
      <c r="K1629">
        <f t="array" ref="K1629">INDEX($G$3:$G$200,MATCH(1, (YEAR(I1629)=YEAR($A$3:$A$2000))*(MONTH(I1629)=MONTH($A$3:$A$2000)),0))</f>
        <v>48369.787700612869</v>
      </c>
      <c r="L1629">
        <f t="shared" si="51"/>
        <v>33539.493518658972</v>
      </c>
    </row>
    <row r="1630" spans="4:12" x14ac:dyDescent="0.25">
      <c r="D1630">
        <f t="shared" si="50"/>
        <v>0</v>
      </c>
      <c r="H1630">
        <v>1628</v>
      </c>
      <c r="I1630" s="1">
        <v>46587</v>
      </c>
      <c r="J1630">
        <f t="array" ref="J1630">INDEX($D$3:$D$62,MATCH(1, (YEAR(I1630)=YEAR($A$3:$A$62))*(MONTH(I1630)=MONTH($A$3:$A$62)),0))</f>
        <v>32534.836360088109</v>
      </c>
      <c r="K1630">
        <f t="array" ref="K1630">INDEX($G$3:$G$200,MATCH(1, (YEAR(I1630)=YEAR($A$3:$A$2000))*(MONTH(I1630)=MONTH($A$3:$A$2000)),0))</f>
        <v>48369.787700612869</v>
      </c>
      <c r="L1630">
        <f t="shared" si="51"/>
        <v>33514.877830512007</v>
      </c>
    </row>
    <row r="1631" spans="4:12" x14ac:dyDescent="0.25">
      <c r="D1631">
        <f t="shared" si="50"/>
        <v>0</v>
      </c>
      <c r="H1631">
        <v>1629</v>
      </c>
      <c r="I1631" s="1">
        <v>46588</v>
      </c>
      <c r="J1631">
        <f t="array" ref="J1631">INDEX($D$3:$D$62,MATCH(1, (YEAR(I1631)=YEAR($A$3:$A$62))*(MONTH(I1631)=MONTH($A$3:$A$62)),0))</f>
        <v>32534.836360088109</v>
      </c>
      <c r="K1631">
        <f t="array" ref="K1631">INDEX($G$3:$G$200,MATCH(1, (YEAR(I1631)=YEAR($A$3:$A$2000))*(MONTH(I1631)=MONTH($A$3:$A$2000)),0))</f>
        <v>48369.787700612869</v>
      </c>
      <c r="L1631">
        <f t="shared" si="51"/>
        <v>33490.277125868946</v>
      </c>
    </row>
    <row r="1632" spans="4:12" x14ac:dyDescent="0.25">
      <c r="D1632">
        <f t="shared" si="50"/>
        <v>0</v>
      </c>
      <c r="H1632">
        <v>1630</v>
      </c>
      <c r="I1632" s="1">
        <v>46589</v>
      </c>
      <c r="J1632">
        <f t="array" ref="J1632">INDEX($D$3:$D$62,MATCH(1, (YEAR(I1632)=YEAR($A$3:$A$62))*(MONTH(I1632)=MONTH($A$3:$A$62)),0))</f>
        <v>32534.836360088109</v>
      </c>
      <c r="K1632">
        <f t="array" ref="K1632">INDEX($G$3:$G$200,MATCH(1, (YEAR(I1632)=YEAR($A$3:$A$2000))*(MONTH(I1632)=MONTH($A$3:$A$2000)),0))</f>
        <v>48369.787700612869</v>
      </c>
      <c r="L1632">
        <f t="shared" si="51"/>
        <v>33465.691451104009</v>
      </c>
    </row>
    <row r="1633" spans="4:12" x14ac:dyDescent="0.25">
      <c r="D1633">
        <f t="shared" si="50"/>
        <v>0</v>
      </c>
      <c r="H1633">
        <v>1631</v>
      </c>
      <c r="I1633" s="1">
        <v>46590</v>
      </c>
      <c r="J1633">
        <f t="array" ref="J1633">INDEX($D$3:$D$62,MATCH(1, (YEAR(I1633)=YEAR($A$3:$A$62))*(MONTH(I1633)=MONTH($A$3:$A$62)),0))</f>
        <v>32534.836360088109</v>
      </c>
      <c r="K1633">
        <f t="array" ref="K1633">INDEX($G$3:$G$200,MATCH(1, (YEAR(I1633)=YEAR($A$3:$A$2000))*(MONTH(I1633)=MONTH($A$3:$A$2000)),0))</f>
        <v>48369.787700612869</v>
      </c>
      <c r="L1633">
        <f t="shared" si="51"/>
        <v>33441.120852878958</v>
      </c>
    </row>
    <row r="1634" spans="4:12" x14ac:dyDescent="0.25">
      <c r="D1634">
        <f t="shared" si="50"/>
        <v>0</v>
      </c>
      <c r="H1634">
        <v>1632</v>
      </c>
      <c r="I1634" s="1">
        <v>46591</v>
      </c>
      <c r="J1634">
        <f t="array" ref="J1634">INDEX($D$3:$D$62,MATCH(1, (YEAR(I1634)=YEAR($A$3:$A$62))*(MONTH(I1634)=MONTH($A$3:$A$62)),0))</f>
        <v>32534.836360088109</v>
      </c>
      <c r="K1634">
        <f t="array" ref="K1634">INDEX($G$3:$G$200,MATCH(1, (YEAR(I1634)=YEAR($A$3:$A$2000))*(MONTH(I1634)=MONTH($A$3:$A$2000)),0))</f>
        <v>48369.787700612869</v>
      </c>
      <c r="L1634">
        <f t="shared" si="51"/>
        <v>33416.565378143976</v>
      </c>
    </row>
    <row r="1635" spans="4:12" x14ac:dyDescent="0.25">
      <c r="D1635">
        <f t="shared" si="50"/>
        <v>0</v>
      </c>
      <c r="H1635">
        <v>1633</v>
      </c>
      <c r="I1635" s="1">
        <v>46592</v>
      </c>
      <c r="J1635">
        <f t="array" ref="J1635">INDEX($D$3:$D$62,MATCH(1, (YEAR(I1635)=YEAR($A$3:$A$62))*(MONTH(I1635)=MONTH($A$3:$A$62)),0))</f>
        <v>32534.836360088109</v>
      </c>
      <c r="K1635">
        <f t="array" ref="K1635">INDEX($G$3:$G$200,MATCH(1, (YEAR(I1635)=YEAR($A$3:$A$2000))*(MONTH(I1635)=MONTH($A$3:$A$2000)),0))</f>
        <v>48369.787700612869</v>
      </c>
      <c r="L1635">
        <f t="shared" si="51"/>
        <v>33392.025074136996</v>
      </c>
    </row>
    <row r="1636" spans="4:12" x14ac:dyDescent="0.25">
      <c r="D1636">
        <f t="shared" si="50"/>
        <v>0</v>
      </c>
      <c r="H1636">
        <v>1634</v>
      </c>
      <c r="I1636" s="1">
        <v>46593</v>
      </c>
      <c r="J1636">
        <f t="array" ref="J1636">INDEX($D$3:$D$62,MATCH(1, (YEAR(I1636)=YEAR($A$3:$A$62))*(MONTH(I1636)=MONTH($A$3:$A$62)),0))</f>
        <v>32534.836360088109</v>
      </c>
      <c r="K1636">
        <f t="array" ref="K1636">INDEX($G$3:$G$200,MATCH(1, (YEAR(I1636)=YEAR($A$3:$A$2000))*(MONTH(I1636)=MONTH($A$3:$A$2000)),0))</f>
        <v>48369.787700612869</v>
      </c>
      <c r="L1636">
        <f t="shared" si="51"/>
        <v>33367.499988384021</v>
      </c>
    </row>
    <row r="1637" spans="4:12" x14ac:dyDescent="0.25">
      <c r="D1637">
        <f t="shared" si="50"/>
        <v>0</v>
      </c>
      <c r="H1637">
        <v>1635</v>
      </c>
      <c r="I1637" s="1">
        <v>46594</v>
      </c>
      <c r="J1637">
        <f t="array" ref="J1637">INDEX($D$3:$D$62,MATCH(1, (YEAR(I1637)=YEAR($A$3:$A$62))*(MONTH(I1637)=MONTH($A$3:$A$62)),0))</f>
        <v>32534.836360088109</v>
      </c>
      <c r="K1637">
        <f t="array" ref="K1637">INDEX($G$3:$G$200,MATCH(1, (YEAR(I1637)=YEAR($A$3:$A$2000))*(MONTH(I1637)=MONTH($A$3:$A$2000)),0))</f>
        <v>48369.787700612869</v>
      </c>
      <c r="L1637">
        <f t="shared" si="51"/>
        <v>33342.990168698976</v>
      </c>
    </row>
    <row r="1638" spans="4:12" x14ac:dyDescent="0.25">
      <c r="D1638">
        <f t="shared" si="50"/>
        <v>0</v>
      </c>
      <c r="H1638">
        <v>1636</v>
      </c>
      <c r="I1638" s="1">
        <v>46595</v>
      </c>
      <c r="J1638">
        <f t="array" ref="J1638">INDEX($D$3:$D$62,MATCH(1, (YEAR(I1638)=YEAR($A$3:$A$62))*(MONTH(I1638)=MONTH($A$3:$A$62)),0))</f>
        <v>32534.836360088109</v>
      </c>
      <c r="K1638">
        <f t="array" ref="K1638">INDEX($G$3:$G$200,MATCH(1, (YEAR(I1638)=YEAR($A$3:$A$2000))*(MONTH(I1638)=MONTH($A$3:$A$2000)),0))</f>
        <v>48369.787700612869</v>
      </c>
      <c r="L1638">
        <f t="shared" si="51"/>
        <v>33318.495663183974</v>
      </c>
    </row>
    <row r="1639" spans="4:12" x14ac:dyDescent="0.25">
      <c r="D1639">
        <f t="shared" si="50"/>
        <v>0</v>
      </c>
      <c r="H1639">
        <v>1637</v>
      </c>
      <c r="I1639" s="1">
        <v>46596</v>
      </c>
      <c r="J1639">
        <f t="array" ref="J1639">INDEX($D$3:$D$62,MATCH(1, (YEAR(I1639)=YEAR($A$3:$A$62))*(MONTH(I1639)=MONTH($A$3:$A$62)),0))</f>
        <v>32534.836360088109</v>
      </c>
      <c r="K1639">
        <f t="array" ref="K1639">INDEX($G$3:$G$200,MATCH(1, (YEAR(I1639)=YEAR($A$3:$A$2000))*(MONTH(I1639)=MONTH($A$3:$A$2000)),0))</f>
        <v>48369.787700612869</v>
      </c>
      <c r="L1639">
        <f t="shared" si="51"/>
        <v>33294.016520228994</v>
      </c>
    </row>
    <row r="1640" spans="4:12" x14ac:dyDescent="0.25">
      <c r="D1640">
        <f t="shared" si="50"/>
        <v>0</v>
      </c>
      <c r="H1640">
        <v>1638</v>
      </c>
      <c r="I1640" s="1">
        <v>46597</v>
      </c>
      <c r="J1640">
        <f t="array" ref="J1640">INDEX($D$3:$D$62,MATCH(1, (YEAR(I1640)=YEAR($A$3:$A$62))*(MONTH(I1640)=MONTH($A$3:$A$62)),0))</f>
        <v>32534.836360088109</v>
      </c>
      <c r="K1640">
        <f t="array" ref="K1640">INDEX($G$3:$G$200,MATCH(1, (YEAR(I1640)=YEAR($A$3:$A$2000))*(MONTH(I1640)=MONTH($A$3:$A$2000)),0))</f>
        <v>48369.787700612869</v>
      </c>
      <c r="L1640">
        <f t="shared" si="51"/>
        <v>33269.552788511966</v>
      </c>
    </row>
    <row r="1641" spans="4:12" x14ac:dyDescent="0.25">
      <c r="D1641">
        <f t="shared" si="50"/>
        <v>0</v>
      </c>
      <c r="H1641">
        <v>1639</v>
      </c>
      <c r="I1641" s="1">
        <v>46598</v>
      </c>
      <c r="J1641">
        <f t="array" ref="J1641">INDEX($D$3:$D$62,MATCH(1, (YEAR(I1641)=YEAR($A$3:$A$62))*(MONTH(I1641)=MONTH($A$3:$A$62)),0))</f>
        <v>32534.836360088109</v>
      </c>
      <c r="K1641">
        <f t="array" ref="K1641">INDEX($G$3:$G$200,MATCH(1, (YEAR(I1641)=YEAR($A$3:$A$2000))*(MONTH(I1641)=MONTH($A$3:$A$2000)),0))</f>
        <v>48369.787700612869</v>
      </c>
      <c r="L1641">
        <f t="shared" si="51"/>
        <v>33245.104516998952</v>
      </c>
    </row>
    <row r="1642" spans="4:12" x14ac:dyDescent="0.25">
      <c r="D1642">
        <f t="shared" si="50"/>
        <v>0</v>
      </c>
      <c r="H1642">
        <v>1640</v>
      </c>
      <c r="I1642" s="1">
        <v>46599</v>
      </c>
      <c r="J1642">
        <f t="array" ref="J1642">INDEX($D$3:$D$62,MATCH(1, (YEAR(I1642)=YEAR($A$3:$A$62))*(MONTH(I1642)=MONTH($A$3:$A$62)),0))</f>
        <v>32534.836360088109</v>
      </c>
      <c r="K1642">
        <f t="array" ref="K1642">INDEX($G$3:$G$200,MATCH(1, (YEAR(I1642)=YEAR($A$3:$A$2000))*(MONTH(I1642)=MONTH($A$3:$A$2000)),0))</f>
        <v>48369.787700612869</v>
      </c>
      <c r="L1642">
        <f t="shared" si="51"/>
        <v>33220.671754943964</v>
      </c>
    </row>
    <row r="1643" spans="4:12" x14ac:dyDescent="0.25">
      <c r="D1643">
        <f t="shared" si="50"/>
        <v>0</v>
      </c>
      <c r="H1643">
        <v>1641</v>
      </c>
      <c r="I1643" s="1">
        <v>46600</v>
      </c>
      <c r="J1643">
        <f t="array" ref="J1643">INDEX($D$3:$D$62,MATCH(1, (YEAR(I1643)=YEAR($A$3:$A$62))*(MONTH(I1643)=MONTH($A$3:$A$62)),0))</f>
        <v>31982.833086194511</v>
      </c>
      <c r="K1643">
        <f t="array" ref="K1643">INDEX($G$3:$G$200,MATCH(1, (YEAR(I1643)=YEAR($A$3:$A$2000))*(MONTH(I1643)=MONTH($A$3:$A$2000)),0))</f>
        <v>47390.776074218811</v>
      </c>
      <c r="L1643">
        <f t="shared" si="51"/>
        <v>33196.254551888997</v>
      </c>
    </row>
    <row r="1644" spans="4:12" x14ac:dyDescent="0.25">
      <c r="D1644">
        <f t="shared" si="50"/>
        <v>0</v>
      </c>
      <c r="H1644">
        <v>1642</v>
      </c>
      <c r="I1644" s="1">
        <v>46601</v>
      </c>
      <c r="J1644">
        <f t="array" ref="J1644">INDEX($D$3:$D$62,MATCH(1, (YEAR(I1644)=YEAR($A$3:$A$62))*(MONTH(I1644)=MONTH($A$3:$A$62)),0))</f>
        <v>31982.833086194511</v>
      </c>
      <c r="K1644">
        <f t="array" ref="K1644">INDEX($G$3:$G$200,MATCH(1, (YEAR(I1644)=YEAR($A$3:$A$2000))*(MONTH(I1644)=MONTH($A$3:$A$2000)),0))</f>
        <v>47390.776074218811</v>
      </c>
      <c r="L1644">
        <f t="shared" si="51"/>
        <v>33171.85295766397</v>
      </c>
    </row>
    <row r="1645" spans="4:12" x14ac:dyDescent="0.25">
      <c r="D1645">
        <f t="shared" si="50"/>
        <v>0</v>
      </c>
      <c r="H1645">
        <v>1643</v>
      </c>
      <c r="I1645" s="1">
        <v>46602</v>
      </c>
      <c r="J1645">
        <f t="array" ref="J1645">INDEX($D$3:$D$62,MATCH(1, (YEAR(I1645)=YEAR($A$3:$A$62))*(MONTH(I1645)=MONTH($A$3:$A$62)),0))</f>
        <v>31982.833086194511</v>
      </c>
      <c r="K1645">
        <f t="array" ref="K1645">INDEX($G$3:$G$200,MATCH(1, (YEAR(I1645)=YEAR($A$3:$A$2000))*(MONTH(I1645)=MONTH($A$3:$A$2000)),0))</f>
        <v>47390.776074218811</v>
      </c>
      <c r="L1645">
        <f t="shared" si="51"/>
        <v>33147.46702238702</v>
      </c>
    </row>
    <row r="1646" spans="4:12" x14ac:dyDescent="0.25">
      <c r="D1646">
        <f t="shared" si="50"/>
        <v>0</v>
      </c>
      <c r="H1646">
        <v>1644</v>
      </c>
      <c r="I1646" s="1">
        <v>46603</v>
      </c>
      <c r="J1646">
        <f t="array" ref="J1646">INDEX($D$3:$D$62,MATCH(1, (YEAR(I1646)=YEAR($A$3:$A$62))*(MONTH(I1646)=MONTH($A$3:$A$62)),0))</f>
        <v>31982.833086194511</v>
      </c>
      <c r="K1646">
        <f t="array" ref="K1646">INDEX($G$3:$G$200,MATCH(1, (YEAR(I1646)=YEAR($A$3:$A$2000))*(MONTH(I1646)=MONTH($A$3:$A$2000)),0))</f>
        <v>47390.776074218811</v>
      </c>
      <c r="L1646">
        <f t="shared" si="51"/>
        <v>33123.096796463971</v>
      </c>
    </row>
    <row r="1647" spans="4:12" x14ac:dyDescent="0.25">
      <c r="D1647">
        <f t="shared" si="50"/>
        <v>0</v>
      </c>
      <c r="H1647">
        <v>1645</v>
      </c>
      <c r="I1647" s="1">
        <v>46604</v>
      </c>
      <c r="J1647">
        <f t="array" ref="J1647">INDEX($D$3:$D$62,MATCH(1, (YEAR(I1647)=YEAR($A$3:$A$62))*(MONTH(I1647)=MONTH($A$3:$A$62)),0))</f>
        <v>31982.833086194511</v>
      </c>
      <c r="K1647">
        <f t="array" ref="K1647">INDEX($G$3:$G$200,MATCH(1, (YEAR(I1647)=YEAR($A$3:$A$2000))*(MONTH(I1647)=MONTH($A$3:$A$2000)),0))</f>
        <v>47390.776074218811</v>
      </c>
      <c r="L1647">
        <f t="shared" si="51"/>
        <v>33098.742330588982</v>
      </c>
    </row>
    <row r="1648" spans="4:12" x14ac:dyDescent="0.25">
      <c r="D1648">
        <f t="shared" si="50"/>
        <v>0</v>
      </c>
      <c r="H1648">
        <v>1646</v>
      </c>
      <c r="I1648" s="1">
        <v>46605</v>
      </c>
      <c r="J1648">
        <f t="array" ref="J1648">INDEX($D$3:$D$62,MATCH(1, (YEAR(I1648)=YEAR($A$3:$A$62))*(MONTH(I1648)=MONTH($A$3:$A$62)),0))</f>
        <v>31982.833086194511</v>
      </c>
      <c r="K1648">
        <f t="array" ref="K1648">INDEX($G$3:$G$200,MATCH(1, (YEAR(I1648)=YEAR($A$3:$A$2000))*(MONTH(I1648)=MONTH($A$3:$A$2000)),0))</f>
        <v>47390.776074218811</v>
      </c>
      <c r="L1648">
        <f t="shared" si="51"/>
        <v>33074.403675743961</v>
      </c>
    </row>
    <row r="1649" spans="4:12" x14ac:dyDescent="0.25">
      <c r="D1649">
        <f t="shared" si="50"/>
        <v>0</v>
      </c>
      <c r="H1649">
        <v>1647</v>
      </c>
      <c r="I1649" s="1">
        <v>46606</v>
      </c>
      <c r="J1649">
        <f t="array" ref="J1649">INDEX($D$3:$D$62,MATCH(1, (YEAR(I1649)=YEAR($A$3:$A$62))*(MONTH(I1649)=MONTH($A$3:$A$62)),0))</f>
        <v>31982.833086194511</v>
      </c>
      <c r="K1649">
        <f t="array" ref="K1649">INDEX($G$3:$G$200,MATCH(1, (YEAR(I1649)=YEAR($A$3:$A$2000))*(MONTH(I1649)=MONTH($A$3:$A$2000)),0))</f>
        <v>47390.776074218811</v>
      </c>
      <c r="L1649">
        <f t="shared" si="51"/>
        <v>33050.080883198942</v>
      </c>
    </row>
    <row r="1650" spans="4:12" x14ac:dyDescent="0.25">
      <c r="D1650">
        <f t="shared" si="50"/>
        <v>0</v>
      </c>
      <c r="H1650">
        <v>1648</v>
      </c>
      <c r="I1650" s="1">
        <v>46607</v>
      </c>
      <c r="J1650">
        <f t="array" ref="J1650">INDEX($D$3:$D$62,MATCH(1, (YEAR(I1650)=YEAR($A$3:$A$62))*(MONTH(I1650)=MONTH($A$3:$A$62)),0))</f>
        <v>31982.833086194511</v>
      </c>
      <c r="K1650">
        <f t="array" ref="K1650">INDEX($G$3:$G$200,MATCH(1, (YEAR(I1650)=YEAR($A$3:$A$2000))*(MONTH(I1650)=MONTH($A$3:$A$2000)),0))</f>
        <v>47390.776074218811</v>
      </c>
      <c r="L1650">
        <f t="shared" si="51"/>
        <v>33025.774004511943</v>
      </c>
    </row>
    <row r="1651" spans="4:12" x14ac:dyDescent="0.25">
      <c r="D1651">
        <f t="shared" si="50"/>
        <v>0</v>
      </c>
      <c r="H1651">
        <v>1649</v>
      </c>
      <c r="I1651" s="1">
        <v>46608</v>
      </c>
      <c r="J1651">
        <f t="array" ref="J1651">INDEX($D$3:$D$62,MATCH(1, (YEAR(I1651)=YEAR($A$3:$A$62))*(MONTH(I1651)=MONTH($A$3:$A$62)),0))</f>
        <v>31982.833086194511</v>
      </c>
      <c r="K1651">
        <f t="array" ref="K1651">INDEX($G$3:$G$200,MATCH(1, (YEAR(I1651)=YEAR($A$3:$A$2000))*(MONTH(I1651)=MONTH($A$3:$A$2000)),0))</f>
        <v>47390.776074218811</v>
      </c>
      <c r="L1651">
        <f t="shared" si="51"/>
        <v>33001.483091528993</v>
      </c>
    </row>
    <row r="1652" spans="4:12" x14ac:dyDescent="0.25">
      <c r="D1652">
        <f t="shared" si="50"/>
        <v>0</v>
      </c>
      <c r="H1652">
        <v>1650</v>
      </c>
      <c r="I1652" s="1">
        <v>46609</v>
      </c>
      <c r="J1652">
        <f t="array" ref="J1652">INDEX($D$3:$D$62,MATCH(1, (YEAR(I1652)=YEAR($A$3:$A$62))*(MONTH(I1652)=MONTH($A$3:$A$62)),0))</f>
        <v>31982.833086194511</v>
      </c>
      <c r="K1652">
        <f t="array" ref="K1652">INDEX($G$3:$G$200,MATCH(1, (YEAR(I1652)=YEAR($A$3:$A$2000))*(MONTH(I1652)=MONTH($A$3:$A$2000)),0))</f>
        <v>47390.776074218811</v>
      </c>
      <c r="L1652">
        <f t="shared" si="51"/>
        <v>32977.208196384017</v>
      </c>
    </row>
    <row r="1653" spans="4:12" x14ac:dyDescent="0.25">
      <c r="D1653">
        <f t="shared" si="50"/>
        <v>0</v>
      </c>
      <c r="H1653">
        <v>1651</v>
      </c>
      <c r="I1653" s="1">
        <v>46610</v>
      </c>
      <c r="J1653">
        <f t="array" ref="J1653">INDEX($D$3:$D$62,MATCH(1, (YEAR(I1653)=YEAR($A$3:$A$62))*(MONTH(I1653)=MONTH($A$3:$A$62)),0))</f>
        <v>31982.833086194511</v>
      </c>
      <c r="K1653">
        <f t="array" ref="K1653">INDEX($G$3:$G$200,MATCH(1, (YEAR(I1653)=YEAR($A$3:$A$2000))*(MONTH(I1653)=MONTH($A$3:$A$2000)),0))</f>
        <v>47390.776074218811</v>
      </c>
      <c r="L1653">
        <f t="shared" si="51"/>
        <v>32952.94937149898</v>
      </c>
    </row>
    <row r="1654" spans="4:12" x14ac:dyDescent="0.25">
      <c r="D1654">
        <f t="shared" si="50"/>
        <v>0</v>
      </c>
      <c r="H1654">
        <v>1652</v>
      </c>
      <c r="I1654" s="1">
        <v>46611</v>
      </c>
      <c r="J1654">
        <f t="array" ref="J1654">INDEX($D$3:$D$62,MATCH(1, (YEAR(I1654)=YEAR($A$3:$A$62))*(MONTH(I1654)=MONTH($A$3:$A$62)),0))</f>
        <v>31982.833086194511</v>
      </c>
      <c r="K1654">
        <f t="array" ref="K1654">INDEX($G$3:$G$200,MATCH(1, (YEAR(I1654)=YEAR($A$3:$A$2000))*(MONTH(I1654)=MONTH($A$3:$A$2000)),0))</f>
        <v>47390.776074218811</v>
      </c>
      <c r="L1654">
        <f t="shared" si="51"/>
        <v>32928.706669583975</v>
      </c>
    </row>
    <row r="1655" spans="4:12" x14ac:dyDescent="0.25">
      <c r="D1655">
        <f t="shared" si="50"/>
        <v>0</v>
      </c>
      <c r="H1655">
        <v>1653</v>
      </c>
      <c r="I1655" s="1">
        <v>46612</v>
      </c>
      <c r="J1655">
        <f t="array" ref="J1655">INDEX($D$3:$D$62,MATCH(1, (YEAR(I1655)=YEAR($A$3:$A$62))*(MONTH(I1655)=MONTH($A$3:$A$62)),0))</f>
        <v>31982.833086194511</v>
      </c>
      <c r="K1655">
        <f t="array" ref="K1655">INDEX($G$3:$G$200,MATCH(1, (YEAR(I1655)=YEAR($A$3:$A$2000))*(MONTH(I1655)=MONTH($A$3:$A$2000)),0))</f>
        <v>47390.776074218811</v>
      </c>
      <c r="L1655">
        <f t="shared" si="51"/>
        <v>32904.480143636931</v>
      </c>
    </row>
    <row r="1656" spans="4:12" x14ac:dyDescent="0.25">
      <c r="D1656">
        <f t="shared" si="50"/>
        <v>0</v>
      </c>
      <c r="H1656">
        <v>1654</v>
      </c>
      <c r="I1656" s="1">
        <v>46613</v>
      </c>
      <c r="J1656">
        <f t="array" ref="J1656">INDEX($D$3:$D$62,MATCH(1, (YEAR(I1656)=YEAR($A$3:$A$62))*(MONTH(I1656)=MONTH($A$3:$A$62)),0))</f>
        <v>31982.833086194511</v>
      </c>
      <c r="K1656">
        <f t="array" ref="K1656">INDEX($G$3:$G$200,MATCH(1, (YEAR(I1656)=YEAR($A$3:$A$2000))*(MONTH(I1656)=MONTH($A$3:$A$2000)),0))</f>
        <v>47390.776074218811</v>
      </c>
      <c r="L1656">
        <f t="shared" si="51"/>
        <v>32880.269846943964</v>
      </c>
    </row>
    <row r="1657" spans="4:12" x14ac:dyDescent="0.25">
      <c r="D1657">
        <f t="shared" si="50"/>
        <v>0</v>
      </c>
      <c r="H1657">
        <v>1655</v>
      </c>
      <c r="I1657" s="1">
        <v>46614</v>
      </c>
      <c r="J1657">
        <f t="array" ref="J1657">INDEX($D$3:$D$62,MATCH(1, (YEAR(I1657)=YEAR($A$3:$A$62))*(MONTH(I1657)=MONTH($A$3:$A$62)),0))</f>
        <v>31982.833086194511</v>
      </c>
      <c r="K1657">
        <f t="array" ref="K1657">INDEX($G$3:$G$200,MATCH(1, (YEAR(I1657)=YEAR($A$3:$A$2000))*(MONTH(I1657)=MONTH($A$3:$A$2000)),0))</f>
        <v>47390.776074218811</v>
      </c>
      <c r="L1657">
        <f t="shared" si="51"/>
        <v>32856.075833078939</v>
      </c>
    </row>
    <row r="1658" spans="4:12" x14ac:dyDescent="0.25">
      <c r="D1658">
        <f t="shared" si="50"/>
        <v>0</v>
      </c>
      <c r="H1658">
        <v>1656</v>
      </c>
      <c r="I1658" s="1">
        <v>46615</v>
      </c>
      <c r="J1658">
        <f t="array" ref="J1658">INDEX($D$3:$D$62,MATCH(1, (YEAR(I1658)=YEAR($A$3:$A$62))*(MONTH(I1658)=MONTH($A$3:$A$62)),0))</f>
        <v>31982.833086194511</v>
      </c>
      <c r="K1658">
        <f t="array" ref="K1658">INDEX($G$3:$G$200,MATCH(1, (YEAR(I1658)=YEAR($A$3:$A$2000))*(MONTH(I1658)=MONTH($A$3:$A$2000)),0))</f>
        <v>47390.776074218811</v>
      </c>
      <c r="L1658">
        <f t="shared" si="51"/>
        <v>32831.898155903909</v>
      </c>
    </row>
    <row r="1659" spans="4:12" x14ac:dyDescent="0.25">
      <c r="D1659">
        <f t="shared" si="50"/>
        <v>0</v>
      </c>
      <c r="H1659">
        <v>1657</v>
      </c>
      <c r="I1659" s="1">
        <v>46616</v>
      </c>
      <c r="J1659">
        <f t="array" ref="J1659">INDEX($D$3:$D$62,MATCH(1, (YEAR(I1659)=YEAR($A$3:$A$62))*(MONTH(I1659)=MONTH($A$3:$A$62)),0))</f>
        <v>31982.833086194511</v>
      </c>
      <c r="K1659">
        <f t="array" ref="K1659">INDEX($G$3:$G$200,MATCH(1, (YEAR(I1659)=YEAR($A$3:$A$2000))*(MONTH(I1659)=MONTH($A$3:$A$2000)),0))</f>
        <v>47390.776074218811</v>
      </c>
      <c r="L1659">
        <f t="shared" si="51"/>
        <v>32807.736869569024</v>
      </c>
    </row>
    <row r="1660" spans="4:12" x14ac:dyDescent="0.25">
      <c r="D1660">
        <f t="shared" si="50"/>
        <v>0</v>
      </c>
      <c r="H1660">
        <v>1658</v>
      </c>
      <c r="I1660" s="1">
        <v>46617</v>
      </c>
      <c r="J1660">
        <f t="array" ref="J1660">INDEX($D$3:$D$62,MATCH(1, (YEAR(I1660)=YEAR($A$3:$A$62))*(MONTH(I1660)=MONTH($A$3:$A$62)),0))</f>
        <v>31982.833086194511</v>
      </c>
      <c r="K1660">
        <f t="array" ref="K1660">INDEX($G$3:$G$200,MATCH(1, (YEAR(I1660)=YEAR($A$3:$A$2000))*(MONTH(I1660)=MONTH($A$3:$A$2000)),0))</f>
        <v>47390.776074218811</v>
      </c>
      <c r="L1660">
        <f t="shared" si="51"/>
        <v>32783.592028511979</v>
      </c>
    </row>
    <row r="1661" spans="4:12" x14ac:dyDescent="0.25">
      <c r="D1661">
        <f t="shared" si="50"/>
        <v>0</v>
      </c>
      <c r="H1661">
        <v>1659</v>
      </c>
      <c r="I1661" s="1">
        <v>46618</v>
      </c>
      <c r="J1661">
        <f t="array" ref="J1661">INDEX($D$3:$D$62,MATCH(1, (YEAR(I1661)=YEAR($A$3:$A$62))*(MONTH(I1661)=MONTH($A$3:$A$62)),0))</f>
        <v>31982.833086194511</v>
      </c>
      <c r="K1661">
        <f t="array" ref="K1661">INDEX($G$3:$G$200,MATCH(1, (YEAR(I1661)=YEAR($A$3:$A$2000))*(MONTH(I1661)=MONTH($A$3:$A$2000)),0))</f>
        <v>47390.776074218811</v>
      </c>
      <c r="L1661">
        <f t="shared" si="51"/>
        <v>32759.463687459007</v>
      </c>
    </row>
    <row r="1662" spans="4:12" x14ac:dyDescent="0.25">
      <c r="D1662">
        <f t="shared" si="50"/>
        <v>0</v>
      </c>
      <c r="H1662">
        <v>1660</v>
      </c>
      <c r="I1662" s="1">
        <v>46619</v>
      </c>
      <c r="J1662">
        <f t="array" ref="J1662">INDEX($D$3:$D$62,MATCH(1, (YEAR(I1662)=YEAR($A$3:$A$62))*(MONTH(I1662)=MONTH($A$3:$A$62)),0))</f>
        <v>31982.833086194511</v>
      </c>
      <c r="K1662">
        <f t="array" ref="K1662">INDEX($G$3:$G$200,MATCH(1, (YEAR(I1662)=YEAR($A$3:$A$2000))*(MONTH(I1662)=MONTH($A$3:$A$2000)),0))</f>
        <v>47390.776074218811</v>
      </c>
      <c r="L1662">
        <f t="shared" si="51"/>
        <v>32735.351901424001</v>
      </c>
    </row>
    <row r="1663" spans="4:12" x14ac:dyDescent="0.25">
      <c r="D1663">
        <f t="shared" si="50"/>
        <v>0</v>
      </c>
      <c r="H1663">
        <v>1661</v>
      </c>
      <c r="I1663" s="1">
        <v>46620</v>
      </c>
      <c r="J1663">
        <f t="array" ref="J1663">INDEX($D$3:$D$62,MATCH(1, (YEAR(I1663)=YEAR($A$3:$A$62))*(MONTH(I1663)=MONTH($A$3:$A$62)),0))</f>
        <v>31982.833086194511</v>
      </c>
      <c r="K1663">
        <f t="array" ref="K1663">INDEX($G$3:$G$200,MATCH(1, (YEAR(I1663)=YEAR($A$3:$A$2000))*(MONTH(I1663)=MONTH($A$3:$A$2000)),0))</f>
        <v>47390.776074218811</v>
      </c>
      <c r="L1663">
        <f t="shared" si="51"/>
        <v>32711.256725708983</v>
      </c>
    </row>
    <row r="1664" spans="4:12" x14ac:dyDescent="0.25">
      <c r="D1664">
        <f t="shared" si="50"/>
        <v>0</v>
      </c>
      <c r="H1664">
        <v>1662</v>
      </c>
      <c r="I1664" s="1">
        <v>46621</v>
      </c>
      <c r="J1664">
        <f t="array" ref="J1664">INDEX($D$3:$D$62,MATCH(1, (YEAR(I1664)=YEAR($A$3:$A$62))*(MONTH(I1664)=MONTH($A$3:$A$62)),0))</f>
        <v>31982.833086194511</v>
      </c>
      <c r="K1664">
        <f t="array" ref="K1664">INDEX($G$3:$G$200,MATCH(1, (YEAR(I1664)=YEAR($A$3:$A$2000))*(MONTH(I1664)=MONTH($A$3:$A$2000)),0))</f>
        <v>47390.776074218811</v>
      </c>
      <c r="L1664">
        <f t="shared" si="51"/>
        <v>32687.178215903987</v>
      </c>
    </row>
    <row r="1665" spans="4:12" x14ac:dyDescent="0.25">
      <c r="D1665">
        <f t="shared" si="50"/>
        <v>0</v>
      </c>
      <c r="H1665">
        <v>1663</v>
      </c>
      <c r="I1665" s="1">
        <v>46622</v>
      </c>
      <c r="J1665">
        <f t="array" ref="J1665">INDEX($D$3:$D$62,MATCH(1, (YEAR(I1665)=YEAR($A$3:$A$62))*(MONTH(I1665)=MONTH($A$3:$A$62)),0))</f>
        <v>31982.833086194511</v>
      </c>
      <c r="K1665">
        <f t="array" ref="K1665">INDEX($G$3:$G$200,MATCH(1, (YEAR(I1665)=YEAR($A$3:$A$2000))*(MONTH(I1665)=MONTH($A$3:$A$2000)),0))</f>
        <v>47390.776074218811</v>
      </c>
      <c r="L1665">
        <f t="shared" si="51"/>
        <v>32663.11642788694</v>
      </c>
    </row>
    <row r="1666" spans="4:12" x14ac:dyDescent="0.25">
      <c r="D1666">
        <f t="shared" si="50"/>
        <v>0</v>
      </c>
      <c r="H1666">
        <v>1664</v>
      </c>
      <c r="I1666" s="1">
        <v>46623</v>
      </c>
      <c r="J1666">
        <f t="array" ref="J1666">INDEX($D$3:$D$62,MATCH(1, (YEAR(I1666)=YEAR($A$3:$A$62))*(MONTH(I1666)=MONTH($A$3:$A$62)),0))</f>
        <v>31982.833086194511</v>
      </c>
      <c r="K1666">
        <f t="array" ref="K1666">INDEX($G$3:$G$200,MATCH(1, (YEAR(I1666)=YEAR($A$3:$A$2000))*(MONTH(I1666)=MONTH($A$3:$A$2000)),0))</f>
        <v>47390.776074218811</v>
      </c>
      <c r="L1666">
        <f t="shared" si="51"/>
        <v>32639.071417823929</v>
      </c>
    </row>
    <row r="1667" spans="4:12" x14ac:dyDescent="0.25">
      <c r="D1667">
        <f t="shared" si="50"/>
        <v>0</v>
      </c>
      <c r="H1667">
        <v>1665</v>
      </c>
      <c r="I1667" s="1">
        <v>46624</v>
      </c>
      <c r="J1667">
        <f t="array" ref="J1667">INDEX($D$3:$D$62,MATCH(1, (YEAR(I1667)=YEAR($A$3:$A$62))*(MONTH(I1667)=MONTH($A$3:$A$62)),0))</f>
        <v>31982.833086194511</v>
      </c>
      <c r="K1667">
        <f t="array" ref="K1667">INDEX($G$3:$G$200,MATCH(1, (YEAR(I1667)=YEAR($A$3:$A$2000))*(MONTH(I1667)=MONTH($A$3:$A$2000)),0))</f>
        <v>47390.776074218811</v>
      </c>
      <c r="L1667">
        <f t="shared" si="51"/>
        <v>32615.04324216902</v>
      </c>
    </row>
    <row r="1668" spans="4:12" x14ac:dyDescent="0.25">
      <c r="D1668">
        <f t="shared" ref="D1668:D1731" si="52">SUM(B1668:C1668)</f>
        <v>0</v>
      </c>
      <c r="H1668">
        <v>1666</v>
      </c>
      <c r="I1668" s="1">
        <v>46625</v>
      </c>
      <c r="J1668">
        <f t="array" ref="J1668">INDEX($D$3:$D$62,MATCH(1, (YEAR(I1668)=YEAR($A$3:$A$62))*(MONTH(I1668)=MONTH($A$3:$A$62)),0))</f>
        <v>31982.833086194511</v>
      </c>
      <c r="K1668">
        <f t="array" ref="K1668">INDEX($G$3:$G$200,MATCH(1, (YEAR(I1668)=YEAR($A$3:$A$2000))*(MONTH(I1668)=MONTH($A$3:$A$2000)),0))</f>
        <v>47390.776074218811</v>
      </c>
      <c r="L1668">
        <f t="shared" ref="L1668:L1731" si="53">0.000000012*H1668^4-0.000070439*H1668^3+0.160688168*H1668^2-194.849290676*H1668+144481.718306784</f>
        <v>32591.031957663945</v>
      </c>
    </row>
    <row r="1669" spans="4:12" x14ac:dyDescent="0.25">
      <c r="D1669">
        <f t="shared" si="52"/>
        <v>0</v>
      </c>
      <c r="H1669">
        <v>1667</v>
      </c>
      <c r="I1669" s="1">
        <v>46626</v>
      </c>
      <c r="J1669">
        <f t="array" ref="J1669">INDEX($D$3:$D$62,MATCH(1, (YEAR(I1669)=YEAR($A$3:$A$62))*(MONTH(I1669)=MONTH($A$3:$A$62)),0))</f>
        <v>31982.833086194511</v>
      </c>
      <c r="K1669">
        <f t="array" ref="K1669">INDEX($G$3:$G$200,MATCH(1, (YEAR(I1669)=YEAR($A$3:$A$2000))*(MONTH(I1669)=MONTH($A$3:$A$2000)),0))</f>
        <v>47390.776074218811</v>
      </c>
      <c r="L1669">
        <f t="shared" si="53"/>
        <v>32567.037621339026</v>
      </c>
    </row>
    <row r="1670" spans="4:12" x14ac:dyDescent="0.25">
      <c r="D1670">
        <f t="shared" si="52"/>
        <v>0</v>
      </c>
      <c r="H1670">
        <v>1668</v>
      </c>
      <c r="I1670" s="1">
        <v>46627</v>
      </c>
      <c r="J1670">
        <f t="array" ref="J1670">INDEX($D$3:$D$62,MATCH(1, (YEAR(I1670)=YEAR($A$3:$A$62))*(MONTH(I1670)=MONTH($A$3:$A$62)),0))</f>
        <v>31982.833086194511</v>
      </c>
      <c r="K1670">
        <f t="array" ref="K1670">INDEX($G$3:$G$200,MATCH(1, (YEAR(I1670)=YEAR($A$3:$A$2000))*(MONTH(I1670)=MONTH($A$3:$A$2000)),0))</f>
        <v>47390.776074218811</v>
      </c>
      <c r="L1670">
        <f t="shared" si="53"/>
        <v>32543.06029051193</v>
      </c>
    </row>
    <row r="1671" spans="4:12" x14ac:dyDescent="0.25">
      <c r="D1671">
        <f t="shared" si="52"/>
        <v>0</v>
      </c>
      <c r="H1671">
        <v>1669</v>
      </c>
      <c r="I1671" s="1">
        <v>46628</v>
      </c>
      <c r="J1671">
        <f t="array" ref="J1671">INDEX($D$3:$D$62,MATCH(1, (YEAR(I1671)=YEAR($A$3:$A$62))*(MONTH(I1671)=MONTH($A$3:$A$62)),0))</f>
        <v>31982.833086194511</v>
      </c>
      <c r="K1671">
        <f t="array" ref="K1671">INDEX($G$3:$G$200,MATCH(1, (YEAR(I1671)=YEAR($A$3:$A$2000))*(MONTH(I1671)=MONTH($A$3:$A$2000)),0))</f>
        <v>47390.776074218811</v>
      </c>
      <c r="L1671">
        <f t="shared" si="53"/>
        <v>32519.100022788974</v>
      </c>
    </row>
    <row r="1672" spans="4:12" x14ac:dyDescent="0.25">
      <c r="D1672">
        <f t="shared" si="52"/>
        <v>0</v>
      </c>
      <c r="H1672">
        <v>1670</v>
      </c>
      <c r="I1672" s="1">
        <v>46629</v>
      </c>
      <c r="J1672">
        <f t="array" ref="J1672">INDEX($D$3:$D$62,MATCH(1, (YEAR(I1672)=YEAR($A$3:$A$62))*(MONTH(I1672)=MONTH($A$3:$A$62)),0))</f>
        <v>31982.833086194511</v>
      </c>
      <c r="K1672">
        <f t="array" ref="K1672">INDEX($G$3:$G$200,MATCH(1, (YEAR(I1672)=YEAR($A$3:$A$2000))*(MONTH(I1672)=MONTH($A$3:$A$2000)),0))</f>
        <v>47390.776074218811</v>
      </c>
      <c r="L1672">
        <f t="shared" si="53"/>
        <v>32495.156876063964</v>
      </c>
    </row>
    <row r="1673" spans="4:12" x14ac:dyDescent="0.25">
      <c r="D1673">
        <f t="shared" si="52"/>
        <v>0</v>
      </c>
      <c r="H1673">
        <v>1671</v>
      </c>
      <c r="I1673" s="1">
        <v>46630</v>
      </c>
      <c r="J1673">
        <f t="array" ref="J1673">INDEX($D$3:$D$62,MATCH(1, (YEAR(I1673)=YEAR($A$3:$A$62))*(MONTH(I1673)=MONTH($A$3:$A$62)),0))</f>
        <v>31982.833086194511</v>
      </c>
      <c r="K1673">
        <f t="array" ref="K1673">INDEX($G$3:$G$200,MATCH(1, (YEAR(I1673)=YEAR($A$3:$A$2000))*(MONTH(I1673)=MONTH($A$3:$A$2000)),0))</f>
        <v>47390.776074218811</v>
      </c>
      <c r="L1673">
        <f t="shared" si="53"/>
        <v>32471.230908518977</v>
      </c>
    </row>
    <row r="1674" spans="4:12" x14ac:dyDescent="0.25">
      <c r="D1674">
        <f t="shared" si="52"/>
        <v>0</v>
      </c>
      <c r="H1674">
        <v>1672</v>
      </c>
      <c r="I1674" s="1">
        <v>46631</v>
      </c>
      <c r="J1674">
        <f t="array" ref="J1674">INDEX($D$3:$D$62,MATCH(1, (YEAR(I1674)=YEAR($A$3:$A$62))*(MONTH(I1674)=MONTH($A$3:$A$62)),0))</f>
        <v>31442.596553601761</v>
      </c>
      <c r="K1674">
        <f t="array" ref="K1674">INDEX($G$3:$G$200,MATCH(1, (YEAR(I1674)=YEAR($A$3:$A$2000))*(MONTH(I1674)=MONTH($A$3:$A$2000)),0))</f>
        <v>46482.0881815057</v>
      </c>
      <c r="L1674">
        <f t="shared" si="53"/>
        <v>32447.322178624017</v>
      </c>
    </row>
    <row r="1675" spans="4:12" x14ac:dyDescent="0.25">
      <c r="D1675">
        <f t="shared" si="52"/>
        <v>0</v>
      </c>
      <c r="H1675">
        <v>1673</v>
      </c>
      <c r="I1675" s="1">
        <v>46632</v>
      </c>
      <c r="J1675">
        <f t="array" ref="J1675">INDEX($D$3:$D$62,MATCH(1, (YEAR(I1675)=YEAR($A$3:$A$62))*(MONTH(I1675)=MONTH($A$3:$A$62)),0))</f>
        <v>31442.596553601761</v>
      </c>
      <c r="K1675">
        <f t="array" ref="K1675">INDEX($G$3:$G$200,MATCH(1, (YEAR(I1675)=YEAR($A$3:$A$2000))*(MONTH(I1675)=MONTH($A$3:$A$2000)),0))</f>
        <v>46482.0881815057</v>
      </c>
      <c r="L1675">
        <f t="shared" si="53"/>
        <v>32423.430745137011</v>
      </c>
    </row>
    <row r="1676" spans="4:12" x14ac:dyDescent="0.25">
      <c r="D1676">
        <f t="shared" si="52"/>
        <v>0</v>
      </c>
      <c r="H1676">
        <v>1674</v>
      </c>
      <c r="I1676" s="1">
        <v>46633</v>
      </c>
      <c r="J1676">
        <f t="array" ref="J1676">INDEX($D$3:$D$62,MATCH(1, (YEAR(I1676)=YEAR($A$3:$A$62))*(MONTH(I1676)=MONTH($A$3:$A$62)),0))</f>
        <v>31442.596553601761</v>
      </c>
      <c r="K1676">
        <f t="array" ref="K1676">INDEX($G$3:$G$200,MATCH(1, (YEAR(I1676)=YEAR($A$3:$A$2000))*(MONTH(I1676)=MONTH($A$3:$A$2000)),0))</f>
        <v>46482.0881815057</v>
      </c>
      <c r="L1676">
        <f t="shared" si="53"/>
        <v>32399.556667103985</v>
      </c>
    </row>
    <row r="1677" spans="4:12" x14ac:dyDescent="0.25">
      <c r="D1677">
        <f t="shared" si="52"/>
        <v>0</v>
      </c>
      <c r="H1677">
        <v>1675</v>
      </c>
      <c r="I1677" s="1">
        <v>46634</v>
      </c>
      <c r="J1677">
        <f t="array" ref="J1677">INDEX($D$3:$D$62,MATCH(1, (YEAR(I1677)=YEAR($A$3:$A$62))*(MONTH(I1677)=MONTH($A$3:$A$62)),0))</f>
        <v>31442.596553601761</v>
      </c>
      <c r="K1677">
        <f t="array" ref="K1677">INDEX($G$3:$G$200,MATCH(1, (YEAR(I1677)=YEAR($A$3:$A$2000))*(MONTH(I1677)=MONTH($A$3:$A$2000)),0))</f>
        <v>46482.0881815057</v>
      </c>
      <c r="L1677">
        <f t="shared" si="53"/>
        <v>32375.700003859005</v>
      </c>
    </row>
    <row r="1678" spans="4:12" x14ac:dyDescent="0.25">
      <c r="D1678">
        <f t="shared" si="52"/>
        <v>0</v>
      </c>
      <c r="H1678">
        <v>1676</v>
      </c>
      <c r="I1678" s="1">
        <v>46635</v>
      </c>
      <c r="J1678">
        <f t="array" ref="J1678">INDEX($D$3:$D$62,MATCH(1, (YEAR(I1678)=YEAR($A$3:$A$62))*(MONTH(I1678)=MONTH($A$3:$A$62)),0))</f>
        <v>31442.596553601761</v>
      </c>
      <c r="K1678">
        <f t="array" ref="K1678">INDEX($G$3:$G$200,MATCH(1, (YEAR(I1678)=YEAR($A$3:$A$2000))*(MONTH(I1678)=MONTH($A$3:$A$2000)),0))</f>
        <v>46482.0881815057</v>
      </c>
      <c r="L1678">
        <f t="shared" si="53"/>
        <v>32351.860815023974</v>
      </c>
    </row>
    <row r="1679" spans="4:12" x14ac:dyDescent="0.25">
      <c r="D1679">
        <f t="shared" si="52"/>
        <v>0</v>
      </c>
      <c r="H1679">
        <v>1677</v>
      </c>
      <c r="I1679" s="1">
        <v>46636</v>
      </c>
      <c r="J1679">
        <f t="array" ref="J1679">INDEX($D$3:$D$62,MATCH(1, (YEAR(I1679)=YEAR($A$3:$A$62))*(MONTH(I1679)=MONTH($A$3:$A$62)),0))</f>
        <v>31442.596553601761</v>
      </c>
      <c r="K1679">
        <f t="array" ref="K1679">INDEX($G$3:$G$200,MATCH(1, (YEAR(I1679)=YEAR($A$3:$A$2000))*(MONTH(I1679)=MONTH($A$3:$A$2000)),0))</f>
        <v>46482.0881815057</v>
      </c>
      <c r="L1679">
        <f t="shared" si="53"/>
        <v>32328.039160508954</v>
      </c>
    </row>
    <row r="1680" spans="4:12" x14ac:dyDescent="0.25">
      <c r="D1680">
        <f t="shared" si="52"/>
        <v>0</v>
      </c>
      <c r="H1680">
        <v>1678</v>
      </c>
      <c r="I1680" s="1">
        <v>46637</v>
      </c>
      <c r="J1680">
        <f t="array" ref="J1680">INDEX($D$3:$D$62,MATCH(1, (YEAR(I1680)=YEAR($A$3:$A$62))*(MONTH(I1680)=MONTH($A$3:$A$62)),0))</f>
        <v>31442.596553601761</v>
      </c>
      <c r="K1680">
        <f t="array" ref="K1680">INDEX($G$3:$G$200,MATCH(1, (YEAR(I1680)=YEAR($A$3:$A$2000))*(MONTH(I1680)=MONTH($A$3:$A$2000)),0))</f>
        <v>46482.0881815057</v>
      </c>
      <c r="L1680">
        <f t="shared" si="53"/>
        <v>32304.235100511985</v>
      </c>
    </row>
    <row r="1681" spans="4:12" x14ac:dyDescent="0.25">
      <c r="D1681">
        <f t="shared" si="52"/>
        <v>0</v>
      </c>
      <c r="H1681">
        <v>1679</v>
      </c>
      <c r="I1681" s="1">
        <v>46638</v>
      </c>
      <c r="J1681">
        <f t="array" ref="J1681">INDEX($D$3:$D$62,MATCH(1, (YEAR(I1681)=YEAR($A$3:$A$62))*(MONTH(I1681)=MONTH($A$3:$A$62)),0))</f>
        <v>31442.596553601761</v>
      </c>
      <c r="K1681">
        <f t="array" ref="K1681">INDEX($G$3:$G$200,MATCH(1, (YEAR(I1681)=YEAR($A$3:$A$2000))*(MONTH(I1681)=MONTH($A$3:$A$2000)),0))</f>
        <v>46482.0881815057</v>
      </c>
      <c r="L1681">
        <f t="shared" si="53"/>
        <v>32280.448695518979</v>
      </c>
    </row>
    <row r="1682" spans="4:12" x14ac:dyDescent="0.25">
      <c r="D1682">
        <f t="shared" si="52"/>
        <v>0</v>
      </c>
      <c r="H1682">
        <v>1680</v>
      </c>
      <c r="I1682" s="1">
        <v>46639</v>
      </c>
      <c r="J1682">
        <f t="array" ref="J1682">INDEX($D$3:$D$62,MATCH(1, (YEAR(I1682)=YEAR($A$3:$A$62))*(MONTH(I1682)=MONTH($A$3:$A$62)),0))</f>
        <v>31442.596553601761</v>
      </c>
      <c r="K1682">
        <f t="array" ref="K1682">INDEX($G$3:$G$200,MATCH(1, (YEAR(I1682)=YEAR($A$3:$A$2000))*(MONTH(I1682)=MONTH($A$3:$A$2000)),0))</f>
        <v>46482.0881815057</v>
      </c>
      <c r="L1682">
        <f t="shared" si="53"/>
        <v>32256.680006304057</v>
      </c>
    </row>
    <row r="1683" spans="4:12" x14ac:dyDescent="0.25">
      <c r="D1683">
        <f t="shared" si="52"/>
        <v>0</v>
      </c>
      <c r="H1683">
        <v>1681</v>
      </c>
      <c r="I1683" s="1">
        <v>46640</v>
      </c>
      <c r="J1683">
        <f t="array" ref="J1683">INDEX($D$3:$D$62,MATCH(1, (YEAR(I1683)=YEAR($A$3:$A$62))*(MONTH(I1683)=MONTH($A$3:$A$62)),0))</f>
        <v>31442.596553601761</v>
      </c>
      <c r="K1683">
        <f t="array" ref="K1683">INDEX($G$3:$G$200,MATCH(1, (YEAR(I1683)=YEAR($A$3:$A$2000))*(MONTH(I1683)=MONTH($A$3:$A$2000)),0))</f>
        <v>46482.0881815057</v>
      </c>
      <c r="L1683">
        <f t="shared" si="53"/>
        <v>32232.929093928949</v>
      </c>
    </row>
    <row r="1684" spans="4:12" x14ac:dyDescent="0.25">
      <c r="D1684">
        <f t="shared" si="52"/>
        <v>0</v>
      </c>
      <c r="H1684">
        <v>1682</v>
      </c>
      <c r="I1684" s="1">
        <v>46641</v>
      </c>
      <c r="J1684">
        <f t="array" ref="J1684">INDEX($D$3:$D$62,MATCH(1, (YEAR(I1684)=YEAR($A$3:$A$62))*(MONTH(I1684)=MONTH($A$3:$A$62)),0))</f>
        <v>31442.596553601761</v>
      </c>
      <c r="K1684">
        <f t="array" ref="K1684">INDEX($G$3:$G$200,MATCH(1, (YEAR(I1684)=YEAR($A$3:$A$2000))*(MONTH(I1684)=MONTH($A$3:$A$2000)),0))</f>
        <v>46482.0881815057</v>
      </c>
      <c r="L1684">
        <f t="shared" si="53"/>
        <v>32209.196019744035</v>
      </c>
    </row>
    <row r="1685" spans="4:12" x14ac:dyDescent="0.25">
      <c r="D1685">
        <f t="shared" si="52"/>
        <v>0</v>
      </c>
      <c r="H1685">
        <v>1683</v>
      </c>
      <c r="I1685" s="1">
        <v>46642</v>
      </c>
      <c r="J1685">
        <f t="array" ref="J1685">INDEX($D$3:$D$62,MATCH(1, (YEAR(I1685)=YEAR($A$3:$A$62))*(MONTH(I1685)=MONTH($A$3:$A$62)),0))</f>
        <v>31442.596553601761</v>
      </c>
      <c r="K1685">
        <f t="array" ref="K1685">INDEX($G$3:$G$200,MATCH(1, (YEAR(I1685)=YEAR($A$3:$A$2000))*(MONTH(I1685)=MONTH($A$3:$A$2000)),0))</f>
        <v>46482.0881815057</v>
      </c>
      <c r="L1685">
        <f t="shared" si="53"/>
        <v>32185.480845386977</v>
      </c>
    </row>
    <row r="1686" spans="4:12" x14ac:dyDescent="0.25">
      <c r="D1686">
        <f t="shared" si="52"/>
        <v>0</v>
      </c>
      <c r="H1686">
        <v>1684</v>
      </c>
      <c r="I1686" s="1">
        <v>46643</v>
      </c>
      <c r="J1686">
        <f t="array" ref="J1686">INDEX($D$3:$D$62,MATCH(1, (YEAR(I1686)=YEAR($A$3:$A$62))*(MONTH(I1686)=MONTH($A$3:$A$62)),0))</f>
        <v>31442.596553601761</v>
      </c>
      <c r="K1686">
        <f t="array" ref="K1686">INDEX($G$3:$G$200,MATCH(1, (YEAR(I1686)=YEAR($A$3:$A$2000))*(MONTH(I1686)=MONTH($A$3:$A$2000)),0))</f>
        <v>46482.0881815057</v>
      </c>
      <c r="L1686">
        <f t="shared" si="53"/>
        <v>32161.783632784005</v>
      </c>
    </row>
    <row r="1687" spans="4:12" x14ac:dyDescent="0.25">
      <c r="D1687">
        <f t="shared" si="52"/>
        <v>0</v>
      </c>
      <c r="H1687">
        <v>1685</v>
      </c>
      <c r="I1687" s="1">
        <v>46644</v>
      </c>
      <c r="J1687">
        <f t="array" ref="J1687">INDEX($D$3:$D$62,MATCH(1, (YEAR(I1687)=YEAR($A$3:$A$62))*(MONTH(I1687)=MONTH($A$3:$A$62)),0))</f>
        <v>31442.596553601761</v>
      </c>
      <c r="K1687">
        <f t="array" ref="K1687">INDEX($G$3:$G$200,MATCH(1, (YEAR(I1687)=YEAR($A$3:$A$2000))*(MONTH(I1687)=MONTH($A$3:$A$2000)),0))</f>
        <v>46482.0881815057</v>
      </c>
      <c r="L1687">
        <f t="shared" si="53"/>
        <v>32138.10444414895</v>
      </c>
    </row>
    <row r="1688" spans="4:12" x14ac:dyDescent="0.25">
      <c r="D1688">
        <f t="shared" si="52"/>
        <v>0</v>
      </c>
      <c r="H1688">
        <v>1686</v>
      </c>
      <c r="I1688" s="1">
        <v>46645</v>
      </c>
      <c r="J1688">
        <f t="array" ref="J1688">INDEX($D$3:$D$62,MATCH(1, (YEAR(I1688)=YEAR($A$3:$A$62))*(MONTH(I1688)=MONTH($A$3:$A$62)),0))</f>
        <v>31442.596553601761</v>
      </c>
      <c r="K1688">
        <f t="array" ref="K1688">INDEX($G$3:$G$200,MATCH(1, (YEAR(I1688)=YEAR($A$3:$A$2000))*(MONTH(I1688)=MONTH($A$3:$A$2000)),0))</f>
        <v>46482.0881815057</v>
      </c>
      <c r="L1688">
        <f t="shared" si="53"/>
        <v>32114.443341983977</v>
      </c>
    </row>
    <row r="1689" spans="4:12" x14ac:dyDescent="0.25">
      <c r="D1689">
        <f t="shared" si="52"/>
        <v>0</v>
      </c>
      <c r="H1689">
        <v>1687</v>
      </c>
      <c r="I1689" s="1">
        <v>46646</v>
      </c>
      <c r="J1689">
        <f t="array" ref="J1689">INDEX($D$3:$D$62,MATCH(1, (YEAR(I1689)=YEAR($A$3:$A$62))*(MONTH(I1689)=MONTH($A$3:$A$62)),0))</f>
        <v>31442.596553601761</v>
      </c>
      <c r="K1689">
        <f t="array" ref="K1689">INDEX($G$3:$G$200,MATCH(1, (YEAR(I1689)=YEAR($A$3:$A$2000))*(MONTH(I1689)=MONTH($A$3:$A$2000)),0))</f>
        <v>46482.0881815057</v>
      </c>
      <c r="L1689">
        <f t="shared" si="53"/>
        <v>32090.800389078911</v>
      </c>
    </row>
    <row r="1690" spans="4:12" x14ac:dyDescent="0.25">
      <c r="D1690">
        <f t="shared" si="52"/>
        <v>0</v>
      </c>
      <c r="H1690">
        <v>1688</v>
      </c>
      <c r="I1690" s="1">
        <v>46647</v>
      </c>
      <c r="J1690">
        <f t="array" ref="J1690">INDEX($D$3:$D$62,MATCH(1, (YEAR(I1690)=YEAR($A$3:$A$62))*(MONTH(I1690)=MONTH($A$3:$A$62)),0))</f>
        <v>31442.596553601761</v>
      </c>
      <c r="K1690">
        <f t="array" ref="K1690">INDEX($G$3:$G$200,MATCH(1, (YEAR(I1690)=YEAR($A$3:$A$2000))*(MONTH(I1690)=MONTH($A$3:$A$2000)),0))</f>
        <v>46482.0881815057</v>
      </c>
      <c r="L1690">
        <f t="shared" si="53"/>
        <v>32067.175648511999</v>
      </c>
    </row>
    <row r="1691" spans="4:12" x14ac:dyDescent="0.25">
      <c r="D1691">
        <f t="shared" si="52"/>
        <v>0</v>
      </c>
      <c r="H1691">
        <v>1689</v>
      </c>
      <c r="I1691" s="1">
        <v>46648</v>
      </c>
      <c r="J1691">
        <f t="array" ref="J1691">INDEX($D$3:$D$62,MATCH(1, (YEAR(I1691)=YEAR($A$3:$A$62))*(MONTH(I1691)=MONTH($A$3:$A$62)),0))</f>
        <v>31442.596553601761</v>
      </c>
      <c r="K1691">
        <f t="array" ref="K1691">INDEX($G$3:$G$200,MATCH(1, (YEAR(I1691)=YEAR($A$3:$A$2000))*(MONTH(I1691)=MONTH($A$3:$A$2000)),0))</f>
        <v>46482.0881815057</v>
      </c>
      <c r="L1691">
        <f t="shared" si="53"/>
        <v>32043.56918364903</v>
      </c>
    </row>
    <row r="1692" spans="4:12" x14ac:dyDescent="0.25">
      <c r="D1692">
        <f t="shared" si="52"/>
        <v>0</v>
      </c>
      <c r="H1692">
        <v>1690</v>
      </c>
      <c r="I1692" s="1">
        <v>46649</v>
      </c>
      <c r="J1692">
        <f t="array" ref="J1692">INDEX($D$3:$D$62,MATCH(1, (YEAR(I1692)=YEAR($A$3:$A$62))*(MONTH(I1692)=MONTH($A$3:$A$62)),0))</f>
        <v>31442.596553601761</v>
      </c>
      <c r="K1692">
        <f t="array" ref="K1692">INDEX($G$3:$G$200,MATCH(1, (YEAR(I1692)=YEAR($A$3:$A$2000))*(MONTH(I1692)=MONTH($A$3:$A$2000)),0))</f>
        <v>46482.0881815057</v>
      </c>
      <c r="L1692">
        <f t="shared" si="53"/>
        <v>32019.981058143952</v>
      </c>
    </row>
    <row r="1693" spans="4:12" x14ac:dyDescent="0.25">
      <c r="D1693">
        <f t="shared" si="52"/>
        <v>0</v>
      </c>
      <c r="H1693">
        <v>1691</v>
      </c>
      <c r="I1693" s="1">
        <v>46650</v>
      </c>
      <c r="J1693">
        <f t="array" ref="J1693">INDEX($D$3:$D$62,MATCH(1, (YEAR(I1693)=YEAR($A$3:$A$62))*(MONTH(I1693)=MONTH($A$3:$A$62)),0))</f>
        <v>31442.596553601761</v>
      </c>
      <c r="K1693">
        <f t="array" ref="K1693">INDEX($G$3:$G$200,MATCH(1, (YEAR(I1693)=YEAR($A$3:$A$2000))*(MONTH(I1693)=MONTH($A$3:$A$2000)),0))</f>
        <v>46482.0881815057</v>
      </c>
      <c r="L1693">
        <f t="shared" si="53"/>
        <v>31996.411335938959</v>
      </c>
    </row>
    <row r="1694" spans="4:12" x14ac:dyDescent="0.25">
      <c r="D1694">
        <f t="shared" si="52"/>
        <v>0</v>
      </c>
      <c r="H1694">
        <v>1692</v>
      </c>
      <c r="I1694" s="1">
        <v>46651</v>
      </c>
      <c r="J1694">
        <f t="array" ref="J1694">INDEX($D$3:$D$62,MATCH(1, (YEAR(I1694)=YEAR($A$3:$A$62))*(MONTH(I1694)=MONTH($A$3:$A$62)),0))</f>
        <v>31442.596553601761</v>
      </c>
      <c r="K1694">
        <f t="array" ref="K1694">INDEX($G$3:$G$200,MATCH(1, (YEAR(I1694)=YEAR($A$3:$A$2000))*(MONTH(I1694)=MONTH($A$3:$A$2000)),0))</f>
        <v>46482.0881815057</v>
      </c>
      <c r="L1694">
        <f t="shared" si="53"/>
        <v>31972.860081263992</v>
      </c>
    </row>
    <row r="1695" spans="4:12" x14ac:dyDescent="0.25">
      <c r="D1695">
        <f t="shared" si="52"/>
        <v>0</v>
      </c>
      <c r="H1695">
        <v>1693</v>
      </c>
      <c r="I1695" s="1">
        <v>46652</v>
      </c>
      <c r="J1695">
        <f t="array" ref="J1695">INDEX($D$3:$D$62,MATCH(1, (YEAR(I1695)=YEAR($A$3:$A$62))*(MONTH(I1695)=MONTH($A$3:$A$62)),0))</f>
        <v>31442.596553601761</v>
      </c>
      <c r="K1695">
        <f t="array" ref="K1695">INDEX($G$3:$G$200,MATCH(1, (YEAR(I1695)=YEAR($A$3:$A$2000))*(MONTH(I1695)=MONTH($A$3:$A$2000)),0))</f>
        <v>46482.0881815057</v>
      </c>
      <c r="L1695">
        <f t="shared" si="53"/>
        <v>31949.327358636947</v>
      </c>
    </row>
    <row r="1696" spans="4:12" x14ac:dyDescent="0.25">
      <c r="D1696">
        <f t="shared" si="52"/>
        <v>0</v>
      </c>
      <c r="H1696">
        <v>1694</v>
      </c>
      <c r="I1696" s="1">
        <v>46653</v>
      </c>
      <c r="J1696">
        <f t="array" ref="J1696">INDEX($D$3:$D$62,MATCH(1, (YEAR(I1696)=YEAR($A$3:$A$62))*(MONTH(I1696)=MONTH($A$3:$A$62)),0))</f>
        <v>31442.596553601761</v>
      </c>
      <c r="K1696">
        <f t="array" ref="K1696">INDEX($G$3:$G$200,MATCH(1, (YEAR(I1696)=YEAR($A$3:$A$2000))*(MONTH(I1696)=MONTH($A$3:$A$2000)),0))</f>
        <v>46482.0881815057</v>
      </c>
      <c r="L1696">
        <f t="shared" si="53"/>
        <v>31925.813232863904</v>
      </c>
    </row>
    <row r="1697" spans="4:12" x14ac:dyDescent="0.25">
      <c r="D1697">
        <f t="shared" si="52"/>
        <v>0</v>
      </c>
      <c r="H1697">
        <v>1695</v>
      </c>
      <c r="I1697" s="1">
        <v>46654</v>
      </c>
      <c r="J1697">
        <f t="array" ref="J1697">INDEX($D$3:$D$62,MATCH(1, (YEAR(I1697)=YEAR($A$3:$A$62))*(MONTH(I1697)=MONTH($A$3:$A$62)),0))</f>
        <v>31442.596553601761</v>
      </c>
      <c r="K1697">
        <f t="array" ref="K1697">INDEX($G$3:$G$200,MATCH(1, (YEAR(I1697)=YEAR($A$3:$A$2000))*(MONTH(I1697)=MONTH($A$3:$A$2000)),0))</f>
        <v>46482.0881815057</v>
      </c>
      <c r="L1697">
        <f t="shared" si="53"/>
        <v>31902.317769038957</v>
      </c>
    </row>
    <row r="1698" spans="4:12" x14ac:dyDescent="0.25">
      <c r="D1698">
        <f t="shared" si="52"/>
        <v>0</v>
      </c>
      <c r="H1698">
        <v>1696</v>
      </c>
      <c r="I1698" s="1">
        <v>46655</v>
      </c>
      <c r="J1698">
        <f t="array" ref="J1698">INDEX($D$3:$D$62,MATCH(1, (YEAR(I1698)=YEAR($A$3:$A$62))*(MONTH(I1698)=MONTH($A$3:$A$62)),0))</f>
        <v>31442.596553601761</v>
      </c>
      <c r="K1698">
        <f t="array" ref="K1698">INDEX($G$3:$G$200,MATCH(1, (YEAR(I1698)=YEAR($A$3:$A$2000))*(MONTH(I1698)=MONTH($A$3:$A$2000)),0))</f>
        <v>46482.0881815057</v>
      </c>
      <c r="L1698">
        <f t="shared" si="53"/>
        <v>31878.841032543976</v>
      </c>
    </row>
    <row r="1699" spans="4:12" x14ac:dyDescent="0.25">
      <c r="D1699">
        <f t="shared" si="52"/>
        <v>0</v>
      </c>
      <c r="H1699">
        <v>1697</v>
      </c>
      <c r="I1699" s="1">
        <v>46656</v>
      </c>
      <c r="J1699">
        <f t="array" ref="J1699">INDEX($D$3:$D$62,MATCH(1, (YEAR(I1699)=YEAR($A$3:$A$62))*(MONTH(I1699)=MONTH($A$3:$A$62)),0))</f>
        <v>31442.596553601761</v>
      </c>
      <c r="K1699">
        <f t="array" ref="K1699">INDEX($G$3:$G$200,MATCH(1, (YEAR(I1699)=YEAR($A$3:$A$2000))*(MONTH(I1699)=MONTH($A$3:$A$2000)),0))</f>
        <v>46482.0881815057</v>
      </c>
      <c r="L1699">
        <f t="shared" si="53"/>
        <v>31855.383089048963</v>
      </c>
    </row>
    <row r="1700" spans="4:12" x14ac:dyDescent="0.25">
      <c r="D1700">
        <f t="shared" si="52"/>
        <v>0</v>
      </c>
      <c r="H1700">
        <v>1698</v>
      </c>
      <c r="I1700" s="1">
        <v>46657</v>
      </c>
      <c r="J1700">
        <f t="array" ref="J1700">INDEX($D$3:$D$62,MATCH(1, (YEAR(I1700)=YEAR($A$3:$A$62))*(MONTH(I1700)=MONTH($A$3:$A$62)),0))</f>
        <v>31442.596553601761</v>
      </c>
      <c r="K1700">
        <f t="array" ref="K1700">INDEX($G$3:$G$200,MATCH(1, (YEAR(I1700)=YEAR($A$3:$A$2000))*(MONTH(I1700)=MONTH($A$3:$A$2000)),0))</f>
        <v>46482.0881815057</v>
      </c>
      <c r="L1700">
        <f t="shared" si="53"/>
        <v>31831.944004511985</v>
      </c>
    </row>
    <row r="1701" spans="4:12" x14ac:dyDescent="0.25">
      <c r="D1701">
        <f t="shared" si="52"/>
        <v>0</v>
      </c>
      <c r="H1701">
        <v>1699</v>
      </c>
      <c r="I1701" s="1">
        <v>46658</v>
      </c>
      <c r="J1701">
        <f t="array" ref="J1701">INDEX($D$3:$D$62,MATCH(1, (YEAR(I1701)=YEAR($A$3:$A$62))*(MONTH(I1701)=MONTH($A$3:$A$62)),0))</f>
        <v>31442.596553601761</v>
      </c>
      <c r="K1701">
        <f t="array" ref="K1701">INDEX($G$3:$G$200,MATCH(1, (YEAR(I1701)=YEAR($A$3:$A$2000))*(MONTH(I1701)=MONTH($A$3:$A$2000)),0))</f>
        <v>46482.0881815057</v>
      </c>
      <c r="L1701">
        <f t="shared" si="53"/>
        <v>31808.523845179006</v>
      </c>
    </row>
    <row r="1702" spans="4:12" x14ac:dyDescent="0.25">
      <c r="D1702">
        <f t="shared" si="52"/>
        <v>0</v>
      </c>
      <c r="H1702">
        <v>1700</v>
      </c>
      <c r="I1702" s="1">
        <v>46659</v>
      </c>
      <c r="J1702">
        <f t="array" ref="J1702">INDEX($D$3:$D$62,MATCH(1, (YEAR(I1702)=YEAR($A$3:$A$62))*(MONTH(I1702)=MONTH($A$3:$A$62)),0))</f>
        <v>31442.596553601761</v>
      </c>
      <c r="K1702">
        <f t="array" ref="K1702">INDEX($G$3:$G$200,MATCH(1, (YEAR(I1702)=YEAR($A$3:$A$2000))*(MONTH(I1702)=MONTH($A$3:$A$2000)),0))</f>
        <v>46482.0881815057</v>
      </c>
      <c r="L1702">
        <f t="shared" si="53"/>
        <v>31785.122677584004</v>
      </c>
    </row>
    <row r="1703" spans="4:12" x14ac:dyDescent="0.25">
      <c r="D1703">
        <f t="shared" si="52"/>
        <v>0</v>
      </c>
      <c r="H1703">
        <v>1701</v>
      </c>
      <c r="I1703" s="1">
        <v>46660</v>
      </c>
      <c r="J1703">
        <f t="array" ref="J1703">INDEX($D$3:$D$62,MATCH(1, (YEAR(I1703)=YEAR($A$3:$A$62))*(MONTH(I1703)=MONTH($A$3:$A$62)),0))</f>
        <v>31442.596553601761</v>
      </c>
      <c r="K1703">
        <f t="array" ref="K1703">INDEX($G$3:$G$200,MATCH(1, (YEAR(I1703)=YEAR($A$3:$A$2000))*(MONTH(I1703)=MONTH($A$3:$A$2000)),0))</f>
        <v>46482.0881815057</v>
      </c>
      <c r="L1703">
        <f t="shared" si="53"/>
        <v>31761.740568548965</v>
      </c>
    </row>
    <row r="1704" spans="4:12" x14ac:dyDescent="0.25">
      <c r="D1704">
        <f t="shared" si="52"/>
        <v>0</v>
      </c>
      <c r="H1704">
        <v>1702</v>
      </c>
      <c r="I1704" s="1">
        <v>46661</v>
      </c>
      <c r="J1704">
        <f t="array" ref="J1704">INDEX($D$3:$D$62,MATCH(1, (YEAR(I1704)=YEAR($A$3:$A$62))*(MONTH(I1704)=MONTH($A$3:$A$62)),0))</f>
        <v>30913.793558542347</v>
      </c>
      <c r="K1704">
        <f t="array" ref="K1704">INDEX($G$3:$G$200,MATCH(1, (YEAR(I1704)=YEAR($A$3:$A$2000))*(MONTH(I1704)=MONTH($A$3:$A$2000)),0))</f>
        <v>45547.270469263931</v>
      </c>
      <c r="L1704">
        <f t="shared" si="53"/>
        <v>31738.377585183975</v>
      </c>
    </row>
    <row r="1705" spans="4:12" x14ac:dyDescent="0.25">
      <c r="D1705">
        <f t="shared" si="52"/>
        <v>0</v>
      </c>
      <c r="H1705">
        <v>1703</v>
      </c>
      <c r="I1705" s="1">
        <v>46662</v>
      </c>
      <c r="J1705">
        <f t="array" ref="J1705">INDEX($D$3:$D$62,MATCH(1, (YEAR(I1705)=YEAR($A$3:$A$62))*(MONTH(I1705)=MONTH($A$3:$A$62)),0))</f>
        <v>30913.793558542347</v>
      </c>
      <c r="K1705">
        <f t="array" ref="K1705">INDEX($G$3:$G$200,MATCH(1, (YEAR(I1705)=YEAR($A$3:$A$2000))*(MONTH(I1705)=MONTH($A$3:$A$2000)),0))</f>
        <v>45547.270469263931</v>
      </c>
      <c r="L1705">
        <f t="shared" si="53"/>
        <v>31715.033794886986</v>
      </c>
    </row>
    <row r="1706" spans="4:12" x14ac:dyDescent="0.25">
      <c r="D1706">
        <f t="shared" si="52"/>
        <v>0</v>
      </c>
      <c r="H1706">
        <v>1704</v>
      </c>
      <c r="I1706" s="1">
        <v>46663</v>
      </c>
      <c r="J1706">
        <f t="array" ref="J1706">INDEX($D$3:$D$62,MATCH(1, (YEAR(I1706)=YEAR($A$3:$A$62))*(MONTH(I1706)=MONTH($A$3:$A$62)),0))</f>
        <v>30913.793558542347</v>
      </c>
      <c r="K1706">
        <f t="array" ref="K1706">INDEX($G$3:$G$200,MATCH(1, (YEAR(I1706)=YEAR($A$3:$A$2000))*(MONTH(I1706)=MONTH($A$3:$A$2000)),0))</f>
        <v>45547.270469263931</v>
      </c>
      <c r="L1706">
        <f t="shared" si="53"/>
        <v>31691.70926534399</v>
      </c>
    </row>
    <row r="1707" spans="4:12" x14ac:dyDescent="0.25">
      <c r="D1707">
        <f t="shared" si="52"/>
        <v>0</v>
      </c>
      <c r="H1707">
        <v>1705</v>
      </c>
      <c r="I1707" s="1">
        <v>46664</v>
      </c>
      <c r="J1707">
        <f t="array" ref="J1707">INDEX($D$3:$D$62,MATCH(1, (YEAR(I1707)=YEAR($A$3:$A$62))*(MONTH(I1707)=MONTH($A$3:$A$62)),0))</f>
        <v>30913.793558542347</v>
      </c>
      <c r="K1707">
        <f t="array" ref="K1707">INDEX($G$3:$G$200,MATCH(1, (YEAR(I1707)=YEAR($A$3:$A$2000))*(MONTH(I1707)=MONTH($A$3:$A$2000)),0))</f>
        <v>45547.270469263931</v>
      </c>
      <c r="L1707">
        <f t="shared" si="53"/>
        <v>31668.404064529052</v>
      </c>
    </row>
    <row r="1708" spans="4:12" x14ac:dyDescent="0.25">
      <c r="D1708">
        <f t="shared" si="52"/>
        <v>0</v>
      </c>
      <c r="H1708">
        <v>1706</v>
      </c>
      <c r="I1708" s="1">
        <v>46665</v>
      </c>
      <c r="J1708">
        <f t="array" ref="J1708">INDEX($D$3:$D$62,MATCH(1, (YEAR(I1708)=YEAR($A$3:$A$62))*(MONTH(I1708)=MONTH($A$3:$A$62)),0))</f>
        <v>30913.793558542347</v>
      </c>
      <c r="K1708">
        <f t="array" ref="K1708">INDEX($G$3:$G$200,MATCH(1, (YEAR(I1708)=YEAR($A$3:$A$2000))*(MONTH(I1708)=MONTH($A$3:$A$2000)),0))</f>
        <v>45547.270469263931</v>
      </c>
      <c r="L1708">
        <f t="shared" si="53"/>
        <v>31645.118260703981</v>
      </c>
    </row>
    <row r="1709" spans="4:12" x14ac:dyDescent="0.25">
      <c r="D1709">
        <f t="shared" si="52"/>
        <v>0</v>
      </c>
      <c r="H1709">
        <v>1707</v>
      </c>
      <c r="I1709" s="1">
        <v>46666</v>
      </c>
      <c r="J1709">
        <f t="array" ref="J1709">INDEX($D$3:$D$62,MATCH(1, (YEAR(I1709)=YEAR($A$3:$A$62))*(MONTH(I1709)=MONTH($A$3:$A$62)),0))</f>
        <v>30913.793558542347</v>
      </c>
      <c r="K1709">
        <f t="array" ref="K1709">INDEX($G$3:$G$200,MATCH(1, (YEAR(I1709)=YEAR($A$3:$A$2000))*(MONTH(I1709)=MONTH($A$3:$A$2000)),0))</f>
        <v>45547.270469263931</v>
      </c>
      <c r="L1709">
        <f t="shared" si="53"/>
        <v>31621.85192241898</v>
      </c>
    </row>
    <row r="1710" spans="4:12" x14ac:dyDescent="0.25">
      <c r="D1710">
        <f t="shared" si="52"/>
        <v>0</v>
      </c>
      <c r="H1710">
        <v>1708</v>
      </c>
      <c r="I1710" s="1">
        <v>46667</v>
      </c>
      <c r="J1710">
        <f t="array" ref="J1710">INDEX($D$3:$D$62,MATCH(1, (YEAR(I1710)=YEAR($A$3:$A$62))*(MONTH(I1710)=MONTH($A$3:$A$62)),0))</f>
        <v>30913.793558542347</v>
      </c>
      <c r="K1710">
        <f t="array" ref="K1710">INDEX($G$3:$G$200,MATCH(1, (YEAR(I1710)=YEAR($A$3:$A$2000))*(MONTH(I1710)=MONTH($A$3:$A$2000)),0))</f>
        <v>45547.270469263931</v>
      </c>
      <c r="L1710">
        <f t="shared" si="53"/>
        <v>31598.605118512001</v>
      </c>
    </row>
    <row r="1711" spans="4:12" x14ac:dyDescent="0.25">
      <c r="D1711">
        <f t="shared" si="52"/>
        <v>0</v>
      </c>
      <c r="H1711">
        <v>1709</v>
      </c>
      <c r="I1711" s="1">
        <v>46668</v>
      </c>
      <c r="J1711">
        <f t="array" ref="J1711">INDEX($D$3:$D$62,MATCH(1, (YEAR(I1711)=YEAR($A$3:$A$62))*(MONTH(I1711)=MONTH($A$3:$A$62)),0))</f>
        <v>30913.793558542347</v>
      </c>
      <c r="K1711">
        <f t="array" ref="K1711">INDEX($G$3:$G$200,MATCH(1, (YEAR(I1711)=YEAR($A$3:$A$2000))*(MONTH(I1711)=MONTH($A$3:$A$2000)),0))</f>
        <v>45547.270469263931</v>
      </c>
      <c r="L1711">
        <f t="shared" si="53"/>
        <v>31575.377918108949</v>
      </c>
    </row>
    <row r="1712" spans="4:12" x14ac:dyDescent="0.25">
      <c r="D1712">
        <f t="shared" si="52"/>
        <v>0</v>
      </c>
      <c r="H1712">
        <v>1710</v>
      </c>
      <c r="I1712" s="1">
        <v>46669</v>
      </c>
      <c r="J1712">
        <f t="array" ref="J1712">INDEX($D$3:$D$62,MATCH(1, (YEAR(I1712)=YEAR($A$3:$A$62))*(MONTH(I1712)=MONTH($A$3:$A$62)),0))</f>
        <v>30913.793558542347</v>
      </c>
      <c r="K1712">
        <f t="array" ref="K1712">INDEX($G$3:$G$200,MATCH(1, (YEAR(I1712)=YEAR($A$3:$A$2000))*(MONTH(I1712)=MONTH($A$3:$A$2000)),0))</f>
        <v>45547.270469263931</v>
      </c>
      <c r="L1712">
        <f t="shared" si="53"/>
        <v>31552.170390623913</v>
      </c>
    </row>
    <row r="1713" spans="4:12" x14ac:dyDescent="0.25">
      <c r="D1713">
        <f t="shared" si="52"/>
        <v>0</v>
      </c>
      <c r="H1713">
        <v>1711</v>
      </c>
      <c r="I1713" s="1">
        <v>46670</v>
      </c>
      <c r="J1713">
        <f t="array" ref="J1713">INDEX($D$3:$D$62,MATCH(1, (YEAR(I1713)=YEAR($A$3:$A$62))*(MONTH(I1713)=MONTH($A$3:$A$62)),0))</f>
        <v>30913.793558542347</v>
      </c>
      <c r="K1713">
        <f t="array" ref="K1713">INDEX($G$3:$G$200,MATCH(1, (YEAR(I1713)=YEAR($A$3:$A$2000))*(MONTH(I1713)=MONTH($A$3:$A$2000)),0))</f>
        <v>45547.270469263931</v>
      </c>
      <c r="L1713">
        <f t="shared" si="53"/>
        <v>31528.982605759054</v>
      </c>
    </row>
    <row r="1714" spans="4:12" x14ac:dyDescent="0.25">
      <c r="D1714">
        <f t="shared" si="52"/>
        <v>0</v>
      </c>
      <c r="H1714">
        <v>1712</v>
      </c>
      <c r="I1714" s="1">
        <v>46671</v>
      </c>
      <c r="J1714">
        <f t="array" ref="J1714">INDEX($D$3:$D$62,MATCH(1, (YEAR(I1714)=YEAR($A$3:$A$62))*(MONTH(I1714)=MONTH($A$3:$A$62)),0))</f>
        <v>30913.793558542347</v>
      </c>
      <c r="K1714">
        <f t="array" ref="K1714">INDEX($G$3:$G$200,MATCH(1, (YEAR(I1714)=YEAR($A$3:$A$2000))*(MONTH(I1714)=MONTH($A$3:$A$2000)),0))</f>
        <v>45547.270469263931</v>
      </c>
      <c r="L1714">
        <f t="shared" si="53"/>
        <v>31505.814633504022</v>
      </c>
    </row>
    <row r="1715" spans="4:12" x14ac:dyDescent="0.25">
      <c r="D1715">
        <f t="shared" si="52"/>
        <v>0</v>
      </c>
      <c r="H1715">
        <v>1713</v>
      </c>
      <c r="I1715" s="1">
        <v>46672</v>
      </c>
      <c r="J1715">
        <f t="array" ref="J1715">INDEX($D$3:$D$62,MATCH(1, (YEAR(I1715)=YEAR($A$3:$A$62))*(MONTH(I1715)=MONTH($A$3:$A$62)),0))</f>
        <v>30913.793558542347</v>
      </c>
      <c r="K1715">
        <f t="array" ref="K1715">INDEX($G$3:$G$200,MATCH(1, (YEAR(I1715)=YEAR($A$3:$A$2000))*(MONTH(I1715)=MONTH($A$3:$A$2000)),0))</f>
        <v>45547.270469263931</v>
      </c>
      <c r="L1715">
        <f t="shared" si="53"/>
        <v>31482.666544136999</v>
      </c>
    </row>
    <row r="1716" spans="4:12" x14ac:dyDescent="0.25">
      <c r="D1716">
        <f t="shared" si="52"/>
        <v>0</v>
      </c>
      <c r="H1716">
        <v>1714</v>
      </c>
      <c r="I1716" s="1">
        <v>46673</v>
      </c>
      <c r="J1716">
        <f t="array" ref="J1716">INDEX($D$3:$D$62,MATCH(1, (YEAR(I1716)=YEAR($A$3:$A$62))*(MONTH(I1716)=MONTH($A$3:$A$62)),0))</f>
        <v>30913.793558542347</v>
      </c>
      <c r="K1716">
        <f t="array" ref="K1716">INDEX($G$3:$G$200,MATCH(1, (YEAR(I1716)=YEAR($A$3:$A$2000))*(MONTH(I1716)=MONTH($A$3:$A$2000)),0))</f>
        <v>45547.270469263931</v>
      </c>
      <c r="L1716">
        <f t="shared" si="53"/>
        <v>31459.538408224005</v>
      </c>
    </row>
    <row r="1717" spans="4:12" x14ac:dyDescent="0.25">
      <c r="D1717">
        <f t="shared" si="52"/>
        <v>0</v>
      </c>
      <c r="H1717">
        <v>1715</v>
      </c>
      <c r="I1717" s="1">
        <v>46674</v>
      </c>
      <c r="J1717">
        <f t="array" ref="J1717">INDEX($D$3:$D$62,MATCH(1, (YEAR(I1717)=YEAR($A$3:$A$62))*(MONTH(I1717)=MONTH($A$3:$A$62)),0))</f>
        <v>30913.793558542347</v>
      </c>
      <c r="K1717">
        <f t="array" ref="K1717">INDEX($G$3:$G$200,MATCH(1, (YEAR(I1717)=YEAR($A$3:$A$2000))*(MONTH(I1717)=MONTH($A$3:$A$2000)),0))</f>
        <v>45547.270469263931</v>
      </c>
      <c r="L1717">
        <f t="shared" si="53"/>
        <v>31436.430296618957</v>
      </c>
    </row>
    <row r="1718" spans="4:12" x14ac:dyDescent="0.25">
      <c r="D1718">
        <f t="shared" si="52"/>
        <v>0</v>
      </c>
      <c r="H1718">
        <v>1716</v>
      </c>
      <c r="I1718" s="1">
        <v>46675</v>
      </c>
      <c r="J1718">
        <f t="array" ref="J1718">INDEX($D$3:$D$62,MATCH(1, (YEAR(I1718)=YEAR($A$3:$A$62))*(MONTH(I1718)=MONTH($A$3:$A$62)),0))</f>
        <v>30913.793558542347</v>
      </c>
      <c r="K1718">
        <f t="array" ref="K1718">INDEX($G$3:$G$200,MATCH(1, (YEAR(I1718)=YEAR($A$3:$A$2000))*(MONTH(I1718)=MONTH($A$3:$A$2000)),0))</f>
        <v>45547.270469263931</v>
      </c>
      <c r="L1718">
        <f t="shared" si="53"/>
        <v>31413.342280464014</v>
      </c>
    </row>
    <row r="1719" spans="4:12" x14ac:dyDescent="0.25">
      <c r="D1719">
        <f t="shared" si="52"/>
        <v>0</v>
      </c>
      <c r="H1719">
        <v>1717</v>
      </c>
      <c r="I1719" s="1">
        <v>46676</v>
      </c>
      <c r="J1719">
        <f t="array" ref="J1719">INDEX($D$3:$D$62,MATCH(1, (YEAR(I1719)=YEAR($A$3:$A$62))*(MONTH(I1719)=MONTH($A$3:$A$62)),0))</f>
        <v>30913.793558542347</v>
      </c>
      <c r="K1719">
        <f t="array" ref="K1719">INDEX($G$3:$G$200,MATCH(1, (YEAR(I1719)=YEAR($A$3:$A$2000))*(MONTH(I1719)=MONTH($A$3:$A$2000)),0))</f>
        <v>45547.270469263931</v>
      </c>
      <c r="L1719">
        <f t="shared" si="53"/>
        <v>31390.274431188969</v>
      </c>
    </row>
    <row r="1720" spans="4:12" x14ac:dyDescent="0.25">
      <c r="D1720">
        <f t="shared" si="52"/>
        <v>0</v>
      </c>
      <c r="H1720">
        <v>1718</v>
      </c>
      <c r="I1720" s="1">
        <v>46677</v>
      </c>
      <c r="J1720">
        <f t="array" ref="J1720">INDEX($D$3:$D$62,MATCH(1, (YEAR(I1720)=YEAR($A$3:$A$62))*(MONTH(I1720)=MONTH($A$3:$A$62)),0))</f>
        <v>30913.793558542347</v>
      </c>
      <c r="K1720">
        <f t="array" ref="K1720">INDEX($G$3:$G$200,MATCH(1, (YEAR(I1720)=YEAR($A$3:$A$2000))*(MONTH(I1720)=MONTH($A$3:$A$2000)),0))</f>
        <v>45547.270469263931</v>
      </c>
      <c r="L1720">
        <f t="shared" si="53"/>
        <v>31367.226820511947</v>
      </c>
    </row>
    <row r="1721" spans="4:12" x14ac:dyDescent="0.25">
      <c r="D1721">
        <f t="shared" si="52"/>
        <v>0</v>
      </c>
      <c r="H1721">
        <v>1719</v>
      </c>
      <c r="I1721" s="1">
        <v>46678</v>
      </c>
      <c r="J1721">
        <f t="array" ref="J1721">INDEX($D$3:$D$62,MATCH(1, (YEAR(I1721)=YEAR($A$3:$A$62))*(MONTH(I1721)=MONTH($A$3:$A$62)),0))</f>
        <v>30913.793558542347</v>
      </c>
      <c r="K1721">
        <f t="array" ref="K1721">INDEX($G$3:$G$200,MATCH(1, (YEAR(I1721)=YEAR($A$3:$A$2000))*(MONTH(I1721)=MONTH($A$3:$A$2000)),0))</f>
        <v>45547.270469263931</v>
      </c>
      <c r="L1721">
        <f t="shared" si="53"/>
        <v>31344.199520438997</v>
      </c>
    </row>
    <row r="1722" spans="4:12" x14ac:dyDescent="0.25">
      <c r="D1722">
        <f t="shared" si="52"/>
        <v>0</v>
      </c>
      <c r="H1722">
        <v>1720</v>
      </c>
      <c r="I1722" s="1">
        <v>46679</v>
      </c>
      <c r="J1722">
        <f t="array" ref="J1722">INDEX($D$3:$D$62,MATCH(1, (YEAR(I1722)=YEAR($A$3:$A$62))*(MONTH(I1722)=MONTH($A$3:$A$62)),0))</f>
        <v>30913.793558542347</v>
      </c>
      <c r="K1722">
        <f t="array" ref="K1722">INDEX($G$3:$G$200,MATCH(1, (YEAR(I1722)=YEAR($A$3:$A$2000))*(MONTH(I1722)=MONTH($A$3:$A$2000)),0))</f>
        <v>45547.270469263931</v>
      </c>
      <c r="L1722">
        <f t="shared" si="53"/>
        <v>31321.192603264004</v>
      </c>
    </row>
    <row r="1723" spans="4:12" x14ac:dyDescent="0.25">
      <c r="D1723">
        <f t="shared" si="52"/>
        <v>0</v>
      </c>
      <c r="H1723">
        <v>1721</v>
      </c>
      <c r="I1723" s="1">
        <v>46680</v>
      </c>
      <c r="J1723">
        <f t="array" ref="J1723">INDEX($D$3:$D$62,MATCH(1, (YEAR(I1723)=YEAR($A$3:$A$62))*(MONTH(I1723)=MONTH($A$3:$A$62)),0))</f>
        <v>30913.793558542347</v>
      </c>
      <c r="K1723">
        <f t="array" ref="K1723">INDEX($G$3:$G$200,MATCH(1, (YEAR(I1723)=YEAR($A$3:$A$2000))*(MONTH(I1723)=MONTH($A$3:$A$2000)),0))</f>
        <v>45547.270469263931</v>
      </c>
      <c r="L1723">
        <f t="shared" si="53"/>
        <v>31298.206141569011</v>
      </c>
    </row>
    <row r="1724" spans="4:12" x14ac:dyDescent="0.25">
      <c r="D1724">
        <f t="shared" si="52"/>
        <v>0</v>
      </c>
      <c r="H1724">
        <v>1722</v>
      </c>
      <c r="I1724" s="1">
        <v>46681</v>
      </c>
      <c r="J1724">
        <f t="array" ref="J1724">INDEX($D$3:$D$62,MATCH(1, (YEAR(I1724)=YEAR($A$3:$A$62))*(MONTH(I1724)=MONTH($A$3:$A$62)),0))</f>
        <v>30913.793558542347</v>
      </c>
      <c r="K1724">
        <f t="array" ref="K1724">INDEX($G$3:$G$200,MATCH(1, (YEAR(I1724)=YEAR($A$3:$A$2000))*(MONTH(I1724)=MONTH($A$3:$A$2000)),0))</f>
        <v>45547.270469263931</v>
      </c>
      <c r="L1724">
        <f t="shared" si="53"/>
        <v>31275.240208223986</v>
      </c>
    </row>
    <row r="1725" spans="4:12" x14ac:dyDescent="0.25">
      <c r="D1725">
        <f t="shared" si="52"/>
        <v>0</v>
      </c>
      <c r="H1725">
        <v>1723</v>
      </c>
      <c r="I1725" s="1">
        <v>46682</v>
      </c>
      <c r="J1725">
        <f t="array" ref="J1725">INDEX($D$3:$D$62,MATCH(1, (YEAR(I1725)=YEAR($A$3:$A$62))*(MONTH(I1725)=MONTH($A$3:$A$62)),0))</f>
        <v>30913.793558542347</v>
      </c>
      <c r="K1725">
        <f t="array" ref="K1725">INDEX($G$3:$G$200,MATCH(1, (YEAR(I1725)=YEAR($A$3:$A$2000))*(MONTH(I1725)=MONTH($A$3:$A$2000)),0))</f>
        <v>45547.270469263931</v>
      </c>
      <c r="L1725">
        <f t="shared" si="53"/>
        <v>31252.294876386935</v>
      </c>
    </row>
    <row r="1726" spans="4:12" x14ac:dyDescent="0.25">
      <c r="D1726">
        <f t="shared" si="52"/>
        <v>0</v>
      </c>
      <c r="H1726">
        <v>1724</v>
      </c>
      <c r="I1726" s="1">
        <v>46683</v>
      </c>
      <c r="J1726">
        <f t="array" ref="J1726">INDEX($D$3:$D$62,MATCH(1, (YEAR(I1726)=YEAR($A$3:$A$62))*(MONTH(I1726)=MONTH($A$3:$A$62)),0))</f>
        <v>30913.793558542347</v>
      </c>
      <c r="K1726">
        <f t="array" ref="K1726">INDEX($G$3:$G$200,MATCH(1, (YEAR(I1726)=YEAR($A$3:$A$2000))*(MONTH(I1726)=MONTH($A$3:$A$2000)),0))</f>
        <v>45547.270469263931</v>
      </c>
      <c r="L1726">
        <f t="shared" si="53"/>
        <v>31229.370219503995</v>
      </c>
    </row>
    <row r="1727" spans="4:12" x14ac:dyDescent="0.25">
      <c r="D1727">
        <f t="shared" si="52"/>
        <v>0</v>
      </c>
      <c r="H1727">
        <v>1725</v>
      </c>
      <c r="I1727" s="1">
        <v>46684</v>
      </c>
      <c r="J1727">
        <f t="array" ref="J1727">INDEX($D$3:$D$62,MATCH(1, (YEAR(I1727)=YEAR($A$3:$A$62))*(MONTH(I1727)=MONTH($A$3:$A$62)),0))</f>
        <v>30913.793558542347</v>
      </c>
      <c r="K1727">
        <f t="array" ref="K1727">INDEX($G$3:$G$200,MATCH(1, (YEAR(I1727)=YEAR($A$3:$A$2000))*(MONTH(I1727)=MONTH($A$3:$A$2000)),0))</f>
        <v>45547.270469263931</v>
      </c>
      <c r="L1727">
        <f t="shared" si="53"/>
        <v>31206.466311308963</v>
      </c>
    </row>
    <row r="1728" spans="4:12" x14ac:dyDescent="0.25">
      <c r="D1728">
        <f t="shared" si="52"/>
        <v>0</v>
      </c>
      <c r="H1728">
        <v>1726</v>
      </c>
      <c r="I1728" s="1">
        <v>46685</v>
      </c>
      <c r="J1728">
        <f t="array" ref="J1728">INDEX($D$3:$D$62,MATCH(1, (YEAR(I1728)=YEAR($A$3:$A$62))*(MONTH(I1728)=MONTH($A$3:$A$62)),0))</f>
        <v>30913.793558542347</v>
      </c>
      <c r="K1728">
        <f t="array" ref="K1728">INDEX($G$3:$G$200,MATCH(1, (YEAR(I1728)=YEAR($A$3:$A$2000))*(MONTH(I1728)=MONTH($A$3:$A$2000)),0))</f>
        <v>45547.270469263931</v>
      </c>
      <c r="L1728">
        <f t="shared" si="53"/>
        <v>31183.583225823968</v>
      </c>
    </row>
    <row r="1729" spans="4:12" x14ac:dyDescent="0.25">
      <c r="D1729">
        <f t="shared" si="52"/>
        <v>0</v>
      </c>
      <c r="H1729">
        <v>1727</v>
      </c>
      <c r="I1729" s="1">
        <v>46686</v>
      </c>
      <c r="J1729">
        <f t="array" ref="J1729">INDEX($D$3:$D$62,MATCH(1, (YEAR(I1729)=YEAR($A$3:$A$62))*(MONTH(I1729)=MONTH($A$3:$A$62)),0))</f>
        <v>30913.793558542347</v>
      </c>
      <c r="K1729">
        <f t="array" ref="K1729">INDEX($G$3:$G$200,MATCH(1, (YEAR(I1729)=YEAR($A$3:$A$2000))*(MONTH(I1729)=MONTH($A$3:$A$2000)),0))</f>
        <v>45547.270469263931</v>
      </c>
      <c r="L1729">
        <f t="shared" si="53"/>
        <v>31160.721037359035</v>
      </c>
    </row>
    <row r="1730" spans="4:12" x14ac:dyDescent="0.25">
      <c r="D1730">
        <f t="shared" si="52"/>
        <v>0</v>
      </c>
      <c r="H1730">
        <v>1728</v>
      </c>
      <c r="I1730" s="1">
        <v>46687</v>
      </c>
      <c r="J1730">
        <f t="array" ref="J1730">INDEX($D$3:$D$62,MATCH(1, (YEAR(I1730)=YEAR($A$3:$A$62))*(MONTH(I1730)=MONTH($A$3:$A$62)),0))</f>
        <v>30913.793558542347</v>
      </c>
      <c r="K1730">
        <f t="array" ref="K1730">INDEX($G$3:$G$200,MATCH(1, (YEAR(I1730)=YEAR($A$3:$A$2000))*(MONTH(I1730)=MONTH($A$3:$A$2000)),0))</f>
        <v>45547.270469263931</v>
      </c>
      <c r="L1730">
        <f t="shared" si="53"/>
        <v>31137.879820511967</v>
      </c>
    </row>
    <row r="1731" spans="4:12" x14ac:dyDescent="0.25">
      <c r="D1731">
        <f t="shared" si="52"/>
        <v>0</v>
      </c>
      <c r="H1731">
        <v>1729</v>
      </c>
      <c r="I1731" s="1">
        <v>46688</v>
      </c>
      <c r="J1731">
        <f t="array" ref="J1731">INDEX($D$3:$D$62,MATCH(1, (YEAR(I1731)=YEAR($A$3:$A$62))*(MONTH(I1731)=MONTH($A$3:$A$62)),0))</f>
        <v>30913.793558542347</v>
      </c>
      <c r="K1731">
        <f t="array" ref="K1731">INDEX($G$3:$G$200,MATCH(1, (YEAR(I1731)=YEAR($A$3:$A$2000))*(MONTH(I1731)=MONTH($A$3:$A$2000)),0))</f>
        <v>45547.270469263931</v>
      </c>
      <c r="L1731">
        <f t="shared" si="53"/>
        <v>31115.059650168987</v>
      </c>
    </row>
    <row r="1732" spans="4:12" x14ac:dyDescent="0.25">
      <c r="D1732">
        <f t="shared" ref="D1732:D1795" si="54">SUM(B1732:C1732)</f>
        <v>0</v>
      </c>
      <c r="H1732">
        <v>1730</v>
      </c>
      <c r="I1732" s="1">
        <v>46689</v>
      </c>
      <c r="J1732">
        <f t="array" ref="J1732">INDEX($D$3:$D$62,MATCH(1, (YEAR(I1732)=YEAR($A$3:$A$62))*(MONTH(I1732)=MONTH($A$3:$A$62)),0))</f>
        <v>30913.793558542347</v>
      </c>
      <c r="K1732">
        <f t="array" ref="K1732">INDEX($G$3:$G$200,MATCH(1, (YEAR(I1732)=YEAR($A$3:$A$2000))*(MONTH(I1732)=MONTH($A$3:$A$2000)),0))</f>
        <v>45547.270469263931</v>
      </c>
      <c r="L1732">
        <f t="shared" ref="L1732:L1795" si="55">0.000000012*H1732^4-0.000070439*H1732^3+0.160688168*H1732^2-194.849290676*H1732+144481.718306784</f>
        <v>31092.260601503949</v>
      </c>
    </row>
    <row r="1733" spans="4:12" x14ac:dyDescent="0.25">
      <c r="D1733">
        <f t="shared" si="54"/>
        <v>0</v>
      </c>
      <c r="H1733">
        <v>1731</v>
      </c>
      <c r="I1733" s="1">
        <v>46690</v>
      </c>
      <c r="J1733">
        <f t="array" ref="J1733">INDEX($D$3:$D$62,MATCH(1, (YEAR(I1733)=YEAR($A$3:$A$62))*(MONTH(I1733)=MONTH($A$3:$A$62)),0))</f>
        <v>30913.793558542347</v>
      </c>
      <c r="K1733">
        <f t="array" ref="K1733">INDEX($G$3:$G$200,MATCH(1, (YEAR(I1733)=YEAR($A$3:$A$2000))*(MONTH(I1733)=MONTH($A$3:$A$2000)),0))</f>
        <v>45547.270469263931</v>
      </c>
      <c r="L1733">
        <f t="shared" si="55"/>
        <v>31069.482749978954</v>
      </c>
    </row>
    <row r="1734" spans="4:12" x14ac:dyDescent="0.25">
      <c r="D1734">
        <f t="shared" si="54"/>
        <v>0</v>
      </c>
      <c r="H1734">
        <v>1732</v>
      </c>
      <c r="I1734" s="1">
        <v>46691</v>
      </c>
      <c r="J1734">
        <f t="array" ref="J1734">INDEX($D$3:$D$62,MATCH(1, (YEAR(I1734)=YEAR($A$3:$A$62))*(MONTH(I1734)=MONTH($A$3:$A$62)),0))</f>
        <v>30913.793558542347</v>
      </c>
      <c r="K1734">
        <f t="array" ref="K1734">INDEX($G$3:$G$200,MATCH(1, (YEAR(I1734)=YEAR($A$3:$A$2000))*(MONTH(I1734)=MONTH($A$3:$A$2000)),0))</f>
        <v>45547.270469263931</v>
      </c>
      <c r="L1734">
        <f t="shared" si="55"/>
        <v>31046.726171343995</v>
      </c>
    </row>
    <row r="1735" spans="4:12" x14ac:dyDescent="0.25">
      <c r="D1735">
        <f t="shared" si="54"/>
        <v>0</v>
      </c>
      <c r="H1735">
        <v>1733</v>
      </c>
      <c r="I1735" s="1">
        <v>46692</v>
      </c>
      <c r="J1735">
        <f t="array" ref="J1735">INDEX($D$3:$D$62,MATCH(1, (YEAR(I1735)=YEAR($A$3:$A$62))*(MONTH(I1735)=MONTH($A$3:$A$62)),0))</f>
        <v>29997.017360647049</v>
      </c>
      <c r="K1735">
        <f t="array" ref="K1735">INDEX($G$3:$G$200,MATCH(1, (YEAR(I1735)=YEAR($A$3:$A$2000))*(MONTH(I1735)=MONTH($A$3:$A$2000)),0))</f>
        <v>44234.178670782727</v>
      </c>
      <c r="L1735">
        <f t="shared" si="55"/>
        <v>31023.990941636963</v>
      </c>
    </row>
    <row r="1736" spans="4:12" x14ac:dyDescent="0.25">
      <c r="D1736">
        <f t="shared" si="54"/>
        <v>0</v>
      </c>
      <c r="H1736">
        <v>1734</v>
      </c>
      <c r="I1736" s="1">
        <v>46693</v>
      </c>
      <c r="J1736">
        <f t="array" ref="J1736">INDEX($D$3:$D$62,MATCH(1, (YEAR(I1736)=YEAR($A$3:$A$62))*(MONTH(I1736)=MONTH($A$3:$A$62)),0))</f>
        <v>29997.017360647049</v>
      </c>
      <c r="K1736">
        <f t="array" ref="K1736">INDEX($G$3:$G$200,MATCH(1, (YEAR(I1736)=YEAR($A$3:$A$2000))*(MONTH(I1736)=MONTH($A$3:$A$2000)),0))</f>
        <v>44234.178670782727</v>
      </c>
      <c r="L1736">
        <f t="shared" si="55"/>
        <v>31001.277137184021</v>
      </c>
    </row>
    <row r="1737" spans="4:12" x14ac:dyDescent="0.25">
      <c r="D1737">
        <f t="shared" si="54"/>
        <v>0</v>
      </c>
      <c r="H1737">
        <v>1735</v>
      </c>
      <c r="I1737" s="1">
        <v>46694</v>
      </c>
      <c r="J1737">
        <f t="array" ref="J1737">INDEX($D$3:$D$62,MATCH(1, (YEAR(I1737)=YEAR($A$3:$A$62))*(MONTH(I1737)=MONTH($A$3:$A$62)),0))</f>
        <v>29997.017360647049</v>
      </c>
      <c r="K1737">
        <f t="array" ref="K1737">INDEX($G$3:$G$200,MATCH(1, (YEAR(I1737)=YEAR($A$3:$A$2000))*(MONTH(I1737)=MONTH($A$3:$A$2000)),0))</f>
        <v>44234.178670782727</v>
      </c>
      <c r="L1737">
        <f t="shared" si="55"/>
        <v>30978.584834598994</v>
      </c>
    </row>
    <row r="1738" spans="4:12" x14ac:dyDescent="0.25">
      <c r="D1738">
        <f t="shared" si="54"/>
        <v>0</v>
      </c>
      <c r="H1738">
        <v>1736</v>
      </c>
      <c r="I1738" s="1">
        <v>46695</v>
      </c>
      <c r="J1738">
        <f t="array" ref="J1738">INDEX($D$3:$D$62,MATCH(1, (YEAR(I1738)=YEAR($A$3:$A$62))*(MONTH(I1738)=MONTH($A$3:$A$62)),0))</f>
        <v>29997.017360647049</v>
      </c>
      <c r="K1738">
        <f t="array" ref="K1738">INDEX($G$3:$G$200,MATCH(1, (YEAR(I1738)=YEAR($A$3:$A$2000))*(MONTH(I1738)=MONTH($A$3:$A$2000)),0))</f>
        <v>44234.178670782727</v>
      </c>
      <c r="L1738">
        <f t="shared" si="55"/>
        <v>30955.914110783953</v>
      </c>
    </row>
    <row r="1739" spans="4:12" x14ac:dyDescent="0.25">
      <c r="D1739">
        <f t="shared" si="54"/>
        <v>0</v>
      </c>
      <c r="H1739">
        <v>1737</v>
      </c>
      <c r="I1739" s="1">
        <v>46696</v>
      </c>
      <c r="J1739">
        <f t="array" ref="J1739">INDEX($D$3:$D$62,MATCH(1, (YEAR(I1739)=YEAR($A$3:$A$62))*(MONTH(I1739)=MONTH($A$3:$A$62)),0))</f>
        <v>29997.017360647049</v>
      </c>
      <c r="K1739">
        <f t="array" ref="K1739">INDEX($G$3:$G$200,MATCH(1, (YEAR(I1739)=YEAR($A$3:$A$2000))*(MONTH(I1739)=MONTH($A$3:$A$2000)),0))</f>
        <v>44234.178670782727</v>
      </c>
      <c r="L1739">
        <f t="shared" si="55"/>
        <v>30933.265042929037</v>
      </c>
    </row>
    <row r="1740" spans="4:12" x14ac:dyDescent="0.25">
      <c r="D1740">
        <f t="shared" si="54"/>
        <v>0</v>
      </c>
      <c r="H1740">
        <v>1738</v>
      </c>
      <c r="I1740" s="1">
        <v>46697</v>
      </c>
      <c r="J1740">
        <f t="array" ref="J1740">INDEX($D$3:$D$62,MATCH(1, (YEAR(I1740)=YEAR($A$3:$A$62))*(MONTH(I1740)=MONTH($A$3:$A$62)),0))</f>
        <v>29997.017360647049</v>
      </c>
      <c r="K1740">
        <f t="array" ref="K1740">INDEX($G$3:$G$200,MATCH(1, (YEAR(I1740)=YEAR($A$3:$A$2000))*(MONTH(I1740)=MONTH($A$3:$A$2000)),0))</f>
        <v>44234.178670782727</v>
      </c>
      <c r="L1740">
        <f t="shared" si="55"/>
        <v>30910.63770851196</v>
      </c>
    </row>
    <row r="1741" spans="4:12" x14ac:dyDescent="0.25">
      <c r="D1741">
        <f t="shared" si="54"/>
        <v>0</v>
      </c>
      <c r="H1741">
        <v>1739</v>
      </c>
      <c r="I1741" s="1">
        <v>46698</v>
      </c>
      <c r="J1741">
        <f t="array" ref="J1741">INDEX($D$3:$D$62,MATCH(1, (YEAR(I1741)=YEAR($A$3:$A$62))*(MONTH(I1741)=MONTH($A$3:$A$62)),0))</f>
        <v>29997.017360647049</v>
      </c>
      <c r="K1741">
        <f t="array" ref="K1741">INDEX($G$3:$G$200,MATCH(1, (YEAR(I1741)=YEAR($A$3:$A$2000))*(MONTH(I1741)=MONTH($A$3:$A$2000)),0))</f>
        <v>44234.178670782727</v>
      </c>
      <c r="L1741">
        <f t="shared" si="55"/>
        <v>30888.032185298973</v>
      </c>
    </row>
    <row r="1742" spans="4:12" x14ac:dyDescent="0.25">
      <c r="D1742">
        <f t="shared" si="54"/>
        <v>0</v>
      </c>
      <c r="H1742">
        <v>1740</v>
      </c>
      <c r="I1742" s="1">
        <v>46699</v>
      </c>
      <c r="J1742">
        <f t="array" ref="J1742">INDEX($D$3:$D$62,MATCH(1, (YEAR(I1742)=YEAR($A$3:$A$62))*(MONTH(I1742)=MONTH($A$3:$A$62)),0))</f>
        <v>29997.017360647049</v>
      </c>
      <c r="K1742">
        <f t="array" ref="K1742">INDEX($G$3:$G$200,MATCH(1, (YEAR(I1742)=YEAR($A$3:$A$2000))*(MONTH(I1742)=MONTH($A$3:$A$2000)),0))</f>
        <v>44234.178670782727</v>
      </c>
      <c r="L1742">
        <f t="shared" si="55"/>
        <v>30865.448551343987</v>
      </c>
    </row>
    <row r="1743" spans="4:12" x14ac:dyDescent="0.25">
      <c r="D1743">
        <f t="shared" si="54"/>
        <v>0</v>
      </c>
      <c r="H1743">
        <v>1741</v>
      </c>
      <c r="I1743" s="1">
        <v>46700</v>
      </c>
      <c r="J1743">
        <f t="array" ref="J1743">INDEX($D$3:$D$62,MATCH(1, (YEAR(I1743)=YEAR($A$3:$A$62))*(MONTH(I1743)=MONTH($A$3:$A$62)),0))</f>
        <v>29997.017360647049</v>
      </c>
      <c r="K1743">
        <f t="array" ref="K1743">INDEX($G$3:$G$200,MATCH(1, (YEAR(I1743)=YEAR($A$3:$A$2000))*(MONTH(I1743)=MONTH($A$3:$A$2000)),0))</f>
        <v>44234.178670782727</v>
      </c>
      <c r="L1743">
        <f t="shared" si="55"/>
        <v>30842.886884988984</v>
      </c>
    </row>
    <row r="1744" spans="4:12" x14ac:dyDescent="0.25">
      <c r="D1744">
        <f t="shared" si="54"/>
        <v>0</v>
      </c>
      <c r="H1744">
        <v>1742</v>
      </c>
      <c r="I1744" s="1">
        <v>46701</v>
      </c>
      <c r="J1744">
        <f t="array" ref="J1744">INDEX($D$3:$D$62,MATCH(1, (YEAR(I1744)=YEAR($A$3:$A$62))*(MONTH(I1744)=MONTH($A$3:$A$62)),0))</f>
        <v>29997.017360647049</v>
      </c>
      <c r="K1744">
        <f t="array" ref="K1744">INDEX($G$3:$G$200,MATCH(1, (YEAR(I1744)=YEAR($A$3:$A$2000))*(MONTH(I1744)=MONTH($A$3:$A$2000)),0))</f>
        <v>44234.178670782727</v>
      </c>
      <c r="L1744">
        <f t="shared" si="55"/>
        <v>30820.347264864075</v>
      </c>
    </row>
    <row r="1745" spans="4:12" x14ac:dyDescent="0.25">
      <c r="D1745">
        <f t="shared" si="54"/>
        <v>0</v>
      </c>
      <c r="H1745">
        <v>1743</v>
      </c>
      <c r="I1745" s="1">
        <v>46702</v>
      </c>
      <c r="J1745">
        <f t="array" ref="J1745">INDEX($D$3:$D$62,MATCH(1, (YEAR(I1745)=YEAR($A$3:$A$62))*(MONTH(I1745)=MONTH($A$3:$A$62)),0))</f>
        <v>29997.017360647049</v>
      </c>
      <c r="K1745">
        <f t="array" ref="K1745">INDEX($G$3:$G$200,MATCH(1, (YEAR(I1745)=YEAR($A$3:$A$2000))*(MONTH(I1745)=MONTH($A$3:$A$2000)),0))</f>
        <v>44234.178670782727</v>
      </c>
      <c r="L1745">
        <f t="shared" si="55"/>
        <v>30797.82976988703</v>
      </c>
    </row>
    <row r="1746" spans="4:12" x14ac:dyDescent="0.25">
      <c r="D1746">
        <f t="shared" si="54"/>
        <v>0</v>
      </c>
      <c r="H1746">
        <v>1744</v>
      </c>
      <c r="I1746" s="1">
        <v>46703</v>
      </c>
      <c r="J1746">
        <f t="array" ref="J1746">INDEX($D$3:$D$62,MATCH(1, (YEAR(I1746)=YEAR($A$3:$A$62))*(MONTH(I1746)=MONTH($A$3:$A$62)),0))</f>
        <v>29997.017360647049</v>
      </c>
      <c r="K1746">
        <f t="array" ref="K1746">INDEX($G$3:$G$200,MATCH(1, (YEAR(I1746)=YEAR($A$3:$A$2000))*(MONTH(I1746)=MONTH($A$3:$A$2000)),0))</f>
        <v>44234.178670782727</v>
      </c>
      <c r="L1746">
        <f t="shared" si="55"/>
        <v>30775.334479263925</v>
      </c>
    </row>
    <row r="1747" spans="4:12" x14ac:dyDescent="0.25">
      <c r="D1747">
        <f t="shared" si="54"/>
        <v>0</v>
      </c>
      <c r="H1747">
        <v>1745</v>
      </c>
      <c r="I1747" s="1">
        <v>46704</v>
      </c>
      <c r="J1747">
        <f t="array" ref="J1747">INDEX($D$3:$D$62,MATCH(1, (YEAR(I1747)=YEAR($A$3:$A$62))*(MONTH(I1747)=MONTH($A$3:$A$62)),0))</f>
        <v>29997.017360647049</v>
      </c>
      <c r="K1747">
        <f t="array" ref="K1747">INDEX($G$3:$G$200,MATCH(1, (YEAR(I1747)=YEAR($A$3:$A$2000))*(MONTH(I1747)=MONTH($A$3:$A$2000)),0))</f>
        <v>44234.178670782727</v>
      </c>
      <c r="L1747">
        <f t="shared" si="55"/>
        <v>30752.861472488963</v>
      </c>
    </row>
    <row r="1748" spans="4:12" x14ac:dyDescent="0.25">
      <c r="D1748">
        <f t="shared" si="54"/>
        <v>0</v>
      </c>
      <c r="H1748">
        <v>1746</v>
      </c>
      <c r="I1748" s="1">
        <v>46705</v>
      </c>
      <c r="J1748">
        <f t="array" ref="J1748">INDEX($D$3:$D$62,MATCH(1, (YEAR(I1748)=YEAR($A$3:$A$62))*(MONTH(I1748)=MONTH($A$3:$A$62)),0))</f>
        <v>29997.017360647049</v>
      </c>
      <c r="K1748">
        <f t="array" ref="K1748">INDEX($G$3:$G$200,MATCH(1, (YEAR(I1748)=YEAR($A$3:$A$2000))*(MONTH(I1748)=MONTH($A$3:$A$2000)),0))</f>
        <v>44234.178670782727</v>
      </c>
      <c r="L1748">
        <f t="shared" si="55"/>
        <v>30730.410829344008</v>
      </c>
    </row>
    <row r="1749" spans="4:12" x14ac:dyDescent="0.25">
      <c r="D1749">
        <f t="shared" si="54"/>
        <v>0</v>
      </c>
      <c r="H1749">
        <v>1747</v>
      </c>
      <c r="I1749" s="1">
        <v>46706</v>
      </c>
      <c r="J1749">
        <f t="array" ref="J1749">INDEX($D$3:$D$62,MATCH(1, (YEAR(I1749)=YEAR($A$3:$A$62))*(MONTH(I1749)=MONTH($A$3:$A$62)),0))</f>
        <v>29997.017360647049</v>
      </c>
      <c r="K1749">
        <f t="array" ref="K1749">INDEX($G$3:$G$200,MATCH(1, (YEAR(I1749)=YEAR($A$3:$A$2000))*(MONTH(I1749)=MONTH($A$3:$A$2000)),0))</f>
        <v>44234.178670782727</v>
      </c>
      <c r="L1749">
        <f t="shared" si="55"/>
        <v>30707.982629898936</v>
      </c>
    </row>
    <row r="1750" spans="4:12" x14ac:dyDescent="0.25">
      <c r="D1750">
        <f t="shared" si="54"/>
        <v>0</v>
      </c>
      <c r="H1750">
        <v>1748</v>
      </c>
      <c r="I1750" s="1">
        <v>46707</v>
      </c>
      <c r="J1750">
        <f t="array" ref="J1750">INDEX($D$3:$D$62,MATCH(1, (YEAR(I1750)=YEAR($A$3:$A$62))*(MONTH(I1750)=MONTH($A$3:$A$62)),0))</f>
        <v>29997.017360647049</v>
      </c>
      <c r="K1750">
        <f t="array" ref="K1750">INDEX($G$3:$G$200,MATCH(1, (YEAR(I1750)=YEAR($A$3:$A$2000))*(MONTH(I1750)=MONTH($A$3:$A$2000)),0))</f>
        <v>44234.178670782727</v>
      </c>
      <c r="L1750">
        <f t="shared" si="55"/>
        <v>30685.576954511984</v>
      </c>
    </row>
    <row r="1751" spans="4:12" x14ac:dyDescent="0.25">
      <c r="D1751">
        <f t="shared" si="54"/>
        <v>0</v>
      </c>
      <c r="H1751">
        <v>1749</v>
      </c>
      <c r="I1751" s="1">
        <v>46708</v>
      </c>
      <c r="J1751">
        <f t="array" ref="J1751">INDEX($D$3:$D$62,MATCH(1, (YEAR(I1751)=YEAR($A$3:$A$62))*(MONTH(I1751)=MONTH($A$3:$A$62)),0))</f>
        <v>29997.017360647049</v>
      </c>
      <c r="K1751">
        <f t="array" ref="K1751">INDEX($G$3:$G$200,MATCH(1, (YEAR(I1751)=YEAR($A$3:$A$2000))*(MONTH(I1751)=MONTH($A$3:$A$2000)),0))</f>
        <v>44234.178670782727</v>
      </c>
      <c r="L1751">
        <f t="shared" si="55"/>
        <v>30663.193883828935</v>
      </c>
    </row>
    <row r="1752" spans="4:12" x14ac:dyDescent="0.25">
      <c r="D1752">
        <f t="shared" si="54"/>
        <v>0</v>
      </c>
      <c r="H1752">
        <v>1750</v>
      </c>
      <c r="I1752" s="1">
        <v>46709</v>
      </c>
      <c r="J1752">
        <f t="array" ref="J1752">INDEX($D$3:$D$62,MATCH(1, (YEAR(I1752)=YEAR($A$3:$A$62))*(MONTH(I1752)=MONTH($A$3:$A$62)),0))</f>
        <v>29997.017360647049</v>
      </c>
      <c r="K1752">
        <f t="array" ref="K1752">INDEX($G$3:$G$200,MATCH(1, (YEAR(I1752)=YEAR($A$3:$A$2000))*(MONTH(I1752)=MONTH($A$3:$A$2000)),0))</f>
        <v>44234.178670782727</v>
      </c>
      <c r="L1752">
        <f t="shared" si="55"/>
        <v>30640.83349878405</v>
      </c>
    </row>
    <row r="1753" spans="4:12" x14ac:dyDescent="0.25">
      <c r="D1753">
        <f t="shared" si="54"/>
        <v>0</v>
      </c>
      <c r="H1753">
        <v>1751</v>
      </c>
      <c r="I1753" s="1">
        <v>46710</v>
      </c>
      <c r="J1753">
        <f t="array" ref="J1753">INDEX($D$3:$D$62,MATCH(1, (YEAR(I1753)=YEAR($A$3:$A$62))*(MONTH(I1753)=MONTH($A$3:$A$62)),0))</f>
        <v>29997.017360647049</v>
      </c>
      <c r="K1753">
        <f t="array" ref="K1753">INDEX($G$3:$G$200,MATCH(1, (YEAR(I1753)=YEAR($A$3:$A$2000))*(MONTH(I1753)=MONTH($A$3:$A$2000)),0))</f>
        <v>44234.178670782727</v>
      </c>
      <c r="L1753">
        <f t="shared" si="55"/>
        <v>30618.495880599017</v>
      </c>
    </row>
    <row r="1754" spans="4:12" x14ac:dyDescent="0.25">
      <c r="D1754">
        <f t="shared" si="54"/>
        <v>0</v>
      </c>
      <c r="H1754">
        <v>1752</v>
      </c>
      <c r="I1754" s="1">
        <v>46711</v>
      </c>
      <c r="J1754">
        <f t="array" ref="J1754">INDEX($D$3:$D$62,MATCH(1, (YEAR(I1754)=YEAR($A$3:$A$62))*(MONTH(I1754)=MONTH($A$3:$A$62)),0))</f>
        <v>29997.017360647049</v>
      </c>
      <c r="K1754">
        <f t="array" ref="K1754">INDEX($G$3:$G$200,MATCH(1, (YEAR(I1754)=YEAR($A$3:$A$2000))*(MONTH(I1754)=MONTH($A$3:$A$2000)),0))</f>
        <v>44234.178670782727</v>
      </c>
      <c r="L1754">
        <f t="shared" si="55"/>
        <v>30596.181110784004</v>
      </c>
    </row>
    <row r="1755" spans="4:12" x14ac:dyDescent="0.25">
      <c r="D1755">
        <f t="shared" si="54"/>
        <v>0</v>
      </c>
      <c r="H1755">
        <v>1753</v>
      </c>
      <c r="I1755" s="1">
        <v>46712</v>
      </c>
      <c r="J1755">
        <f t="array" ref="J1755">INDEX($D$3:$D$62,MATCH(1, (YEAR(I1755)=YEAR($A$3:$A$62))*(MONTH(I1755)=MONTH($A$3:$A$62)),0))</f>
        <v>29997.017360647049</v>
      </c>
      <c r="K1755">
        <f t="array" ref="K1755">INDEX($G$3:$G$200,MATCH(1, (YEAR(I1755)=YEAR($A$3:$A$2000))*(MONTH(I1755)=MONTH($A$3:$A$2000)),0))</f>
        <v>44234.178670782727</v>
      </c>
      <c r="L1755">
        <f t="shared" si="55"/>
        <v>30573.889271137014</v>
      </c>
    </row>
    <row r="1756" spans="4:12" x14ac:dyDescent="0.25">
      <c r="D1756">
        <f t="shared" si="54"/>
        <v>0</v>
      </c>
      <c r="H1756">
        <v>1754</v>
      </c>
      <c r="I1756" s="1">
        <v>46713</v>
      </c>
      <c r="J1756">
        <f t="array" ref="J1756">INDEX($D$3:$D$62,MATCH(1, (YEAR(I1756)=YEAR($A$3:$A$62))*(MONTH(I1756)=MONTH($A$3:$A$62)),0))</f>
        <v>29997.017360647049</v>
      </c>
      <c r="K1756">
        <f t="array" ref="K1756">INDEX($G$3:$G$200,MATCH(1, (YEAR(I1756)=YEAR($A$3:$A$2000))*(MONTH(I1756)=MONTH($A$3:$A$2000)),0))</f>
        <v>44234.178670782727</v>
      </c>
      <c r="L1756">
        <f t="shared" si="55"/>
        <v>30551.620443743945</v>
      </c>
    </row>
    <row r="1757" spans="4:12" x14ac:dyDescent="0.25">
      <c r="D1757">
        <f t="shared" si="54"/>
        <v>0</v>
      </c>
      <c r="H1757">
        <v>1755</v>
      </c>
      <c r="I1757" s="1">
        <v>46714</v>
      </c>
      <c r="J1757">
        <f t="array" ref="J1757">INDEX($D$3:$D$62,MATCH(1, (YEAR(I1757)=YEAR($A$3:$A$62))*(MONTH(I1757)=MONTH($A$3:$A$62)),0))</f>
        <v>29997.017360647049</v>
      </c>
      <c r="K1757">
        <f t="array" ref="K1757">INDEX($G$3:$G$200,MATCH(1, (YEAR(I1757)=YEAR($A$3:$A$2000))*(MONTH(I1757)=MONTH($A$3:$A$2000)),0))</f>
        <v>44234.178670782727</v>
      </c>
      <c r="L1757">
        <f t="shared" si="55"/>
        <v>30529.37471097894</v>
      </c>
    </row>
    <row r="1758" spans="4:12" x14ac:dyDescent="0.25">
      <c r="D1758">
        <f t="shared" si="54"/>
        <v>0</v>
      </c>
      <c r="H1758">
        <v>1756</v>
      </c>
      <c r="I1758" s="1">
        <v>46715</v>
      </c>
      <c r="J1758">
        <f t="array" ref="J1758">INDEX($D$3:$D$62,MATCH(1, (YEAR(I1758)=YEAR($A$3:$A$62))*(MONTH(I1758)=MONTH($A$3:$A$62)),0))</f>
        <v>29997.017360647049</v>
      </c>
      <c r="K1758">
        <f t="array" ref="K1758">INDEX($G$3:$G$200,MATCH(1, (YEAR(I1758)=YEAR($A$3:$A$2000))*(MONTH(I1758)=MONTH($A$3:$A$2000)),0))</f>
        <v>44234.178670782727</v>
      </c>
      <c r="L1758">
        <f t="shared" si="55"/>
        <v>30507.15215550398</v>
      </c>
    </row>
    <row r="1759" spans="4:12" x14ac:dyDescent="0.25">
      <c r="D1759">
        <f t="shared" si="54"/>
        <v>0</v>
      </c>
      <c r="H1759">
        <v>1757</v>
      </c>
      <c r="I1759" s="1">
        <v>46716</v>
      </c>
      <c r="J1759">
        <f t="array" ref="J1759">INDEX($D$3:$D$62,MATCH(1, (YEAR(I1759)=YEAR($A$3:$A$62))*(MONTH(I1759)=MONTH($A$3:$A$62)),0))</f>
        <v>29997.017360647049</v>
      </c>
      <c r="K1759">
        <f t="array" ref="K1759">INDEX($G$3:$G$200,MATCH(1, (YEAR(I1759)=YEAR($A$3:$A$2000))*(MONTH(I1759)=MONTH($A$3:$A$2000)),0))</f>
        <v>44234.178670782727</v>
      </c>
      <c r="L1759">
        <f t="shared" si="55"/>
        <v>30484.952860268939</v>
      </c>
    </row>
    <row r="1760" spans="4:12" x14ac:dyDescent="0.25">
      <c r="D1760">
        <f t="shared" si="54"/>
        <v>0</v>
      </c>
      <c r="H1760">
        <v>1758</v>
      </c>
      <c r="I1760" s="1">
        <v>46717</v>
      </c>
      <c r="J1760">
        <f t="array" ref="J1760">INDEX($D$3:$D$62,MATCH(1, (YEAR(I1760)=YEAR($A$3:$A$62))*(MONTH(I1760)=MONTH($A$3:$A$62)),0))</f>
        <v>29997.017360647049</v>
      </c>
      <c r="K1760">
        <f t="array" ref="K1760">INDEX($G$3:$G$200,MATCH(1, (YEAR(I1760)=YEAR($A$3:$A$2000))*(MONTH(I1760)=MONTH($A$3:$A$2000)),0))</f>
        <v>44234.178670782727</v>
      </c>
      <c r="L1760">
        <f t="shared" si="55"/>
        <v>30462.776908511994</v>
      </c>
    </row>
    <row r="1761" spans="4:12" x14ac:dyDescent="0.25">
      <c r="D1761">
        <f t="shared" si="54"/>
        <v>0</v>
      </c>
      <c r="H1761">
        <v>1759</v>
      </c>
      <c r="I1761" s="1">
        <v>46718</v>
      </c>
      <c r="J1761">
        <f t="array" ref="J1761">INDEX($D$3:$D$62,MATCH(1, (YEAR(I1761)=YEAR($A$3:$A$62))*(MONTH(I1761)=MONTH($A$3:$A$62)),0))</f>
        <v>29997.017360647049</v>
      </c>
      <c r="K1761">
        <f t="array" ref="K1761">INDEX($G$3:$G$200,MATCH(1, (YEAR(I1761)=YEAR($A$3:$A$2000))*(MONTH(I1761)=MONTH($A$3:$A$2000)),0))</f>
        <v>44234.178670782727</v>
      </c>
      <c r="L1761">
        <f t="shared" si="55"/>
        <v>30440.624383758986</v>
      </c>
    </row>
    <row r="1762" spans="4:12" x14ac:dyDescent="0.25">
      <c r="D1762">
        <f t="shared" si="54"/>
        <v>0</v>
      </c>
      <c r="H1762">
        <v>1760</v>
      </c>
      <c r="I1762" s="1">
        <v>46719</v>
      </c>
      <c r="J1762">
        <f t="array" ref="J1762">INDEX($D$3:$D$62,MATCH(1, (YEAR(I1762)=YEAR($A$3:$A$62))*(MONTH(I1762)=MONTH($A$3:$A$62)),0))</f>
        <v>29997.017360647049</v>
      </c>
      <c r="K1762">
        <f t="array" ref="K1762">INDEX($G$3:$G$200,MATCH(1, (YEAR(I1762)=YEAR($A$3:$A$2000))*(MONTH(I1762)=MONTH($A$3:$A$2000)),0))</f>
        <v>44234.178670782727</v>
      </c>
      <c r="L1762">
        <f t="shared" si="55"/>
        <v>30418.495369823999</v>
      </c>
    </row>
    <row r="1763" spans="4:12" x14ac:dyDescent="0.25">
      <c r="D1763">
        <f t="shared" si="54"/>
        <v>0</v>
      </c>
      <c r="H1763">
        <v>1761</v>
      </c>
      <c r="I1763" s="1">
        <v>46720</v>
      </c>
      <c r="J1763">
        <f t="array" ref="J1763">INDEX($D$3:$D$62,MATCH(1, (YEAR(I1763)=YEAR($A$3:$A$62))*(MONTH(I1763)=MONTH($A$3:$A$62)),0))</f>
        <v>29997.017360647049</v>
      </c>
      <c r="K1763">
        <f t="array" ref="K1763">INDEX($G$3:$G$200,MATCH(1, (YEAR(I1763)=YEAR($A$3:$A$2000))*(MONTH(I1763)=MONTH($A$3:$A$2000)),0))</f>
        <v>44234.178670782727</v>
      </c>
      <c r="L1763">
        <f t="shared" si="55"/>
        <v>30396.389950808953</v>
      </c>
    </row>
    <row r="1764" spans="4:12" x14ac:dyDescent="0.25">
      <c r="D1764">
        <f t="shared" si="54"/>
        <v>0</v>
      </c>
      <c r="H1764">
        <v>1762</v>
      </c>
      <c r="I1764" s="1">
        <v>46721</v>
      </c>
      <c r="J1764">
        <f t="array" ref="J1764">INDEX($D$3:$D$62,MATCH(1, (YEAR(I1764)=YEAR($A$3:$A$62))*(MONTH(I1764)=MONTH($A$3:$A$62)),0))</f>
        <v>29997.017360647049</v>
      </c>
      <c r="K1764">
        <f t="array" ref="K1764">INDEX($G$3:$G$200,MATCH(1, (YEAR(I1764)=YEAR($A$3:$A$2000))*(MONTH(I1764)=MONTH($A$3:$A$2000)),0))</f>
        <v>44234.178670782727</v>
      </c>
      <c r="L1764">
        <f t="shared" si="55"/>
        <v>30374.308211103955</v>
      </c>
    </row>
    <row r="1765" spans="4:12" x14ac:dyDescent="0.25">
      <c r="D1765">
        <f t="shared" si="54"/>
        <v>0</v>
      </c>
      <c r="H1765">
        <v>1763</v>
      </c>
      <c r="I1765" s="1">
        <v>46722</v>
      </c>
      <c r="J1765">
        <f t="array" ref="J1765">INDEX($D$3:$D$62,MATCH(1, (YEAR(I1765)=YEAR($A$3:$A$62))*(MONTH(I1765)=MONTH($A$3:$A$62)),0))</f>
        <v>29345.81642970039</v>
      </c>
      <c r="K1765">
        <f t="array" ref="K1765">INDEX($G$3:$G$200,MATCH(1, (YEAR(I1765)=YEAR($A$3:$A$2000))*(MONTH(I1765)=MONTH($A$3:$A$2000)),0))</f>
        <v>43196.105887322752</v>
      </c>
      <c r="L1765">
        <f t="shared" si="55"/>
        <v>30352.250235386949</v>
      </c>
    </row>
    <row r="1766" spans="4:12" x14ac:dyDescent="0.25">
      <c r="D1766">
        <f t="shared" si="54"/>
        <v>0</v>
      </c>
      <c r="H1766">
        <v>1764</v>
      </c>
      <c r="I1766" s="1">
        <v>46723</v>
      </c>
      <c r="J1766">
        <f t="array" ref="J1766">INDEX($D$3:$D$62,MATCH(1, (YEAR(I1766)=YEAR($A$3:$A$62))*(MONTH(I1766)=MONTH($A$3:$A$62)),0))</f>
        <v>29345.81642970039</v>
      </c>
      <c r="K1766">
        <f t="array" ref="K1766">INDEX($G$3:$G$200,MATCH(1, (YEAR(I1766)=YEAR($A$3:$A$2000))*(MONTH(I1766)=MONTH($A$3:$A$2000)),0))</f>
        <v>43196.105887322752</v>
      </c>
      <c r="L1766">
        <f t="shared" si="55"/>
        <v>30330.216108624008</v>
      </c>
    </row>
    <row r="1767" spans="4:12" x14ac:dyDescent="0.25">
      <c r="D1767">
        <f t="shared" si="54"/>
        <v>0</v>
      </c>
      <c r="H1767">
        <v>1765</v>
      </c>
      <c r="I1767" s="1">
        <v>46724</v>
      </c>
      <c r="J1767">
        <f t="array" ref="J1767">INDEX($D$3:$D$62,MATCH(1, (YEAR(I1767)=YEAR($A$3:$A$62))*(MONTH(I1767)=MONTH($A$3:$A$62)),0))</f>
        <v>29345.81642970039</v>
      </c>
      <c r="K1767">
        <f t="array" ref="K1767">INDEX($G$3:$G$200,MATCH(1, (YEAR(I1767)=YEAR($A$3:$A$2000))*(MONTH(I1767)=MONTH($A$3:$A$2000)),0))</f>
        <v>43196.105887322752</v>
      </c>
      <c r="L1767">
        <f t="shared" si="55"/>
        <v>30308.205916068982</v>
      </c>
    </row>
    <row r="1768" spans="4:12" x14ac:dyDescent="0.25">
      <c r="D1768">
        <f t="shared" si="54"/>
        <v>0</v>
      </c>
      <c r="H1768">
        <v>1766</v>
      </c>
      <c r="I1768" s="1">
        <v>46725</v>
      </c>
      <c r="J1768">
        <f t="array" ref="J1768">INDEX($D$3:$D$62,MATCH(1, (YEAR(I1768)=YEAR($A$3:$A$62))*(MONTH(I1768)=MONTH($A$3:$A$62)),0))</f>
        <v>29345.81642970039</v>
      </c>
      <c r="K1768">
        <f t="array" ref="K1768">INDEX($G$3:$G$200,MATCH(1, (YEAR(I1768)=YEAR($A$3:$A$2000))*(MONTH(I1768)=MONTH($A$3:$A$2000)),0))</f>
        <v>43196.105887322752</v>
      </c>
      <c r="L1768">
        <f t="shared" si="55"/>
        <v>30286.219743263966</v>
      </c>
    </row>
    <row r="1769" spans="4:12" x14ac:dyDescent="0.25">
      <c r="D1769">
        <f t="shared" si="54"/>
        <v>0</v>
      </c>
      <c r="H1769">
        <v>1767</v>
      </c>
      <c r="I1769" s="1">
        <v>46726</v>
      </c>
      <c r="J1769">
        <f t="array" ref="J1769">INDEX($D$3:$D$62,MATCH(1, (YEAR(I1769)=YEAR($A$3:$A$62))*(MONTH(I1769)=MONTH($A$3:$A$62)),0))</f>
        <v>29345.81642970039</v>
      </c>
      <c r="K1769">
        <f t="array" ref="K1769">INDEX($G$3:$G$200,MATCH(1, (YEAR(I1769)=YEAR($A$3:$A$2000))*(MONTH(I1769)=MONTH($A$3:$A$2000)),0))</f>
        <v>43196.105887322752</v>
      </c>
      <c r="L1769">
        <f t="shared" si="55"/>
        <v>30264.257676038949</v>
      </c>
    </row>
    <row r="1770" spans="4:12" x14ac:dyDescent="0.25">
      <c r="D1770">
        <f t="shared" si="54"/>
        <v>0</v>
      </c>
      <c r="H1770">
        <v>1768</v>
      </c>
      <c r="I1770" s="1">
        <v>46727</v>
      </c>
      <c r="J1770">
        <f t="array" ref="J1770">INDEX($D$3:$D$62,MATCH(1, (YEAR(I1770)=YEAR($A$3:$A$62))*(MONTH(I1770)=MONTH($A$3:$A$62)),0))</f>
        <v>29345.81642970039</v>
      </c>
      <c r="K1770">
        <f t="array" ref="K1770">INDEX($G$3:$G$200,MATCH(1, (YEAR(I1770)=YEAR($A$3:$A$2000))*(MONTH(I1770)=MONTH($A$3:$A$2000)),0))</f>
        <v>43196.105887322752</v>
      </c>
      <c r="L1770">
        <f t="shared" si="55"/>
        <v>30242.319800511992</v>
      </c>
    </row>
    <row r="1771" spans="4:12" x14ac:dyDescent="0.25">
      <c r="D1771">
        <f t="shared" si="54"/>
        <v>0</v>
      </c>
      <c r="H1771">
        <v>1769</v>
      </c>
      <c r="I1771" s="1">
        <v>46728</v>
      </c>
      <c r="J1771">
        <f t="array" ref="J1771">INDEX($D$3:$D$62,MATCH(1, (YEAR(I1771)=YEAR($A$3:$A$62))*(MONTH(I1771)=MONTH($A$3:$A$62)),0))</f>
        <v>29345.81642970039</v>
      </c>
      <c r="K1771">
        <f t="array" ref="K1771">INDEX($G$3:$G$200,MATCH(1, (YEAR(I1771)=YEAR($A$3:$A$2000))*(MONTH(I1771)=MONTH($A$3:$A$2000)),0))</f>
        <v>43196.105887322752</v>
      </c>
      <c r="L1771">
        <f t="shared" si="55"/>
        <v>30220.406203088991</v>
      </c>
    </row>
    <row r="1772" spans="4:12" x14ac:dyDescent="0.25">
      <c r="D1772">
        <f t="shared" si="54"/>
        <v>0</v>
      </c>
      <c r="H1772">
        <v>1770</v>
      </c>
      <c r="I1772" s="1">
        <v>46729</v>
      </c>
      <c r="J1772">
        <f t="array" ref="J1772">INDEX($D$3:$D$62,MATCH(1, (YEAR(I1772)=YEAR($A$3:$A$62))*(MONTH(I1772)=MONTH($A$3:$A$62)),0))</f>
        <v>29345.81642970039</v>
      </c>
      <c r="K1772">
        <f t="array" ref="K1772">INDEX($G$3:$G$200,MATCH(1, (YEAR(I1772)=YEAR($A$3:$A$2000))*(MONTH(I1772)=MONTH($A$3:$A$2000)),0))</f>
        <v>43196.105887322752</v>
      </c>
      <c r="L1772">
        <f t="shared" si="55"/>
        <v>30198.516970463912</v>
      </c>
    </row>
    <row r="1773" spans="4:12" x14ac:dyDescent="0.25">
      <c r="D1773">
        <f t="shared" si="54"/>
        <v>0</v>
      </c>
      <c r="H1773">
        <v>1771</v>
      </c>
      <c r="I1773" s="1">
        <v>46730</v>
      </c>
      <c r="J1773">
        <f t="array" ref="J1773">INDEX($D$3:$D$62,MATCH(1, (YEAR(I1773)=YEAR($A$3:$A$62))*(MONTH(I1773)=MONTH($A$3:$A$62)),0))</f>
        <v>29345.81642970039</v>
      </c>
      <c r="K1773">
        <f t="array" ref="K1773">INDEX($G$3:$G$200,MATCH(1, (YEAR(I1773)=YEAR($A$3:$A$2000))*(MONTH(I1773)=MONTH($A$3:$A$2000)),0))</f>
        <v>43196.105887322752</v>
      </c>
      <c r="L1773">
        <f t="shared" si="55"/>
        <v>30176.652189618966</v>
      </c>
    </row>
    <row r="1774" spans="4:12" x14ac:dyDescent="0.25">
      <c r="D1774">
        <f t="shared" si="54"/>
        <v>0</v>
      </c>
      <c r="H1774">
        <v>1772</v>
      </c>
      <c r="I1774" s="1">
        <v>46731</v>
      </c>
      <c r="J1774">
        <f t="array" ref="J1774">INDEX($D$3:$D$62,MATCH(1, (YEAR(I1774)=YEAR($A$3:$A$62))*(MONTH(I1774)=MONTH($A$3:$A$62)),0))</f>
        <v>29345.81642970039</v>
      </c>
      <c r="K1774">
        <f t="array" ref="K1774">INDEX($G$3:$G$200,MATCH(1, (YEAR(I1774)=YEAR($A$3:$A$2000))*(MONTH(I1774)=MONTH($A$3:$A$2000)),0))</f>
        <v>43196.105887322752</v>
      </c>
      <c r="L1774">
        <f t="shared" si="55"/>
        <v>30154.811947823968</v>
      </c>
    </row>
    <row r="1775" spans="4:12" x14ac:dyDescent="0.25">
      <c r="D1775">
        <f t="shared" si="54"/>
        <v>0</v>
      </c>
      <c r="H1775">
        <v>1773</v>
      </c>
      <c r="I1775" s="1">
        <v>46732</v>
      </c>
      <c r="J1775">
        <f t="array" ref="J1775">INDEX($D$3:$D$62,MATCH(1, (YEAR(I1775)=YEAR($A$3:$A$62))*(MONTH(I1775)=MONTH($A$3:$A$62)),0))</f>
        <v>29345.81642970039</v>
      </c>
      <c r="K1775">
        <f t="array" ref="K1775">INDEX($G$3:$G$200,MATCH(1, (YEAR(I1775)=YEAR($A$3:$A$2000))*(MONTH(I1775)=MONTH($A$3:$A$2000)),0))</f>
        <v>43196.105887322752</v>
      </c>
      <c r="L1775">
        <f t="shared" si="55"/>
        <v>30132.996332637034</v>
      </c>
    </row>
    <row r="1776" spans="4:12" x14ac:dyDescent="0.25">
      <c r="D1776">
        <f t="shared" si="54"/>
        <v>0</v>
      </c>
      <c r="H1776">
        <v>1774</v>
      </c>
      <c r="I1776" s="1">
        <v>46733</v>
      </c>
      <c r="J1776">
        <f t="array" ref="J1776">INDEX($D$3:$D$62,MATCH(1, (YEAR(I1776)=YEAR($A$3:$A$62))*(MONTH(I1776)=MONTH($A$3:$A$62)),0))</f>
        <v>29345.81642970039</v>
      </c>
      <c r="K1776">
        <f t="array" ref="K1776">INDEX($G$3:$G$200,MATCH(1, (YEAR(I1776)=YEAR($A$3:$A$2000))*(MONTH(I1776)=MONTH($A$3:$A$2000)),0))</f>
        <v>43196.105887322752</v>
      </c>
      <c r="L1776">
        <f t="shared" si="55"/>
        <v>30111.205431904003</v>
      </c>
    </row>
    <row r="1777" spans="4:12" x14ac:dyDescent="0.25">
      <c r="D1777">
        <f t="shared" si="54"/>
        <v>0</v>
      </c>
      <c r="H1777">
        <v>1775</v>
      </c>
      <c r="I1777" s="1">
        <v>46734</v>
      </c>
      <c r="J1777">
        <f t="array" ref="J1777">INDEX($D$3:$D$62,MATCH(1, (YEAR(I1777)=YEAR($A$3:$A$62))*(MONTH(I1777)=MONTH($A$3:$A$62)),0))</f>
        <v>29345.81642970039</v>
      </c>
      <c r="K1777">
        <f t="array" ref="K1777">INDEX($G$3:$G$200,MATCH(1, (YEAR(I1777)=YEAR($A$3:$A$2000))*(MONTH(I1777)=MONTH($A$3:$A$2000)),0))</f>
        <v>43196.105887322752</v>
      </c>
      <c r="L1777">
        <f t="shared" si="55"/>
        <v>30089.439333759015</v>
      </c>
    </row>
    <row r="1778" spans="4:12" x14ac:dyDescent="0.25">
      <c r="D1778">
        <f t="shared" si="54"/>
        <v>0</v>
      </c>
      <c r="H1778">
        <v>1776</v>
      </c>
      <c r="I1778" s="1">
        <v>46735</v>
      </c>
      <c r="J1778">
        <f t="array" ref="J1778">INDEX($D$3:$D$62,MATCH(1, (YEAR(I1778)=YEAR($A$3:$A$62))*(MONTH(I1778)=MONTH($A$3:$A$62)),0))</f>
        <v>29345.81642970039</v>
      </c>
      <c r="K1778">
        <f t="array" ref="K1778">INDEX($G$3:$G$200,MATCH(1, (YEAR(I1778)=YEAR($A$3:$A$2000))*(MONTH(I1778)=MONTH($A$3:$A$2000)),0))</f>
        <v>43196.105887322752</v>
      </c>
      <c r="L1778">
        <f t="shared" si="55"/>
        <v>30067.698126624047</v>
      </c>
    </row>
    <row r="1779" spans="4:12" x14ac:dyDescent="0.25">
      <c r="D1779">
        <f t="shared" si="54"/>
        <v>0</v>
      </c>
      <c r="H1779">
        <v>1777</v>
      </c>
      <c r="I1779" s="1">
        <v>46736</v>
      </c>
      <c r="J1779">
        <f t="array" ref="J1779">INDEX($D$3:$D$62,MATCH(1, (YEAR(I1779)=YEAR($A$3:$A$62))*(MONTH(I1779)=MONTH($A$3:$A$62)),0))</f>
        <v>29345.81642970039</v>
      </c>
      <c r="K1779">
        <f t="array" ref="K1779">INDEX($G$3:$G$200,MATCH(1, (YEAR(I1779)=YEAR($A$3:$A$2000))*(MONTH(I1779)=MONTH($A$3:$A$2000)),0))</f>
        <v>43196.105887322752</v>
      </c>
      <c r="L1779">
        <f t="shared" si="55"/>
        <v>30045.981899208971</v>
      </c>
    </row>
    <row r="1780" spans="4:12" x14ac:dyDescent="0.25">
      <c r="D1780">
        <f t="shared" si="54"/>
        <v>0</v>
      </c>
      <c r="H1780">
        <v>1778</v>
      </c>
      <c r="I1780" s="1">
        <v>46737</v>
      </c>
      <c r="J1780">
        <f t="array" ref="J1780">INDEX($D$3:$D$62,MATCH(1, (YEAR(I1780)=YEAR($A$3:$A$62))*(MONTH(I1780)=MONTH($A$3:$A$62)),0))</f>
        <v>29345.81642970039</v>
      </c>
      <c r="K1780">
        <f t="array" ref="K1780">INDEX($G$3:$G$200,MATCH(1, (YEAR(I1780)=YEAR($A$3:$A$2000))*(MONTH(I1780)=MONTH($A$3:$A$2000)),0))</f>
        <v>43196.105887322752</v>
      </c>
      <c r="L1780">
        <f t="shared" si="55"/>
        <v>30024.290740511962</v>
      </c>
    </row>
    <row r="1781" spans="4:12" x14ac:dyDescent="0.25">
      <c r="D1781">
        <f t="shared" si="54"/>
        <v>0</v>
      </c>
      <c r="H1781">
        <v>1779</v>
      </c>
      <c r="I1781" s="1">
        <v>46738</v>
      </c>
      <c r="J1781">
        <f t="array" ref="J1781">INDEX($D$3:$D$62,MATCH(1, (YEAR(I1781)=YEAR($A$3:$A$62))*(MONTH(I1781)=MONTH($A$3:$A$62)),0))</f>
        <v>29345.81642970039</v>
      </c>
      <c r="K1781">
        <f t="array" ref="K1781">INDEX($G$3:$G$200,MATCH(1, (YEAR(I1781)=YEAR($A$3:$A$2000))*(MONTH(I1781)=MONTH($A$3:$A$2000)),0))</f>
        <v>43196.105887322752</v>
      </c>
      <c r="L1781">
        <f t="shared" si="55"/>
        <v>30002.624739818915</v>
      </c>
    </row>
    <row r="1782" spans="4:12" x14ac:dyDescent="0.25">
      <c r="D1782">
        <f t="shared" si="54"/>
        <v>0</v>
      </c>
      <c r="H1782">
        <v>1780</v>
      </c>
      <c r="I1782" s="1">
        <v>46739</v>
      </c>
      <c r="J1782">
        <f t="array" ref="J1782">INDEX($D$3:$D$62,MATCH(1, (YEAR(I1782)=YEAR($A$3:$A$62))*(MONTH(I1782)=MONTH($A$3:$A$62)),0))</f>
        <v>29345.81642970039</v>
      </c>
      <c r="K1782">
        <f t="array" ref="K1782">INDEX($G$3:$G$200,MATCH(1, (YEAR(I1782)=YEAR($A$3:$A$2000))*(MONTH(I1782)=MONTH($A$3:$A$2000)),0))</f>
        <v>43196.105887322752</v>
      </c>
      <c r="L1782">
        <f t="shared" si="55"/>
        <v>29980.983986703912</v>
      </c>
    </row>
    <row r="1783" spans="4:12" x14ac:dyDescent="0.25">
      <c r="D1783">
        <f t="shared" si="54"/>
        <v>0</v>
      </c>
      <c r="H1783">
        <v>1781</v>
      </c>
      <c r="I1783" s="1">
        <v>46740</v>
      </c>
      <c r="J1783">
        <f t="array" ref="J1783">INDEX($D$3:$D$62,MATCH(1, (YEAR(I1783)=YEAR($A$3:$A$62))*(MONTH(I1783)=MONTH($A$3:$A$62)),0))</f>
        <v>29345.81642970039</v>
      </c>
      <c r="K1783">
        <f t="array" ref="K1783">INDEX($G$3:$G$200,MATCH(1, (YEAR(I1783)=YEAR($A$3:$A$2000))*(MONTH(I1783)=MONTH($A$3:$A$2000)),0))</f>
        <v>43196.105887322752</v>
      </c>
      <c r="L1783">
        <f t="shared" si="55"/>
        <v>29959.368571028986</v>
      </c>
    </row>
    <row r="1784" spans="4:12" x14ac:dyDescent="0.25">
      <c r="D1784">
        <f t="shared" si="54"/>
        <v>0</v>
      </c>
      <c r="H1784">
        <v>1782</v>
      </c>
      <c r="I1784" s="1">
        <v>46741</v>
      </c>
      <c r="J1784">
        <f t="array" ref="J1784">INDEX($D$3:$D$62,MATCH(1, (YEAR(I1784)=YEAR($A$3:$A$62))*(MONTH(I1784)=MONTH($A$3:$A$62)),0))</f>
        <v>29345.81642970039</v>
      </c>
      <c r="K1784">
        <f t="array" ref="K1784">INDEX($G$3:$G$200,MATCH(1, (YEAR(I1784)=YEAR($A$3:$A$2000))*(MONTH(I1784)=MONTH($A$3:$A$2000)),0))</f>
        <v>43196.105887322752</v>
      </c>
      <c r="L1784">
        <f t="shared" si="55"/>
        <v>29937.778582944011</v>
      </c>
    </row>
    <row r="1785" spans="4:12" x14ac:dyDescent="0.25">
      <c r="D1785">
        <f t="shared" si="54"/>
        <v>0</v>
      </c>
      <c r="H1785">
        <v>1783</v>
      </c>
      <c r="I1785" s="1">
        <v>46742</v>
      </c>
      <c r="J1785">
        <f t="array" ref="J1785">INDEX($D$3:$D$62,MATCH(1, (YEAR(I1785)=YEAR($A$3:$A$62))*(MONTH(I1785)=MONTH($A$3:$A$62)),0))</f>
        <v>29345.81642970039</v>
      </c>
      <c r="K1785">
        <f t="array" ref="K1785">INDEX($G$3:$G$200,MATCH(1, (YEAR(I1785)=YEAR($A$3:$A$2000))*(MONTH(I1785)=MONTH($A$3:$A$2000)),0))</f>
        <v>43196.105887322752</v>
      </c>
      <c r="L1785">
        <f t="shared" si="55"/>
        <v>29916.214112887043</v>
      </c>
    </row>
    <row r="1786" spans="4:12" x14ac:dyDescent="0.25">
      <c r="D1786">
        <f t="shared" si="54"/>
        <v>0</v>
      </c>
      <c r="H1786">
        <v>1784</v>
      </c>
      <c r="I1786" s="1">
        <v>46743</v>
      </c>
      <c r="J1786">
        <f t="array" ref="J1786">INDEX($D$3:$D$62,MATCH(1, (YEAR(I1786)=YEAR($A$3:$A$62))*(MONTH(I1786)=MONTH($A$3:$A$62)),0))</f>
        <v>29345.81642970039</v>
      </c>
      <c r="K1786">
        <f t="array" ref="K1786">INDEX($G$3:$G$200,MATCH(1, (YEAR(I1786)=YEAR($A$3:$A$2000))*(MONTH(I1786)=MONTH($A$3:$A$2000)),0))</f>
        <v>43196.105887322752</v>
      </c>
      <c r="L1786">
        <f t="shared" si="55"/>
        <v>29894.675251584034</v>
      </c>
    </row>
    <row r="1787" spans="4:12" x14ac:dyDescent="0.25">
      <c r="D1787">
        <f t="shared" si="54"/>
        <v>0</v>
      </c>
      <c r="H1787">
        <v>1785</v>
      </c>
      <c r="I1787" s="1">
        <v>46744</v>
      </c>
      <c r="J1787">
        <f t="array" ref="J1787">INDEX($D$3:$D$62,MATCH(1, (YEAR(I1787)=YEAR($A$3:$A$62))*(MONTH(I1787)=MONTH($A$3:$A$62)),0))</f>
        <v>29345.81642970039</v>
      </c>
      <c r="K1787">
        <f t="array" ref="K1787">INDEX($G$3:$G$200,MATCH(1, (YEAR(I1787)=YEAR($A$3:$A$2000))*(MONTH(I1787)=MONTH($A$3:$A$2000)),0))</f>
        <v>43196.105887322752</v>
      </c>
      <c r="L1787">
        <f t="shared" si="55"/>
        <v>29873.162090048951</v>
      </c>
    </row>
    <row r="1788" spans="4:12" x14ac:dyDescent="0.25">
      <c r="D1788">
        <f t="shared" si="54"/>
        <v>0</v>
      </c>
      <c r="H1788">
        <v>1786</v>
      </c>
      <c r="I1788" s="1">
        <v>46745</v>
      </c>
      <c r="J1788">
        <f t="array" ref="J1788">INDEX($D$3:$D$62,MATCH(1, (YEAR(I1788)=YEAR($A$3:$A$62))*(MONTH(I1788)=MONTH($A$3:$A$62)),0))</f>
        <v>29345.81642970039</v>
      </c>
      <c r="K1788">
        <f t="array" ref="K1788">INDEX($G$3:$G$200,MATCH(1, (YEAR(I1788)=YEAR($A$3:$A$2000))*(MONTH(I1788)=MONTH($A$3:$A$2000)),0))</f>
        <v>43196.105887322752</v>
      </c>
      <c r="L1788">
        <f t="shared" si="55"/>
        <v>29851.674719584</v>
      </c>
    </row>
    <row r="1789" spans="4:12" x14ac:dyDescent="0.25">
      <c r="D1789">
        <f t="shared" si="54"/>
        <v>0</v>
      </c>
      <c r="H1789">
        <v>1787</v>
      </c>
      <c r="I1789" s="1">
        <v>46746</v>
      </c>
      <c r="J1789">
        <f t="array" ref="J1789">INDEX($D$3:$D$62,MATCH(1, (YEAR(I1789)=YEAR($A$3:$A$62))*(MONTH(I1789)=MONTH($A$3:$A$62)),0))</f>
        <v>29345.81642970039</v>
      </c>
      <c r="K1789">
        <f t="array" ref="K1789">INDEX($G$3:$G$200,MATCH(1, (YEAR(I1789)=YEAR($A$3:$A$2000))*(MONTH(I1789)=MONTH($A$3:$A$2000)),0))</f>
        <v>43196.105887322752</v>
      </c>
      <c r="L1789">
        <f t="shared" si="55"/>
        <v>29830.213231778936</v>
      </c>
    </row>
    <row r="1790" spans="4:12" x14ac:dyDescent="0.25">
      <c r="D1790">
        <f t="shared" si="54"/>
        <v>0</v>
      </c>
      <c r="H1790">
        <v>1788</v>
      </c>
      <c r="I1790" s="1">
        <v>46747</v>
      </c>
      <c r="J1790">
        <f t="array" ref="J1790">INDEX($D$3:$D$62,MATCH(1, (YEAR(I1790)=YEAR($A$3:$A$62))*(MONTH(I1790)=MONTH($A$3:$A$62)),0))</f>
        <v>29345.81642970039</v>
      </c>
      <c r="K1790">
        <f t="array" ref="K1790">INDEX($G$3:$G$200,MATCH(1, (YEAR(I1790)=YEAR($A$3:$A$2000))*(MONTH(I1790)=MONTH($A$3:$A$2000)),0))</f>
        <v>43196.105887322752</v>
      </c>
      <c r="L1790">
        <f t="shared" si="55"/>
        <v>29808.777718511992</v>
      </c>
    </row>
    <row r="1791" spans="4:12" x14ac:dyDescent="0.25">
      <c r="D1791">
        <f t="shared" si="54"/>
        <v>0</v>
      </c>
      <c r="H1791">
        <v>1789</v>
      </c>
      <c r="I1791" s="1">
        <v>46748</v>
      </c>
      <c r="J1791">
        <f t="array" ref="J1791">INDEX($D$3:$D$62,MATCH(1, (YEAR(I1791)=YEAR($A$3:$A$62))*(MONTH(I1791)=MONTH($A$3:$A$62)),0))</f>
        <v>29345.81642970039</v>
      </c>
      <c r="K1791">
        <f t="array" ref="K1791">INDEX($G$3:$G$200,MATCH(1, (YEAR(I1791)=YEAR($A$3:$A$2000))*(MONTH(I1791)=MONTH($A$3:$A$2000)),0))</f>
        <v>43196.105887322752</v>
      </c>
      <c r="L1791">
        <f t="shared" si="55"/>
        <v>29787.368271949003</v>
      </c>
    </row>
    <row r="1792" spans="4:12" x14ac:dyDescent="0.25">
      <c r="D1792">
        <f t="shared" si="54"/>
        <v>0</v>
      </c>
      <c r="H1792">
        <v>1790</v>
      </c>
      <c r="I1792" s="1">
        <v>46749</v>
      </c>
      <c r="J1792">
        <f t="array" ref="J1792">INDEX($D$3:$D$62,MATCH(1, (YEAR(I1792)=YEAR($A$3:$A$62))*(MONTH(I1792)=MONTH($A$3:$A$62)),0))</f>
        <v>29345.81642970039</v>
      </c>
      <c r="K1792">
        <f t="array" ref="K1792">INDEX($G$3:$G$200,MATCH(1, (YEAR(I1792)=YEAR($A$3:$A$2000))*(MONTH(I1792)=MONTH($A$3:$A$2000)),0))</f>
        <v>43196.105887322752</v>
      </c>
      <c r="L1792">
        <f t="shared" si="55"/>
        <v>29765.984984543989</v>
      </c>
    </row>
    <row r="1793" spans="4:12" x14ac:dyDescent="0.25">
      <c r="D1793">
        <f t="shared" si="54"/>
        <v>0</v>
      </c>
      <c r="H1793">
        <v>1791</v>
      </c>
      <c r="I1793" s="1">
        <v>46750</v>
      </c>
      <c r="J1793">
        <f t="array" ref="J1793">INDEX($D$3:$D$62,MATCH(1, (YEAR(I1793)=YEAR($A$3:$A$62))*(MONTH(I1793)=MONTH($A$3:$A$62)),0))</f>
        <v>29345.81642970039</v>
      </c>
      <c r="K1793">
        <f t="array" ref="K1793">INDEX($G$3:$G$200,MATCH(1, (YEAR(I1793)=YEAR($A$3:$A$2000))*(MONTH(I1793)=MONTH($A$3:$A$2000)),0))</f>
        <v>43196.105887322752</v>
      </c>
      <c r="L1793">
        <f t="shared" si="55"/>
        <v>29744.627949039044</v>
      </c>
    </row>
    <row r="1794" spans="4:12" x14ac:dyDescent="0.25">
      <c r="D1794">
        <f t="shared" si="54"/>
        <v>0</v>
      </c>
      <c r="H1794">
        <v>1792</v>
      </c>
      <c r="I1794" s="1">
        <v>46751</v>
      </c>
      <c r="J1794">
        <f t="array" ref="J1794">INDEX($D$3:$D$62,MATCH(1, (YEAR(I1794)=YEAR($A$3:$A$62))*(MONTH(I1794)=MONTH($A$3:$A$62)),0))</f>
        <v>29345.81642970039</v>
      </c>
      <c r="K1794">
        <f t="array" ref="K1794">INDEX($G$3:$G$200,MATCH(1, (YEAR(I1794)=YEAR($A$3:$A$2000))*(MONTH(I1794)=MONTH($A$3:$A$2000)),0))</f>
        <v>43196.105887322752</v>
      </c>
      <c r="L1794">
        <f t="shared" si="55"/>
        <v>29723.297258463979</v>
      </c>
    </row>
    <row r="1795" spans="4:12" x14ac:dyDescent="0.25">
      <c r="D1795">
        <f t="shared" si="54"/>
        <v>0</v>
      </c>
      <c r="H1795">
        <v>1793</v>
      </c>
      <c r="I1795" s="1">
        <v>46752</v>
      </c>
      <c r="J1795">
        <f t="array" ref="J1795">INDEX($D$3:$D$62,MATCH(1, (YEAR(I1795)=YEAR($A$3:$A$62))*(MONTH(I1795)=MONTH($A$3:$A$62)),0))</f>
        <v>29345.81642970039</v>
      </c>
      <c r="K1795">
        <f t="array" ref="K1795">INDEX($G$3:$G$200,MATCH(1, (YEAR(I1795)=YEAR($A$3:$A$2000))*(MONTH(I1795)=MONTH($A$3:$A$2000)),0))</f>
        <v>43196.105887322752</v>
      </c>
      <c r="L1795">
        <f t="shared" si="55"/>
        <v>29701.993006136967</v>
      </c>
    </row>
    <row r="1796" spans="4:12" x14ac:dyDescent="0.25">
      <c r="I1796" s="1"/>
    </row>
    <row r="1797" spans="4:12" x14ac:dyDescent="0.25">
      <c r="I1797" s="1"/>
    </row>
    <row r="1798" spans="4:12" x14ac:dyDescent="0.25">
      <c r="I1798" s="1"/>
    </row>
    <row r="1799" spans="4:12" x14ac:dyDescent="0.25">
      <c r="I1799" s="1"/>
    </row>
    <row r="1800" spans="4:12" x14ac:dyDescent="0.25">
      <c r="I1800" s="1"/>
    </row>
    <row r="1801" spans="4:12" x14ac:dyDescent="0.25">
      <c r="I1801" s="1"/>
    </row>
    <row r="1802" spans="4:12" x14ac:dyDescent="0.25">
      <c r="I1802" s="1"/>
    </row>
    <row r="1803" spans="4:12" x14ac:dyDescent="0.25">
      <c r="I1803" s="1"/>
    </row>
    <row r="1804" spans="4:12" x14ac:dyDescent="0.25">
      <c r="I1804" s="1"/>
    </row>
    <row r="1805" spans="4:12" x14ac:dyDescent="0.25">
      <c r="I1805" s="1"/>
    </row>
    <row r="1806" spans="4:12" x14ac:dyDescent="0.25">
      <c r="I1806" s="1"/>
    </row>
    <row r="1807" spans="4:12" x14ac:dyDescent="0.25">
      <c r="I1807" s="1"/>
    </row>
    <row r="1808" spans="4:12" x14ac:dyDescent="0.25">
      <c r="I1808" s="1"/>
    </row>
    <row r="1809" spans="9:9" x14ac:dyDescent="0.25">
      <c r="I1809" s="1"/>
    </row>
    <row r="1810" spans="9:9" x14ac:dyDescent="0.25">
      <c r="I1810" s="1"/>
    </row>
    <row r="1811" spans="9:9" x14ac:dyDescent="0.25">
      <c r="I1811" s="1"/>
    </row>
    <row r="1812" spans="9:9" x14ac:dyDescent="0.25">
      <c r="I1812" s="1"/>
    </row>
    <row r="1813" spans="9:9" x14ac:dyDescent="0.25">
      <c r="I1813" s="1"/>
    </row>
    <row r="1814" spans="9:9" x14ac:dyDescent="0.25">
      <c r="I1814" s="1"/>
    </row>
    <row r="1815" spans="9:9" x14ac:dyDescent="0.25">
      <c r="I1815" s="1"/>
    </row>
    <row r="1816" spans="9:9" x14ac:dyDescent="0.25">
      <c r="I1816" s="1"/>
    </row>
    <row r="1817" spans="9:9" x14ac:dyDescent="0.25">
      <c r="I1817" s="1"/>
    </row>
    <row r="1818" spans="9:9" x14ac:dyDescent="0.25">
      <c r="I1818" s="1"/>
    </row>
    <row r="1819" spans="9:9" x14ac:dyDescent="0.25">
      <c r="I1819" s="1"/>
    </row>
    <row r="1820" spans="9:9" x14ac:dyDescent="0.25">
      <c r="I1820" s="1"/>
    </row>
    <row r="1821" spans="9:9" x14ac:dyDescent="0.25">
      <c r="I1821" s="1"/>
    </row>
    <row r="1822" spans="9:9" x14ac:dyDescent="0.25">
      <c r="I1822" s="1"/>
    </row>
    <row r="1823" spans="9:9" x14ac:dyDescent="0.25">
      <c r="I1823" s="1"/>
    </row>
    <row r="1824" spans="9:9" x14ac:dyDescent="0.25">
      <c r="I1824" s="1"/>
    </row>
    <row r="1825" spans="9:9" x14ac:dyDescent="0.25">
      <c r="I1825" s="1"/>
    </row>
    <row r="1826" spans="9:9" x14ac:dyDescent="0.25">
      <c r="I1826" s="1"/>
    </row>
    <row r="1827" spans="9:9" x14ac:dyDescent="0.25">
      <c r="I1827" s="1"/>
    </row>
    <row r="1828" spans="9:9" x14ac:dyDescent="0.25">
      <c r="I1828" s="1"/>
    </row>
    <row r="1829" spans="9:9" x14ac:dyDescent="0.25">
      <c r="I1829" s="1"/>
    </row>
    <row r="1830" spans="9:9" x14ac:dyDescent="0.25">
      <c r="I1830" s="1"/>
    </row>
    <row r="1831" spans="9:9" x14ac:dyDescent="0.25">
      <c r="I1831" s="1"/>
    </row>
    <row r="1832" spans="9:9" x14ac:dyDescent="0.25">
      <c r="I1832" s="1"/>
    </row>
    <row r="1833" spans="9:9" x14ac:dyDescent="0.25">
      <c r="I1833" s="1"/>
    </row>
    <row r="1834" spans="9:9" x14ac:dyDescent="0.25">
      <c r="I1834" s="1"/>
    </row>
    <row r="1835" spans="9:9" x14ac:dyDescent="0.25">
      <c r="I1835" s="1"/>
    </row>
    <row r="1836" spans="9:9" x14ac:dyDescent="0.25">
      <c r="I1836" s="1"/>
    </row>
    <row r="1837" spans="9:9" x14ac:dyDescent="0.25">
      <c r="I1837" s="1"/>
    </row>
    <row r="1838" spans="9:9" x14ac:dyDescent="0.25">
      <c r="I1838" s="1"/>
    </row>
    <row r="1839" spans="9:9" x14ac:dyDescent="0.25">
      <c r="I1839" s="1"/>
    </row>
    <row r="1840" spans="9:9" x14ac:dyDescent="0.25">
      <c r="I1840" s="1"/>
    </row>
    <row r="1841" spans="9:9" x14ac:dyDescent="0.25">
      <c r="I1841" s="1"/>
    </row>
    <row r="1842" spans="9:9" x14ac:dyDescent="0.25">
      <c r="I1842" s="1"/>
    </row>
    <row r="1843" spans="9:9" x14ac:dyDescent="0.25">
      <c r="I1843" s="1"/>
    </row>
    <row r="1844" spans="9:9" x14ac:dyDescent="0.25">
      <c r="I1844" s="1"/>
    </row>
    <row r="1845" spans="9:9" x14ac:dyDescent="0.25">
      <c r="I1845" s="1"/>
    </row>
    <row r="1846" spans="9:9" x14ac:dyDescent="0.25">
      <c r="I1846" s="1"/>
    </row>
    <row r="1847" spans="9:9" x14ac:dyDescent="0.25">
      <c r="I1847" s="1"/>
    </row>
    <row r="1848" spans="9:9" x14ac:dyDescent="0.25">
      <c r="I1848" s="1"/>
    </row>
    <row r="1849" spans="9:9" x14ac:dyDescent="0.25">
      <c r="I1849" s="1"/>
    </row>
    <row r="1850" spans="9:9" x14ac:dyDescent="0.25">
      <c r="I1850" s="1"/>
    </row>
    <row r="1851" spans="9:9" x14ac:dyDescent="0.25">
      <c r="I1851" s="1"/>
    </row>
    <row r="1852" spans="9:9" x14ac:dyDescent="0.25">
      <c r="I1852" s="1"/>
    </row>
    <row r="1853" spans="9:9" x14ac:dyDescent="0.25">
      <c r="I1853" s="1"/>
    </row>
    <row r="1854" spans="9:9" x14ac:dyDescent="0.25">
      <c r="I1854" s="1"/>
    </row>
    <row r="1855" spans="9:9" x14ac:dyDescent="0.25">
      <c r="I1855" s="1"/>
    </row>
    <row r="1856" spans="9:9" x14ac:dyDescent="0.25">
      <c r="I1856" s="1"/>
    </row>
    <row r="1857" spans="9:9" x14ac:dyDescent="0.25">
      <c r="I1857" s="1"/>
    </row>
    <row r="1858" spans="9:9" x14ac:dyDescent="0.25">
      <c r="I1858" s="1"/>
    </row>
    <row r="1859" spans="9:9" x14ac:dyDescent="0.25">
      <c r="I1859" s="1"/>
    </row>
    <row r="1860" spans="9:9" x14ac:dyDescent="0.25">
      <c r="I1860" s="1"/>
    </row>
    <row r="1861" spans="9:9" x14ac:dyDescent="0.25">
      <c r="I1861" s="1"/>
    </row>
    <row r="1862" spans="9:9" x14ac:dyDescent="0.25">
      <c r="I1862" s="1"/>
    </row>
    <row r="1863" spans="9:9" x14ac:dyDescent="0.25">
      <c r="I1863" s="1"/>
    </row>
    <row r="1864" spans="9:9" x14ac:dyDescent="0.25">
      <c r="I1864" s="1"/>
    </row>
    <row r="1865" spans="9:9" x14ac:dyDescent="0.25">
      <c r="I1865" s="1"/>
    </row>
    <row r="1866" spans="9:9" x14ac:dyDescent="0.25">
      <c r="I1866" s="1"/>
    </row>
    <row r="1867" spans="9:9" x14ac:dyDescent="0.25">
      <c r="I1867" s="1"/>
    </row>
    <row r="1868" spans="9:9" x14ac:dyDescent="0.25">
      <c r="I1868" s="1"/>
    </row>
    <row r="1869" spans="9:9" x14ac:dyDescent="0.25">
      <c r="I1869" s="1"/>
    </row>
    <row r="1870" spans="9:9" x14ac:dyDescent="0.25">
      <c r="I1870" s="1"/>
    </row>
    <row r="1871" spans="9:9" x14ac:dyDescent="0.25">
      <c r="I1871" s="1"/>
    </row>
    <row r="1872" spans="9:9" x14ac:dyDescent="0.25">
      <c r="I1872" s="1"/>
    </row>
    <row r="1873" spans="9:9" x14ac:dyDescent="0.25">
      <c r="I1873" s="1"/>
    </row>
    <row r="1874" spans="9:9" x14ac:dyDescent="0.25">
      <c r="I1874" s="1"/>
    </row>
    <row r="1875" spans="9:9" x14ac:dyDescent="0.25">
      <c r="I1875" s="1"/>
    </row>
    <row r="1876" spans="9:9" x14ac:dyDescent="0.25">
      <c r="I1876" s="1"/>
    </row>
    <row r="1877" spans="9:9" x14ac:dyDescent="0.25">
      <c r="I1877" s="1"/>
    </row>
    <row r="1878" spans="9:9" x14ac:dyDescent="0.25">
      <c r="I1878" s="1"/>
    </row>
    <row r="1879" spans="9:9" x14ac:dyDescent="0.25">
      <c r="I1879" s="1"/>
    </row>
    <row r="1880" spans="9:9" x14ac:dyDescent="0.25">
      <c r="I1880" s="1"/>
    </row>
    <row r="1881" spans="9:9" x14ac:dyDescent="0.25">
      <c r="I1881" s="1"/>
    </row>
    <row r="1882" spans="9:9" x14ac:dyDescent="0.25">
      <c r="I1882" s="1"/>
    </row>
    <row r="1883" spans="9:9" x14ac:dyDescent="0.25">
      <c r="I1883" s="1"/>
    </row>
    <row r="1884" spans="9:9" x14ac:dyDescent="0.25">
      <c r="I1884" s="1"/>
    </row>
    <row r="1885" spans="9:9" x14ac:dyDescent="0.25">
      <c r="I1885" s="1"/>
    </row>
    <row r="1886" spans="9:9" x14ac:dyDescent="0.25">
      <c r="I1886" s="1"/>
    </row>
    <row r="1887" spans="9:9" x14ac:dyDescent="0.25">
      <c r="I1887" s="1"/>
    </row>
    <row r="1888" spans="9:9" x14ac:dyDescent="0.25">
      <c r="I1888" s="1"/>
    </row>
    <row r="1889" spans="9:9" x14ac:dyDescent="0.25">
      <c r="I1889" s="1"/>
    </row>
    <row r="1890" spans="9:9" x14ac:dyDescent="0.25">
      <c r="I1890" s="1"/>
    </row>
    <row r="1891" spans="9:9" x14ac:dyDescent="0.25">
      <c r="I1891" s="1"/>
    </row>
    <row r="1892" spans="9:9" x14ac:dyDescent="0.25">
      <c r="I1892" s="1"/>
    </row>
    <row r="1893" spans="9:9" x14ac:dyDescent="0.25">
      <c r="I1893" s="1"/>
    </row>
    <row r="1894" spans="9:9" x14ac:dyDescent="0.25">
      <c r="I1894" s="1"/>
    </row>
    <row r="1895" spans="9:9" x14ac:dyDescent="0.25">
      <c r="I1895" s="1"/>
    </row>
    <row r="1896" spans="9:9" x14ac:dyDescent="0.25">
      <c r="I1896" s="1"/>
    </row>
    <row r="1897" spans="9:9" x14ac:dyDescent="0.25">
      <c r="I1897" s="1"/>
    </row>
    <row r="1898" spans="9:9" x14ac:dyDescent="0.25">
      <c r="I1898" s="1"/>
    </row>
    <row r="1899" spans="9:9" x14ac:dyDescent="0.25">
      <c r="I1899" s="1"/>
    </row>
    <row r="1900" spans="9:9" x14ac:dyDescent="0.25">
      <c r="I1900" s="1"/>
    </row>
    <row r="1901" spans="9:9" x14ac:dyDescent="0.25">
      <c r="I1901" s="1"/>
    </row>
    <row r="1902" spans="9:9" x14ac:dyDescent="0.25">
      <c r="I1902" s="1"/>
    </row>
    <row r="1903" spans="9:9" x14ac:dyDescent="0.25">
      <c r="I1903" s="1"/>
    </row>
    <row r="1904" spans="9:9" x14ac:dyDescent="0.25">
      <c r="I1904" s="1"/>
    </row>
    <row r="1905" spans="9:9" x14ac:dyDescent="0.25">
      <c r="I1905" s="1"/>
    </row>
    <row r="1906" spans="9:9" x14ac:dyDescent="0.25">
      <c r="I1906" s="1"/>
    </row>
    <row r="1907" spans="9:9" x14ac:dyDescent="0.25">
      <c r="I1907" s="1"/>
    </row>
    <row r="1908" spans="9:9" x14ac:dyDescent="0.25">
      <c r="I1908" s="1"/>
    </row>
    <row r="1909" spans="9:9" x14ac:dyDescent="0.25">
      <c r="I1909" s="1"/>
    </row>
    <row r="1910" spans="9:9" x14ac:dyDescent="0.25">
      <c r="I1910" s="1"/>
    </row>
    <row r="1911" spans="9:9" x14ac:dyDescent="0.25">
      <c r="I1911" s="1"/>
    </row>
    <row r="1912" spans="9:9" x14ac:dyDescent="0.25">
      <c r="I1912" s="1"/>
    </row>
    <row r="1913" spans="9:9" x14ac:dyDescent="0.25">
      <c r="I1913" s="1"/>
    </row>
    <row r="1914" spans="9:9" x14ac:dyDescent="0.25">
      <c r="I1914" s="1"/>
    </row>
    <row r="1915" spans="9:9" x14ac:dyDescent="0.25">
      <c r="I1915" s="1"/>
    </row>
    <row r="1916" spans="9:9" x14ac:dyDescent="0.25">
      <c r="I1916" s="1"/>
    </row>
    <row r="1917" spans="9:9" x14ac:dyDescent="0.25">
      <c r="I1917" s="1"/>
    </row>
    <row r="1918" spans="9:9" x14ac:dyDescent="0.25">
      <c r="I1918" s="1"/>
    </row>
    <row r="1919" spans="9:9" x14ac:dyDescent="0.25">
      <c r="I1919" s="1"/>
    </row>
    <row r="1920" spans="9:9" x14ac:dyDescent="0.25">
      <c r="I1920" s="1"/>
    </row>
    <row r="1921" spans="9:9" x14ac:dyDescent="0.25">
      <c r="I1921" s="1"/>
    </row>
    <row r="1922" spans="9:9" x14ac:dyDescent="0.25">
      <c r="I1922" s="1"/>
    </row>
    <row r="1923" spans="9:9" x14ac:dyDescent="0.25">
      <c r="I1923" s="1"/>
    </row>
    <row r="1924" spans="9:9" x14ac:dyDescent="0.25">
      <c r="I1924" s="1"/>
    </row>
    <row r="1925" spans="9:9" x14ac:dyDescent="0.25">
      <c r="I1925" s="1"/>
    </row>
    <row r="1926" spans="9:9" x14ac:dyDescent="0.25">
      <c r="I1926" s="1"/>
    </row>
    <row r="1927" spans="9:9" x14ac:dyDescent="0.25">
      <c r="I1927" s="1"/>
    </row>
    <row r="1928" spans="9:9" x14ac:dyDescent="0.25">
      <c r="I1928" s="1"/>
    </row>
    <row r="1929" spans="9:9" x14ac:dyDescent="0.25">
      <c r="I1929" s="1"/>
    </row>
    <row r="1930" spans="9:9" x14ac:dyDescent="0.25">
      <c r="I1930" s="1"/>
    </row>
    <row r="1931" spans="9:9" x14ac:dyDescent="0.25">
      <c r="I1931" s="1"/>
    </row>
    <row r="1932" spans="9:9" x14ac:dyDescent="0.25">
      <c r="I1932" s="1"/>
    </row>
    <row r="1933" spans="9:9" x14ac:dyDescent="0.25">
      <c r="I1933" s="1"/>
    </row>
    <row r="1934" spans="9:9" x14ac:dyDescent="0.25">
      <c r="I1934" s="1"/>
    </row>
    <row r="1935" spans="9:9" x14ac:dyDescent="0.25">
      <c r="I1935" s="1"/>
    </row>
    <row r="1936" spans="9:9" x14ac:dyDescent="0.25">
      <c r="I1936" s="1"/>
    </row>
    <row r="1937" spans="9:9" x14ac:dyDescent="0.25">
      <c r="I1937" s="1"/>
    </row>
    <row r="1938" spans="9:9" x14ac:dyDescent="0.25">
      <c r="I1938" s="1"/>
    </row>
    <row r="1939" spans="9:9" x14ac:dyDescent="0.25">
      <c r="I1939" s="1"/>
    </row>
    <row r="1940" spans="9:9" x14ac:dyDescent="0.25">
      <c r="I1940" s="1"/>
    </row>
    <row r="1941" spans="9:9" x14ac:dyDescent="0.25">
      <c r="I1941" s="1"/>
    </row>
    <row r="1942" spans="9:9" x14ac:dyDescent="0.25">
      <c r="I1942" s="1"/>
    </row>
    <row r="1943" spans="9:9" x14ac:dyDescent="0.25">
      <c r="I1943" s="1"/>
    </row>
    <row r="1944" spans="9:9" x14ac:dyDescent="0.25">
      <c r="I1944" s="1"/>
    </row>
    <row r="1945" spans="9:9" x14ac:dyDescent="0.25">
      <c r="I1945" s="1"/>
    </row>
    <row r="1946" spans="9:9" x14ac:dyDescent="0.25">
      <c r="I1946" s="1"/>
    </row>
    <row r="1947" spans="9:9" x14ac:dyDescent="0.25">
      <c r="I1947" s="1"/>
    </row>
    <row r="1948" spans="9:9" x14ac:dyDescent="0.25">
      <c r="I1948" s="1"/>
    </row>
    <row r="1949" spans="9:9" x14ac:dyDescent="0.25">
      <c r="I1949" s="1"/>
    </row>
    <row r="1950" spans="9:9" x14ac:dyDescent="0.25">
      <c r="I1950" s="1"/>
    </row>
    <row r="1951" spans="9:9" x14ac:dyDescent="0.25">
      <c r="I1951" s="1"/>
    </row>
    <row r="1952" spans="9:9" x14ac:dyDescent="0.25">
      <c r="I1952" s="1"/>
    </row>
    <row r="1953" spans="9:9" x14ac:dyDescent="0.25">
      <c r="I1953" s="1"/>
    </row>
    <row r="1954" spans="9:9" x14ac:dyDescent="0.25">
      <c r="I1954" s="1"/>
    </row>
    <row r="1955" spans="9:9" x14ac:dyDescent="0.25">
      <c r="I1955" s="1"/>
    </row>
    <row r="1956" spans="9:9" x14ac:dyDescent="0.25">
      <c r="I1956" s="1"/>
    </row>
    <row r="1957" spans="9:9" x14ac:dyDescent="0.25">
      <c r="I1957" s="1"/>
    </row>
    <row r="1958" spans="9:9" x14ac:dyDescent="0.25">
      <c r="I1958" s="1"/>
    </row>
    <row r="1959" spans="9:9" x14ac:dyDescent="0.25">
      <c r="I1959" s="1"/>
    </row>
    <row r="1960" spans="9:9" x14ac:dyDescent="0.25">
      <c r="I1960" s="1"/>
    </row>
    <row r="1961" spans="9:9" x14ac:dyDescent="0.25">
      <c r="I1961" s="1"/>
    </row>
    <row r="1962" spans="9:9" x14ac:dyDescent="0.25">
      <c r="I1962" s="1"/>
    </row>
    <row r="1963" spans="9:9" x14ac:dyDescent="0.25">
      <c r="I1963" s="1"/>
    </row>
    <row r="1964" spans="9:9" x14ac:dyDescent="0.25">
      <c r="I1964" s="1"/>
    </row>
    <row r="1965" spans="9:9" x14ac:dyDescent="0.25">
      <c r="I1965" s="1"/>
    </row>
    <row r="1966" spans="9:9" x14ac:dyDescent="0.25">
      <c r="I1966" s="1"/>
    </row>
    <row r="1967" spans="9:9" x14ac:dyDescent="0.25">
      <c r="I1967" s="1"/>
    </row>
    <row r="1968" spans="9:9" x14ac:dyDescent="0.25">
      <c r="I1968" s="1"/>
    </row>
    <row r="1969" spans="9:9" x14ac:dyDescent="0.25">
      <c r="I1969" s="1"/>
    </row>
    <row r="1970" spans="9:9" x14ac:dyDescent="0.25">
      <c r="I1970" s="1"/>
    </row>
    <row r="1971" spans="9:9" x14ac:dyDescent="0.25">
      <c r="I1971" s="1"/>
    </row>
    <row r="1972" spans="9:9" x14ac:dyDescent="0.25">
      <c r="I1972" s="1"/>
    </row>
    <row r="1973" spans="9:9" x14ac:dyDescent="0.25">
      <c r="I1973" s="1"/>
    </row>
    <row r="1974" spans="9:9" x14ac:dyDescent="0.25">
      <c r="I1974" s="1"/>
    </row>
    <row r="1975" spans="9:9" x14ac:dyDescent="0.25">
      <c r="I1975" s="1"/>
    </row>
    <row r="1976" spans="9:9" x14ac:dyDescent="0.25">
      <c r="I1976" s="1"/>
    </row>
    <row r="1977" spans="9:9" x14ac:dyDescent="0.25">
      <c r="I1977" s="1"/>
    </row>
    <row r="1978" spans="9:9" x14ac:dyDescent="0.25">
      <c r="I1978" s="1"/>
    </row>
    <row r="1979" spans="9:9" x14ac:dyDescent="0.25">
      <c r="I1979" s="1"/>
    </row>
    <row r="1980" spans="9:9" x14ac:dyDescent="0.25">
      <c r="I1980" s="1"/>
    </row>
    <row r="1981" spans="9:9" x14ac:dyDescent="0.25">
      <c r="I1981" s="1"/>
    </row>
    <row r="1982" spans="9:9" x14ac:dyDescent="0.25">
      <c r="I1982" s="1"/>
    </row>
    <row r="1983" spans="9:9" x14ac:dyDescent="0.25">
      <c r="I1983" s="1"/>
    </row>
    <row r="1984" spans="9:9" x14ac:dyDescent="0.25">
      <c r="I1984" s="1"/>
    </row>
    <row r="1985" spans="9:9" x14ac:dyDescent="0.25">
      <c r="I1985" s="1"/>
    </row>
    <row r="1986" spans="9:9" x14ac:dyDescent="0.25">
      <c r="I1986" s="1"/>
    </row>
    <row r="1987" spans="9:9" x14ac:dyDescent="0.25">
      <c r="I1987" s="1"/>
    </row>
    <row r="1988" spans="9:9" x14ac:dyDescent="0.25">
      <c r="I1988" s="1"/>
    </row>
    <row r="1989" spans="9:9" x14ac:dyDescent="0.25">
      <c r="I1989" s="1"/>
    </row>
    <row r="1990" spans="9:9" x14ac:dyDescent="0.25">
      <c r="I1990" s="1"/>
    </row>
    <row r="1991" spans="9:9" x14ac:dyDescent="0.25">
      <c r="I1991" s="1"/>
    </row>
    <row r="1992" spans="9:9" x14ac:dyDescent="0.25">
      <c r="I1992" s="1"/>
    </row>
    <row r="1993" spans="9:9" x14ac:dyDescent="0.25">
      <c r="I1993" s="1"/>
    </row>
    <row r="1994" spans="9:9" x14ac:dyDescent="0.25">
      <c r="I1994" s="1"/>
    </row>
    <row r="1995" spans="9:9" x14ac:dyDescent="0.25">
      <c r="I1995" s="1"/>
    </row>
    <row r="1996" spans="9:9" x14ac:dyDescent="0.25">
      <c r="I1996" s="1"/>
    </row>
    <row r="1997" spans="9:9" x14ac:dyDescent="0.25">
      <c r="I1997" s="1"/>
    </row>
    <row r="1998" spans="9:9" x14ac:dyDescent="0.25">
      <c r="I1998" s="1"/>
    </row>
    <row r="1999" spans="9:9" x14ac:dyDescent="0.25">
      <c r="I1999" s="1"/>
    </row>
    <row r="2000" spans="9:9" x14ac:dyDescent="0.25">
      <c r="I2000" s="1"/>
    </row>
  </sheetData>
  <mergeCells count="1">
    <mergeCell ref="J1:L1"/>
  </mergeCells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Pivot</vt:lpstr>
      <vt:lpstr>Aries_Query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dtaylor</dc:creator>
  <cp:lastModifiedBy>dtaylor</cp:lastModifiedBy>
  <dcterms:created xsi:type="dcterms:W3CDTF">2022-03-07T20:55:35Z</dcterms:created>
  <dcterms:modified xsi:type="dcterms:W3CDTF">2023-02-04T01:52:31Z</dcterms:modified>
</cp:coreProperties>
</file>